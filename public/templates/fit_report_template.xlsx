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xmlns:r="http://schemas.openxmlformats.org/officeDocument/2006/relationships" name="作業報告書" sheetId="1" state="visible" r:id="rId1"/>
    <sheet xmlns:r="http://schemas.openxmlformats.org/officeDocument/2006/relationships" name="作業報告書 (2)" sheetId="2" state="visible" r:id="rId2"/>
    <sheet xmlns:r="http://schemas.openxmlformats.org/officeDocument/2006/relationships" name="作業報告書 (3)" sheetId="3" state="visible" r:id="rId3"/>
    <sheet xmlns:r="http://schemas.openxmlformats.org/officeDocument/2006/relationships" name="作業報告書 (4)" sheetId="4" state="visible" r:id="rId4"/>
    <sheet xmlns:r="http://schemas.openxmlformats.org/officeDocument/2006/relationships" name="作業報告書 (5)" sheetId="5" state="visible" r:id="rId5"/>
    <sheet xmlns:r="http://schemas.openxmlformats.org/officeDocument/2006/relationships" name="作業報告書 (END)" sheetId="6" state="visible" r:id="rId6"/>
    <sheet xmlns:r="http://schemas.openxmlformats.org/officeDocument/2006/relationships" name="材料持出表" sheetId="7" state="visible" r:id="rId7"/>
    <sheet xmlns:r="http://schemas.openxmlformats.org/officeDocument/2006/relationships" name="材料持出表 (2)" sheetId="8" state="visible" r:id="rId8"/>
    <sheet xmlns:r="http://schemas.openxmlformats.org/officeDocument/2006/relationships" name="材料持出表 (3)" sheetId="9" state="visible" r:id="rId9"/>
    <sheet xmlns:r="http://schemas.openxmlformats.org/officeDocument/2006/relationships" name="材料持出表 (4)" sheetId="10" state="visible" r:id="rId10"/>
  </sheets>
  <definedNames>
    <definedName name="_xlnm.Print_Area" localSheetId="0">'作業報告書'!$B$2:$CC$133</definedName>
    <definedName name="_xlnm.Print_Area" localSheetId="1">'作業報告書 (2)'!$B$2:$CC$134</definedName>
    <definedName name="_xlnm.Print_Area" localSheetId="2">'作業報告書 (3)'!$B$2:$CC$134</definedName>
    <definedName name="_xlnm.Print_Area" localSheetId="3">'作業報告書 (4)'!$B$2:$CC$134</definedName>
    <definedName name="_xlnm.Print_Area" localSheetId="4">'作業報告書 (5)'!$B$2:$CC$134</definedName>
    <definedName name="_xlnm.Print_Area" localSheetId="5">'作業報告書 (END)'!$B$2:$CC$134</definedName>
    <definedName name="_xlnm.Print_Area" localSheetId="6">'材料持出表'!$A$1:$BB$25</definedName>
    <definedName name="_xlnm.Print_Area" localSheetId="7">'材料持出表 (2)'!$A$1:$BB$26</definedName>
    <definedName name="_xlnm.Print_Area" localSheetId="8">'材料持出表 (3)'!$A$1:$BB$26</definedName>
    <definedName name="_xlnm.Print_Area" localSheetId="9">'材料持出表 (4)'!$A$1:$BB$26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m/d;@"/>
    <numFmt numFmtId="165" formatCode="h:mm;@"/>
    <numFmt numFmtId="166" formatCode="[h]:mm"/>
    <numFmt numFmtId="167" formatCode="&quot;¥&quot;#,##0;&quot;¥&quot;\-#,##0"/>
    <numFmt numFmtId="168" formatCode="yyyy/m/d;@"/>
    <numFmt numFmtId="169" formatCode="&quot;¥&quot;#,##0_);[Red]\(&quot;¥&quot;#,##0\)"/>
  </numFmts>
  <fonts count="27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Ｐゴシック"/>
      <charset val="128"/>
      <family val="3"/>
      <sz val="6"/>
      <scheme val="minor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indexed="8"/>
      <sz val="22"/>
    </font>
    <font>
      <name val="游ゴシック"/>
      <charset val="128"/>
      <family val="3"/>
      <color indexed="8"/>
      <sz val="22"/>
    </font>
    <font>
      <name val="游ゴシック"/>
      <charset val="128"/>
      <family val="3"/>
      <color indexed="10"/>
      <sz val="8"/>
    </font>
    <font>
      <name val="游ゴシック"/>
      <charset val="128"/>
      <family val="3"/>
      <color indexed="8"/>
      <sz val="14"/>
    </font>
    <font>
      <name val="游ゴシック"/>
      <charset val="128"/>
      <family val="3"/>
      <color theme="1"/>
      <sz val="9"/>
    </font>
    <font>
      <name val="游ゴシック"/>
      <charset val="128"/>
      <family val="3"/>
      <color theme="1"/>
      <sz val="10"/>
    </font>
    <font>
      <name val="游ゴシック"/>
      <charset val="128"/>
      <family val="3"/>
      <color indexed="8"/>
      <sz val="20"/>
    </font>
    <font>
      <name val="游ゴシック"/>
      <charset val="128"/>
      <family val="3"/>
      <color indexed="8"/>
      <sz val="7"/>
    </font>
    <font>
      <name val="游ゴシック"/>
      <charset val="128"/>
      <family val="3"/>
      <b val="1"/>
      <color indexed="8"/>
      <sz val="11"/>
    </font>
    <font>
      <name val="游ゴシック"/>
      <charset val="128"/>
      <family val="3"/>
      <b val="1"/>
      <color indexed="8"/>
      <sz val="10"/>
    </font>
    <font>
      <name val="游ゴシック"/>
      <charset val="128"/>
      <family val="3"/>
      <color theme="1"/>
      <sz val="8"/>
    </font>
    <font>
      <name val="ＭＳ Ｐゴシック"/>
      <charset val="128"/>
      <family val="3"/>
      <color theme="1"/>
      <sz val="10"/>
      <scheme val="minor"/>
    </font>
    <font>
      <name val="游ゴシック"/>
      <charset val="128"/>
      <family val="3"/>
      <color rgb="FFFF0000"/>
      <sz val="10"/>
    </font>
    <font>
      <name val="ＭＳ Ｐゴシック"/>
      <charset val="128"/>
      <family val="3"/>
      <color theme="1"/>
      <sz val="8"/>
      <scheme val="minor"/>
    </font>
    <font>
      <name val="游ゴシック"/>
      <charset val="128"/>
      <family val="3"/>
      <color theme="1"/>
      <sz val="7"/>
    </font>
    <font>
      <name val="游ゴシック"/>
      <charset val="128"/>
      <family val="3"/>
      <b val="1"/>
      <color theme="1"/>
      <sz val="9"/>
    </font>
    <font>
      <name val="游ゴシック"/>
      <charset val="128"/>
      <family val="3"/>
      <b val="1"/>
      <color theme="1"/>
      <sz val="10"/>
    </font>
    <font>
      <name val="游ゴシック"/>
      <charset val="128"/>
      <family val="3"/>
      <b val="1"/>
      <color theme="1"/>
      <sz val="8"/>
    </font>
    <font>
      <name val="ＭＳ Ｐゴシック"/>
      <charset val="128"/>
      <family val="3"/>
      <color theme="1"/>
      <sz val="9"/>
      <scheme val="minor"/>
    </font>
    <font>
      <name val="ＭＳ ゴシック"/>
      <charset val="128"/>
      <family val="3"/>
      <color indexed="8"/>
      <sz val="7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color theme="1"/>
      <sz val="9"/>
    </font>
    <font>
      <name val="ＭＳ Ｐゴシック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/>
      <right style="hair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7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distributed" vertical="distributed"/>
    </xf>
    <xf numFmtId="0" fontId="5" fillId="0" borderId="0" applyAlignment="1" pivotButton="0" quotePrefix="0" xfId="0">
      <alignment horizontal="distributed" vertical="distributed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distributed" vertical="distributed"/>
    </xf>
    <xf numFmtId="0" fontId="3" fillId="0" borderId="0" applyAlignment="1" applyProtection="1" pivotButton="0" quotePrefix="0" xfId="0">
      <alignment vertical="center"/>
      <protection locked="0" hidden="0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164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20" fontId="3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65" fontId="1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5" fillId="0" borderId="0" applyAlignment="1" applyProtection="1" pivotButton="0" quotePrefix="0" xfId="0">
      <alignment vertical="center" wrapText="1"/>
      <protection locked="0" hidden="0"/>
    </xf>
    <xf numFmtId="165" fontId="23" fillId="0" borderId="1" applyAlignment="1" applyProtection="1" pivotButton="0" quotePrefix="0" xfId="0">
      <alignment horizontal="center" vertical="center" wrapText="1"/>
      <protection locked="0" hidden="0"/>
    </xf>
    <xf numFmtId="0" fontId="23" fillId="0" borderId="2" applyAlignment="1" applyProtection="1" pivotButton="0" quotePrefix="0" xfId="0">
      <alignment horizontal="center" vertical="center" wrapText="1"/>
      <protection locked="0" hidden="0"/>
    </xf>
    <xf numFmtId="0" fontId="23" fillId="0" borderId="1" applyAlignment="1" applyProtection="1" pivotButton="0" quotePrefix="0" xfId="0">
      <alignment horizontal="center" vertical="center" wrapText="1"/>
      <protection locked="0" hidden="0"/>
    </xf>
    <xf numFmtId="49" fontId="23" fillId="0" borderId="2" applyAlignment="1" applyProtection="1" pivotButton="0" quotePrefix="0" xfId="0">
      <alignment horizontal="center" vertical="center" wrapText="1"/>
      <protection locked="0" hidden="0"/>
    </xf>
    <xf numFmtId="164" fontId="9" fillId="0" borderId="0" applyAlignment="1" applyProtection="1" pivotButton="0" quotePrefix="0" xfId="0">
      <alignment horizontal="center" vertical="center"/>
      <protection locked="0" hidden="0"/>
    </xf>
    <xf numFmtId="165" fontId="11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vertical="center" wrapText="1"/>
      <protection locked="0" hidden="0"/>
    </xf>
    <xf numFmtId="0" fontId="3" fillId="0" borderId="18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9" fillId="0" borderId="44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8" fillId="2" borderId="33" applyAlignment="1" pivotButton="0" quotePrefix="0" xfId="0">
      <alignment vertical="center"/>
    </xf>
    <xf numFmtId="0" fontId="8" fillId="2" borderId="34" applyAlignment="1" pivotButton="0" quotePrefix="0" xfId="0">
      <alignment vertical="center"/>
    </xf>
    <xf numFmtId="21" fontId="23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2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166" fontId="0" fillId="0" borderId="18" applyAlignment="1" pivotButton="0" quotePrefix="0" xfId="0">
      <alignment vertical="center"/>
    </xf>
    <xf numFmtId="166" fontId="0" fillId="0" borderId="20" applyAlignment="1" pivotButton="0" quotePrefix="0" xfId="0">
      <alignment vertical="center"/>
    </xf>
    <xf numFmtId="165" fontId="22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9" fillId="0" borderId="29" applyAlignment="1" applyProtection="1" pivotButton="0" quotePrefix="0" xfId="0">
      <alignment horizontal="center" vertical="center"/>
      <protection locked="0" hidden="0"/>
    </xf>
    <xf numFmtId="0" fontId="9" fillId="0" borderId="27" applyAlignment="1" applyProtection="1" pivotButton="0" quotePrefix="0" xfId="0">
      <alignment horizontal="center" vertical="center"/>
      <protection locked="0" hidden="0"/>
    </xf>
    <xf numFmtId="0" fontId="0" fillId="0" borderId="28" applyAlignment="1" pivotButton="0" quotePrefix="0" xfId="0">
      <alignment horizontal="center" vertical="center"/>
    </xf>
    <xf numFmtId="167" fontId="9" fillId="0" borderId="26" applyAlignment="1" applyProtection="1" pivotButton="0" quotePrefix="0" xfId="0">
      <alignment horizontal="center" vertical="center"/>
      <protection locked="0" hidden="0"/>
    </xf>
    <xf numFmtId="164" fontId="9" fillId="0" borderId="27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164" fontId="9" fillId="0" borderId="29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164" fontId="9" fillId="0" borderId="27" applyAlignment="1" applyProtection="1" pivotButton="0" quotePrefix="0" xfId="0">
      <alignment horizontal="center" vertical="center"/>
      <protection locked="0" hidden="0"/>
    </xf>
    <xf numFmtId="164" fontId="9" fillId="0" borderId="28" applyAlignment="1" applyProtection="1" pivotButton="0" quotePrefix="0" xfId="0">
      <alignment horizontal="center" vertical="center"/>
      <protection locked="0" hidden="0"/>
    </xf>
    <xf numFmtId="164" fontId="9" fillId="0" borderId="29" applyAlignment="1" applyProtection="1" pivotButton="0" quotePrefix="0" xfId="0">
      <alignment horizontal="center" vertical="center"/>
      <protection locked="0" hidden="0"/>
    </xf>
    <xf numFmtId="0" fontId="9" fillId="0" borderId="26" applyAlignment="1" applyProtection="1" pivotButton="0" quotePrefix="0" xfId="0">
      <alignment horizontal="center" vertical="center"/>
      <protection locked="0" hidden="0"/>
    </xf>
    <xf numFmtId="0" fontId="12" fillId="0" borderId="2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167" fontId="9" fillId="0" borderId="26" applyAlignment="1" pivotButton="0" quotePrefix="0" xfId="0">
      <alignment horizontal="center" vertical="center"/>
    </xf>
    <xf numFmtId="0" fontId="9" fillId="0" borderId="12" applyAlignment="1" applyProtection="1" pivotButton="0" quotePrefix="0" xfId="0">
      <alignment vertical="center" wrapText="1"/>
      <protection locked="0" hidden="0"/>
    </xf>
    <xf numFmtId="0" fontId="0" fillId="0" borderId="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50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9" fillId="0" borderId="50" applyAlignment="1" applyProtection="1" pivotButton="0" quotePrefix="0" xfId="0">
      <alignment vertical="center" wrapText="1"/>
      <protection locked="0" hidden="0"/>
    </xf>
    <xf numFmtId="0" fontId="0" fillId="0" borderId="53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9" fillId="0" borderId="21" applyAlignment="1" applyProtection="1" pivotButton="0" quotePrefix="0" xfId="0">
      <alignment vertical="center"/>
      <protection locked="0" hidden="0"/>
    </xf>
    <xf numFmtId="0" fontId="0" fillId="0" borderId="1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0" applyAlignment="1" applyProtection="1" pivotButton="0" quotePrefix="0" xfId="0">
      <alignment vertical="center"/>
      <protection locked="0" hidden="0"/>
    </xf>
    <xf numFmtId="0" fontId="0" fillId="0" borderId="19" applyAlignment="1" pivotButton="0" quotePrefix="0" xfId="0">
      <alignment vertical="center"/>
    </xf>
    <xf numFmtId="0" fontId="0" fillId="0" borderId="18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20" applyAlignment="1" pivotButton="0" quotePrefix="0" xfId="0">
      <alignment vertical="center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0" fillId="0" borderId="22" applyAlignment="1" pivotButton="0" quotePrefix="0" xfId="0">
      <alignment vertical="center"/>
    </xf>
    <xf numFmtId="0" fontId="9" fillId="0" borderId="52" applyAlignment="1" applyProtection="1" pivotButton="0" quotePrefix="0" xfId="0">
      <alignment vertical="center" wrapText="1"/>
      <protection locked="0" hidden="0"/>
    </xf>
    <xf numFmtId="0" fontId="0" fillId="0" borderId="39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9" fillId="0" borderId="9" applyAlignment="1" applyProtection="1" pivotButton="0" quotePrefix="0" xfId="0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9" fillId="0" borderId="9" applyAlignment="1" applyProtection="1" pivotButton="0" quotePrefix="0" xfId="0">
      <alignment horizontal="center" vertical="distributed"/>
      <protection locked="0" hidden="0"/>
    </xf>
    <xf numFmtId="0" fontId="9" fillId="0" borderId="9" applyAlignment="1" applyProtection="1" pivotButton="0" quotePrefix="0" xfId="0">
      <alignment vertical="center" wrapText="1"/>
      <protection locked="0" hidden="0"/>
    </xf>
    <xf numFmtId="0" fontId="0" fillId="0" borderId="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165" fontId="8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166" fontId="25" fillId="0" borderId="32" applyAlignment="1" pivotButton="0" quotePrefix="0" xfId="0">
      <alignment horizontal="center" vertical="center"/>
    </xf>
    <xf numFmtId="166" fontId="25" fillId="0" borderId="30" applyAlignment="1" pivotButton="0" quotePrefix="0" xfId="0">
      <alignment horizontal="center" vertical="center"/>
    </xf>
    <xf numFmtId="165" fontId="8" fillId="0" borderId="36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166" fontId="25" fillId="0" borderId="25" applyAlignment="1" pivotButton="0" quotePrefix="0" xfId="0">
      <alignment horizontal="center" vertical="center"/>
    </xf>
    <xf numFmtId="166" fontId="25" fillId="0" borderId="37" applyAlignment="1" pivotButton="0" quotePrefix="0" xfId="0">
      <alignment horizontal="center" vertical="center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4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13" applyAlignment="1" applyProtection="1" pivotButton="0" quotePrefix="0" xfId="0">
      <alignment horizontal="center" vertical="center" wrapText="1"/>
      <protection locked="0" hidden="0"/>
    </xf>
    <xf numFmtId="0" fontId="8" fillId="0" borderId="14" applyAlignment="1" applyProtection="1" pivotButton="0" quotePrefix="0" xfId="0">
      <alignment horizontal="center" vertical="center" wrapText="1"/>
      <protection locked="0" hidden="0"/>
    </xf>
    <xf numFmtId="0" fontId="8" fillId="0" borderId="15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1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165" fontId="23" fillId="0" borderId="12" applyAlignment="1" applyProtection="1" pivotButton="0" quotePrefix="0" xfId="0">
      <alignment horizontal="center" vertical="center" wrapText="1"/>
      <protection locked="0" hidden="0"/>
    </xf>
    <xf numFmtId="0" fontId="23" fillId="0" borderId="3" applyAlignment="1" applyProtection="1" pivotButton="0" quotePrefix="0" xfId="0">
      <alignment horizontal="center" vertical="center" wrapText="1"/>
      <protection locked="0" hidden="0"/>
    </xf>
    <xf numFmtId="0" fontId="23" fillId="0" borderId="4" applyAlignment="1" applyProtection="1" pivotButton="0" quotePrefix="0" xfId="0">
      <alignment horizontal="center" vertical="center" wrapText="1"/>
      <protection locked="0" hidden="0"/>
    </xf>
    <xf numFmtId="165" fontId="23" fillId="0" borderId="13" applyAlignment="1" applyProtection="1" pivotButton="0" quotePrefix="0" xfId="0">
      <alignment horizontal="center" vertical="center" wrapText="1"/>
      <protection locked="0" hidden="0"/>
    </xf>
    <xf numFmtId="165" fontId="23" fillId="0" borderId="14" applyAlignment="1" applyProtection="1" pivotButton="0" quotePrefix="0" xfId="0">
      <alignment horizontal="center" vertical="center" wrapText="1"/>
      <protection locked="0" hidden="0"/>
    </xf>
    <xf numFmtId="165" fontId="23" fillId="0" borderId="15" applyAlignment="1" applyProtection="1" pivotButton="0" quotePrefix="0" xfId="0">
      <alignment horizontal="center" vertical="center" wrapText="1"/>
      <protection locked="0" hidden="0"/>
    </xf>
    <xf numFmtId="0" fontId="8" fillId="0" borderId="9" applyAlignment="1" applyProtection="1" pivotButton="0" quotePrefix="0" xfId="0">
      <alignment horizontal="center" vertical="center"/>
      <protection locked="0" hidden="0"/>
    </xf>
    <xf numFmtId="0" fontId="8" fillId="0" borderId="10" applyAlignment="1" applyProtection="1" pivotButton="0" quotePrefix="0" xfId="0">
      <alignment horizontal="center" vertical="center"/>
      <protection locked="0" hidden="0"/>
    </xf>
    <xf numFmtId="0" fontId="8" fillId="0" borderId="11" applyAlignment="1" applyProtection="1" pivotButton="0" quotePrefix="0" xfId="0">
      <alignment horizontal="center" vertical="center"/>
      <protection locked="0" hidden="0"/>
    </xf>
    <xf numFmtId="0" fontId="8" fillId="0" borderId="16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center" vertical="center"/>
      <protection locked="0" hidden="0"/>
    </xf>
    <xf numFmtId="0" fontId="8" fillId="0" borderId="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4" applyAlignment="1" applyProtection="1" pivotButton="0" quotePrefix="0" xfId="0">
      <alignment horizontal="center" vertical="center"/>
      <protection locked="0" hidden="0"/>
    </xf>
    <xf numFmtId="164" fontId="9" fillId="0" borderId="15" applyAlignment="1" applyProtection="1" pivotButton="0" quotePrefix="0" xfId="0">
      <alignment horizontal="center" vertical="center"/>
      <protection locked="0" hidden="0"/>
    </xf>
    <xf numFmtId="164" fontId="9" fillId="0" borderId="18" applyAlignment="1" applyProtection="1" pivotButton="0" quotePrefix="0" xfId="0">
      <alignment horizontal="center" vertical="center"/>
      <protection locked="0" hidden="0"/>
    </xf>
    <xf numFmtId="164" fontId="9" fillId="0" borderId="0" applyAlignment="1" applyProtection="1" pivotButton="0" quotePrefix="0" xfId="0">
      <alignment horizontal="center" vertical="center"/>
      <protection locked="0" hidden="0"/>
    </xf>
    <xf numFmtId="164" fontId="9" fillId="0" borderId="2" applyAlignment="1" applyProtection="1" pivotButton="0" quotePrefix="0" xfId="0">
      <alignment horizontal="center" vertical="center"/>
      <protection locked="0" hidden="0"/>
    </xf>
    <xf numFmtId="164" fontId="9" fillId="0" borderId="5" applyAlignment="1" applyProtection="1" pivotButton="0" quotePrefix="0" xfId="0">
      <alignment horizontal="center" vertical="center"/>
      <protection locked="0" hidden="0"/>
    </xf>
    <xf numFmtId="164" fontId="9" fillId="0" borderId="3" applyAlignment="1" applyProtection="1" pivotButton="0" quotePrefix="0" xfId="0">
      <alignment horizontal="center" vertical="center"/>
      <protection locked="0" hidden="0"/>
    </xf>
    <xf numFmtId="164" fontId="9" fillId="0" borderId="4" applyAlignment="1" applyProtection="1" pivotButton="0" quotePrefix="0" xfId="0">
      <alignment horizontal="center" vertical="center"/>
      <protection locked="0" hidden="0"/>
    </xf>
    <xf numFmtId="0" fontId="8" fillId="0" borderId="16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165" fontId="23" fillId="0" borderId="16" applyAlignment="1" applyProtection="1" pivotButton="0" quotePrefix="0" xfId="0">
      <alignment horizontal="center" vertical="center" wrapText="1"/>
      <protection locked="0" hidden="0"/>
    </xf>
    <xf numFmtId="0" fontId="23" fillId="0" borderId="6" applyAlignment="1" applyProtection="1" pivotButton="0" quotePrefix="0" xfId="0">
      <alignment horizontal="center" vertical="center" wrapText="1"/>
      <protection locked="0" hidden="0"/>
    </xf>
    <xf numFmtId="0" fontId="23" fillId="0" borderId="7" applyAlignment="1" applyProtection="1" pivotButton="0" quotePrefix="0" xfId="0">
      <alignment horizontal="center" vertical="center" wrapText="1"/>
      <protection locked="0" hidden="0"/>
    </xf>
    <xf numFmtId="0" fontId="9" fillId="0" borderId="21" applyAlignment="1" applyProtection="1" pivotButton="0" quotePrefix="0" xfId="0">
      <alignment horizontal="center" vertical="center"/>
      <protection locked="0" hidden="0"/>
    </xf>
    <xf numFmtId="0" fontId="9" fillId="0" borderId="10" applyAlignment="1" applyProtection="1" pivotButton="0" quotePrefix="0" xfId="0">
      <alignment horizontal="center" vertical="center"/>
      <protection locked="0" hidden="0"/>
    </xf>
    <xf numFmtId="0" fontId="9" fillId="0" borderId="11" applyAlignment="1" applyProtection="1" pivotButton="0" quotePrefix="0" xfId="0">
      <alignment horizontal="center" vertical="center"/>
      <protection locked="0" hidden="0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center" vertical="center"/>
      <protection locked="0" hidden="0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19" fillId="0" borderId="9" applyAlignment="1" applyProtection="1" pivotButton="0" quotePrefix="0" xfId="0">
      <alignment horizontal="center" vertical="center" wrapText="1"/>
      <protection locked="0" hidden="0"/>
    </xf>
    <xf numFmtId="0" fontId="18" fillId="0" borderId="10" applyAlignment="1" applyProtection="1" pivotButton="0" quotePrefix="0" xfId="0">
      <alignment horizontal="center" vertical="center" wrapText="1"/>
      <protection locked="0" hidden="0"/>
    </xf>
    <xf numFmtId="0" fontId="18" fillId="0" borderId="11" applyAlignment="1" applyProtection="1" pivotButton="0" quotePrefix="0" xfId="0">
      <alignment horizontal="center" vertical="center" wrapText="1"/>
      <protection locked="0" hidden="0"/>
    </xf>
    <xf numFmtId="0" fontId="18" fillId="0" borderId="16" applyAlignment="1" applyProtection="1" pivotButton="0" quotePrefix="0" xfId="0">
      <alignment horizontal="center" vertical="center" wrapText="1"/>
      <protection locked="0" hidden="0"/>
    </xf>
    <xf numFmtId="0" fontId="18" fillId="0" borderId="6" applyAlignment="1" applyProtection="1" pivotButton="0" quotePrefix="0" xfId="0">
      <alignment horizontal="center" vertical="center" wrapText="1"/>
      <protection locked="0" hidden="0"/>
    </xf>
    <xf numFmtId="0" fontId="18" fillId="0" borderId="7" applyAlignment="1" applyProtection="1" pivotButton="0" quotePrefix="0" xfId="0">
      <alignment horizontal="center" vertical="center" wrapText="1"/>
      <protection locked="0" hidden="0"/>
    </xf>
    <xf numFmtId="0" fontId="9" fillId="0" borderId="10" applyAlignment="1" applyProtection="1" pivotButton="0" quotePrefix="0" xfId="0">
      <alignment vertical="center" wrapText="1"/>
      <protection locked="0" hidden="0"/>
    </xf>
    <xf numFmtId="0" fontId="9" fillId="0" borderId="11" applyAlignment="1" applyProtection="1" pivotButton="0" quotePrefix="0" xfId="0">
      <alignment vertical="center" wrapText="1"/>
      <protection locked="0" hidden="0"/>
    </xf>
    <xf numFmtId="0" fontId="9" fillId="0" borderId="16" applyAlignment="1" applyProtection="1" pivotButton="0" quotePrefix="0" xfId="0">
      <alignment vertical="center" wrapText="1"/>
      <protection locked="0" hidden="0"/>
    </xf>
    <xf numFmtId="0" fontId="9" fillId="0" borderId="6" applyAlignment="1" applyProtection="1" pivotButton="0" quotePrefix="0" xfId="0">
      <alignment vertical="center" wrapText="1"/>
      <protection locked="0" hidden="0"/>
    </xf>
    <xf numFmtId="0" fontId="9" fillId="0" borderId="7" applyAlignment="1" applyProtection="1" pivotButton="0" quotePrefix="0" xfId="0">
      <alignment vertical="center" wrapText="1"/>
      <protection locked="0" hidden="0"/>
    </xf>
    <xf numFmtId="0" fontId="14" fillId="0" borderId="10" applyAlignment="1" applyProtection="1" pivotButton="0" quotePrefix="0" xfId="0">
      <alignment horizontal="center" vertical="center" wrapText="1"/>
      <protection locked="0" hidden="0"/>
    </xf>
    <xf numFmtId="0" fontId="14" fillId="0" borderId="11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6" applyAlignment="1" applyProtection="1" pivotButton="0" quotePrefix="0" xfId="0">
      <alignment horizontal="center" vertical="center" wrapText="1"/>
      <protection locked="0" hidden="0"/>
    </xf>
    <xf numFmtId="0" fontId="14" fillId="0" borderId="7" applyAlignment="1" applyProtection="1" pivotButton="0" quotePrefix="0" xfId="0">
      <alignment horizontal="center" vertical="center" wrapText="1"/>
      <protection locked="0" hidden="0"/>
    </xf>
    <xf numFmtId="165" fontId="23" fillId="0" borderId="3" applyAlignment="1" applyProtection="1" pivotButton="0" quotePrefix="0" xfId="0">
      <alignment horizontal="center" vertical="center" wrapText="1"/>
      <protection locked="0" hidden="0"/>
    </xf>
    <xf numFmtId="165" fontId="23" fillId="0" borderId="4" applyAlignment="1" applyProtection="1" pivotButton="0" quotePrefix="0" xfId="0">
      <alignment horizontal="center" vertical="center" wrapText="1"/>
      <protection locked="0" hidden="0"/>
    </xf>
    <xf numFmtId="165" fontId="23" fillId="0" borderId="1" applyAlignment="1" applyProtection="1" pivotButton="0" quotePrefix="0" xfId="0">
      <alignment horizontal="center" vertical="center" wrapText="1"/>
      <protection locked="0" hidden="0"/>
    </xf>
    <xf numFmtId="165" fontId="23" fillId="0" borderId="0" applyAlignment="1" applyProtection="1" pivotButton="0" quotePrefix="0" xfId="0">
      <alignment horizontal="center" vertical="center" wrapText="1"/>
      <protection locked="0" hidden="0"/>
    </xf>
    <xf numFmtId="165" fontId="23" fillId="0" borderId="2" applyAlignment="1" applyProtection="1" pivotButton="0" quotePrefix="0" xfId="0">
      <alignment horizontal="center" vertical="center" wrapText="1"/>
      <protection locked="0" hidden="0"/>
    </xf>
    <xf numFmtId="164" fontId="9" fillId="0" borderId="8" applyAlignment="1" applyProtection="1" pivotButton="0" quotePrefix="0" xfId="0">
      <alignment horizontal="center" vertical="center"/>
      <protection locked="0" hidden="0"/>
    </xf>
    <xf numFmtId="164" fontId="9" fillId="0" borderId="6" applyAlignment="1" applyProtection="1" pivotButton="0" quotePrefix="0" xfId="0">
      <alignment horizontal="center" vertical="center"/>
      <protection locked="0" hidden="0"/>
    </xf>
    <xf numFmtId="164" fontId="9" fillId="0" borderId="7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distributed" vertical="center"/>
      <protection locked="0" hidden="0"/>
    </xf>
    <xf numFmtId="0" fontId="3" fillId="0" borderId="6" applyAlignment="1" applyProtection="1" pivotButton="0" quotePrefix="0" xfId="0">
      <alignment horizontal="distributed" vertical="center"/>
      <protection locked="0" hidden="0"/>
    </xf>
    <xf numFmtId="0" fontId="10" fillId="0" borderId="0" applyAlignment="1" applyProtection="1" pivotButton="0" quotePrefix="0" xfId="0">
      <alignment horizontal="center" vertical="justify"/>
      <protection locked="0" hidden="0"/>
    </xf>
    <xf numFmtId="0" fontId="10" fillId="0" borderId="6" applyAlignment="1" applyProtection="1" pivotButton="0" quotePrefix="0" xfId="0">
      <alignment horizontal="center" vertical="justify"/>
      <protection locked="0" hidden="0"/>
    </xf>
    <xf numFmtId="165" fontId="23" fillId="0" borderId="9" applyAlignment="1" applyProtection="1" pivotButton="0" quotePrefix="0" xfId="0">
      <alignment horizontal="center" vertical="center" wrapText="1"/>
      <protection locked="0" hidden="0"/>
    </xf>
    <xf numFmtId="165" fontId="23" fillId="0" borderId="10" applyAlignment="1" applyProtection="1" pivotButton="0" quotePrefix="0" xfId="0">
      <alignment horizontal="center" vertical="center" wrapText="1"/>
      <protection locked="0" hidden="0"/>
    </xf>
    <xf numFmtId="165" fontId="23" fillId="0" borderId="11" applyAlignment="1" applyProtection="1" pivotButton="0" quotePrefix="0" xfId="0">
      <alignment horizontal="center" vertical="center" wrapText="1"/>
      <protection locked="0" hidden="0"/>
    </xf>
    <xf numFmtId="164" fontId="9" fillId="0" borderId="21" applyAlignment="1" applyProtection="1" pivotButton="0" quotePrefix="0" xfId="0">
      <alignment horizontal="center" vertical="center"/>
      <protection locked="0" hidden="0"/>
    </xf>
    <xf numFmtId="164" fontId="9" fillId="0" borderId="10" applyAlignment="1" applyProtection="1" pivotButton="0" quotePrefix="0" xfId="0">
      <alignment horizontal="center" vertical="center"/>
      <protection locked="0" hidden="0"/>
    </xf>
    <xf numFmtId="164" fontId="9" fillId="0" borderId="11" applyAlignment="1" applyProtection="1" pivotButton="0" quotePrefix="0" xfId="0">
      <alignment horizontal="center" vertical="center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horizontal="center" vertical="center" wrapText="1"/>
      <protection locked="0" hidden="0"/>
    </xf>
    <xf numFmtId="165" fontId="8" fillId="0" borderId="13" applyAlignment="1" applyProtection="1" pivotButton="0" quotePrefix="0" xfId="0">
      <alignment horizontal="center" vertical="center" wrapText="1"/>
      <protection locked="0" hidden="0"/>
    </xf>
    <xf numFmtId="165" fontId="8" fillId="0" borderId="14" applyAlignment="1" applyProtection="1" pivotButton="0" quotePrefix="0" xfId="0">
      <alignment horizontal="center" vertical="center" wrapText="1"/>
      <protection locked="0" hidden="0"/>
    </xf>
    <xf numFmtId="165" fontId="8" fillId="0" borderId="15" applyAlignment="1" applyProtection="1" pivotButton="0" quotePrefix="0" xfId="0">
      <alignment horizontal="center" vertical="center" wrapText="1"/>
      <protection locked="0" hidden="0"/>
    </xf>
    <xf numFmtId="165" fontId="8" fillId="0" borderId="1" applyAlignment="1" applyProtection="1" pivotButton="0" quotePrefix="0" xfId="0">
      <alignment horizontal="center" vertical="center" wrapText="1"/>
      <protection locked="0" hidden="0"/>
    </xf>
    <xf numFmtId="165" fontId="8" fillId="0" borderId="0" applyAlignment="1" applyProtection="1" pivotButton="0" quotePrefix="0" xfId="0">
      <alignment horizontal="center" vertical="center" wrapText="1"/>
      <protection locked="0" hidden="0"/>
    </xf>
    <xf numFmtId="165" fontId="8" fillId="0" borderId="2" applyAlignment="1" applyProtection="1" pivotButton="0" quotePrefix="0" xfId="0">
      <alignment horizontal="center" vertical="center" wrapText="1"/>
      <protection locked="0" hidden="0"/>
    </xf>
    <xf numFmtId="165" fontId="8" fillId="0" borderId="12" applyAlignment="1" applyProtection="1" pivotButton="0" quotePrefix="0" xfId="0">
      <alignment horizontal="center" vertical="center" wrapText="1"/>
      <protection locked="0" hidden="0"/>
    </xf>
    <xf numFmtId="165" fontId="8" fillId="0" borderId="3" applyAlignment="1" applyProtection="1" pivotButton="0" quotePrefix="0" xfId="0">
      <alignment horizontal="center" vertical="center" wrapText="1"/>
      <protection locked="0" hidden="0"/>
    </xf>
    <xf numFmtId="165" fontId="8" fillId="0" borderId="4" applyAlignment="1" applyProtection="1" pivotButton="0" quotePrefix="0" xfId="0">
      <alignment horizontal="center" vertical="center" wrapText="1"/>
      <protection locked="0" hidden="0"/>
    </xf>
    <xf numFmtId="0" fontId="9" fillId="0" borderId="21" applyAlignment="1" applyProtection="1" pivotButton="0" quotePrefix="0" xfId="0">
      <alignment horizontal="left" vertical="center" textRotation="255" readingOrder="2"/>
      <protection locked="0" hidden="0"/>
    </xf>
    <xf numFmtId="0" fontId="0" fillId="0" borderId="19" applyAlignment="1" applyProtection="1" pivotButton="0" quotePrefix="0" xfId="0">
      <alignment horizontal="left" vertical="center" textRotation="255" readingOrder="2"/>
      <protection locked="0" hidden="0"/>
    </xf>
    <xf numFmtId="0" fontId="0" fillId="0" borderId="18" applyAlignment="1" applyProtection="1" pivotButton="0" quotePrefix="0" xfId="0">
      <alignment horizontal="left" vertical="center" textRotation="255" readingOrder="2"/>
      <protection locked="0" hidden="0"/>
    </xf>
    <xf numFmtId="0" fontId="0" fillId="0" borderId="20" applyAlignment="1" applyProtection="1" pivotButton="0" quotePrefix="0" xfId="0">
      <alignment horizontal="left" vertical="center" textRotation="255" readingOrder="2"/>
      <protection locked="0" hidden="0"/>
    </xf>
    <xf numFmtId="0" fontId="0" fillId="0" borderId="8" applyAlignment="1" applyProtection="1" pivotButton="0" quotePrefix="0" xfId="0">
      <alignment horizontal="left" vertical="center" textRotation="255" readingOrder="2"/>
      <protection locked="0" hidden="0"/>
    </xf>
    <xf numFmtId="0" fontId="0" fillId="0" borderId="22" applyAlignment="1" applyProtection="1" pivotButton="0" quotePrefix="0" xfId="0">
      <alignment horizontal="left" vertical="center" textRotation="255" readingOrder="2"/>
      <protection locked="0" hidden="0"/>
    </xf>
    <xf numFmtId="0" fontId="9" fillId="0" borderId="47" applyAlignment="1" applyProtection="1" pivotButton="0" quotePrefix="0" xfId="0">
      <alignment horizontal="distributed" vertical="center" textRotation="255" readingOrder="2"/>
      <protection locked="0" hidden="0"/>
    </xf>
    <xf numFmtId="0" fontId="9" fillId="0" borderId="48" applyAlignment="1" applyProtection="1" pivotButton="0" quotePrefix="0" xfId="0">
      <alignment horizontal="distributed" vertical="center" textRotation="255" readingOrder="2"/>
      <protection locked="0" hidden="0"/>
    </xf>
    <xf numFmtId="0" fontId="9" fillId="0" borderId="49" applyAlignment="1" applyProtection="1" pivotButton="0" quotePrefix="0" xfId="0">
      <alignment horizontal="distributed" vertical="center" textRotation="255" readingOrder="2"/>
      <protection locked="0" hidden="0"/>
    </xf>
    <xf numFmtId="0" fontId="8" fillId="0" borderId="21" applyAlignment="1" applyProtection="1" pivotButton="0" quotePrefix="0" xfId="0">
      <alignment horizontal="center" vertical="center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0" fillId="0" borderId="47" applyAlignment="1" applyProtection="1" pivotButton="0" quotePrefix="0" xfId="0">
      <alignment vertical="center"/>
      <protection locked="0" hidden="0"/>
    </xf>
    <xf numFmtId="0" fontId="0" fillId="0" borderId="48" applyAlignment="1" applyProtection="1" pivotButton="0" quotePrefix="0" xfId="0">
      <alignment vertical="center"/>
      <protection locked="0" hidden="0"/>
    </xf>
    <xf numFmtId="0" fontId="0" fillId="0" borderId="49" applyAlignment="1" applyProtection="1" pivotButton="0" quotePrefix="0" xfId="0">
      <alignment vertical="center"/>
      <protection locked="0" hidden="0"/>
    </xf>
    <xf numFmtId="0" fontId="9" fillId="0" borderId="21" applyAlignment="1" applyProtection="1" pivotButton="0" quotePrefix="0" xfId="0">
      <alignment horizontal="distributed" vertical="center" textRotation="255" readingOrder="2"/>
      <protection locked="0" hidden="0"/>
    </xf>
    <xf numFmtId="0" fontId="0" fillId="0" borderId="19" applyAlignment="1" applyProtection="1" pivotButton="0" quotePrefix="0" xfId="0">
      <alignment vertical="center"/>
      <protection locked="0" hidden="0"/>
    </xf>
    <xf numFmtId="0" fontId="9" fillId="0" borderId="18" applyAlignment="1" applyProtection="1" pivotButton="0" quotePrefix="0" xfId="0">
      <alignment horizontal="distributed" vertical="center" textRotation="255" readingOrder="2"/>
      <protection locked="0" hidden="0"/>
    </xf>
    <xf numFmtId="0" fontId="0" fillId="0" borderId="20" applyAlignment="1" applyProtection="1" pivotButton="0" quotePrefix="0" xfId="0">
      <alignment vertical="center"/>
      <protection locked="0" hidden="0"/>
    </xf>
    <xf numFmtId="0" fontId="9" fillId="0" borderId="8" applyAlignment="1" applyProtection="1" pivotButton="0" quotePrefix="0" xfId="0">
      <alignment horizontal="distributed" vertical="center" textRotation="255" readingOrder="2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9" fillId="0" borderId="10" applyAlignment="1" applyProtection="1" pivotButton="0" quotePrefix="0" xfId="0">
      <alignment horizontal="left" vertical="center"/>
      <protection locked="0" hidden="0"/>
    </xf>
    <xf numFmtId="0" fontId="0" fillId="0" borderId="10" applyAlignment="1" applyProtection="1" pivotButton="0" quotePrefix="0" xfId="0">
      <alignment horizontal="left" vertical="center"/>
      <protection locked="0" hidden="0"/>
    </xf>
    <xf numFmtId="0" fontId="0" fillId="0" borderId="19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20" applyAlignment="1" applyProtection="1" pivotButton="0" quotePrefix="0" xfId="0">
      <alignment horizontal="left" vertical="center"/>
      <protection locked="0" hidden="0"/>
    </xf>
    <xf numFmtId="0" fontId="0" fillId="0" borderId="6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8" fillId="2" borderId="27" applyAlignment="1" pivotButton="0" quotePrefix="0" xfId="0">
      <alignment vertical="center"/>
    </xf>
    <xf numFmtId="0" fontId="22" fillId="0" borderId="28" applyAlignment="1" pivotButton="0" quotePrefix="0" xfId="0">
      <alignment vertical="center"/>
    </xf>
    <xf numFmtId="0" fontId="22" fillId="0" borderId="29" applyAlignment="1" pivotButton="0" quotePrefix="0" xfId="0">
      <alignment vertical="center"/>
    </xf>
    <xf numFmtId="20" fontId="14" fillId="0" borderId="32" applyAlignment="1" pivotButton="0" quotePrefix="0" xfId="0">
      <alignment vertical="center"/>
    </xf>
    <xf numFmtId="0" fontId="17" fillId="0" borderId="32" applyAlignment="1" pivotButton="0" quotePrefix="0" xfId="0">
      <alignment vertical="center"/>
    </xf>
    <xf numFmtId="0" fontId="17" fillId="0" borderId="30" applyAlignment="1" pivotButton="0" quotePrefix="0" xfId="0">
      <alignment vertical="center"/>
    </xf>
    <xf numFmtId="0" fontId="9" fillId="0" borderId="21" applyAlignment="1" applyProtection="1" pivotButton="0" quotePrefix="0" xfId="0">
      <alignment horizontal="left" vertical="center"/>
      <protection locked="0" hidden="0"/>
    </xf>
    <xf numFmtId="0" fontId="0" fillId="0" borderId="18" applyAlignment="1" applyProtection="1" pivotButton="0" quotePrefix="0" xfId="0">
      <alignment horizontal="left" vertical="center"/>
      <protection locked="0" hidden="0"/>
    </xf>
    <xf numFmtId="0" fontId="0" fillId="0" borderId="8" applyAlignment="1" applyProtection="1" pivotButton="0" quotePrefix="0" xfId="0">
      <alignment horizontal="left" vertical="center"/>
      <protection locked="0" hidden="0"/>
    </xf>
    <xf numFmtId="0" fontId="8" fillId="0" borderId="31" applyAlignment="1" pivotButton="0" quotePrefix="0" xfId="0">
      <alignment vertical="center"/>
    </xf>
    <xf numFmtId="0" fontId="8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166" fontId="22" fillId="0" borderId="25" applyAlignment="1" pivotButton="0" quotePrefix="0" xfId="0">
      <alignment vertical="center"/>
    </xf>
    <xf numFmtId="166" fontId="22" fillId="0" borderId="37" applyAlignment="1" pivotButton="0" quotePrefix="0" xfId="0">
      <alignment vertical="center"/>
    </xf>
    <xf numFmtId="0" fontId="8" fillId="0" borderId="36" applyAlignment="1" pivotButton="0" quotePrefix="0" xfId="0">
      <alignment vertical="center"/>
    </xf>
    <xf numFmtId="0" fontId="8" fillId="0" borderId="3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166" fontId="22" fillId="0" borderId="32" applyAlignment="1" pivotButton="0" quotePrefix="0" xfId="0">
      <alignment vertical="center"/>
    </xf>
    <xf numFmtId="166" fontId="22" fillId="0" borderId="3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8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166" fontId="22" fillId="0" borderId="58" applyAlignment="1" pivotButton="0" quotePrefix="0" xfId="0">
      <alignment vertical="center"/>
    </xf>
    <xf numFmtId="166" fontId="22" fillId="0" borderId="59" applyAlignment="1" pivotButton="0" quotePrefix="0" xfId="0">
      <alignment vertical="center"/>
    </xf>
    <xf numFmtId="166" fontId="22" fillId="0" borderId="34" applyAlignment="1" pivotButton="0" quotePrefix="0" xfId="0">
      <alignment vertical="center"/>
    </xf>
    <xf numFmtId="166" fontId="22" fillId="0" borderId="35" applyAlignment="1" pivotButton="0" quotePrefix="0" xfId="0">
      <alignment vertical="center"/>
    </xf>
    <xf numFmtId="20" fontId="14" fillId="0" borderId="25" applyAlignment="1" pivotButton="0" quotePrefix="0" xfId="0">
      <alignment vertical="center"/>
    </xf>
    <xf numFmtId="0" fontId="17" fillId="0" borderId="25" applyAlignment="1" pivotButton="0" quotePrefix="0" xfId="0">
      <alignment vertical="center"/>
    </xf>
    <xf numFmtId="0" fontId="17" fillId="0" borderId="37" applyAlignment="1" pivotButton="0" quotePrefix="0" xfId="0">
      <alignment vertical="center"/>
    </xf>
    <xf numFmtId="20" fontId="14" fillId="0" borderId="34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17" fillId="0" borderId="35" applyAlignment="1" pivotButton="0" quotePrefix="0" xfId="0">
      <alignment vertical="center"/>
    </xf>
    <xf numFmtId="166" fontId="3" fillId="0" borderId="21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20" fontId="14" fillId="2" borderId="31" applyAlignment="1" pivotButton="0" quotePrefix="0" xfId="0">
      <alignment vertical="center"/>
    </xf>
    <xf numFmtId="0" fontId="0" fillId="2" borderId="32" applyAlignment="1" pivotButton="0" quotePrefix="0" xfId="0">
      <alignment vertical="center"/>
    </xf>
    <xf numFmtId="20" fontId="14" fillId="2" borderId="36" applyAlignment="1" pivotButton="0" quotePrefix="0" xfId="0">
      <alignment vertical="center"/>
    </xf>
    <xf numFmtId="0" fontId="0" fillId="2" borderId="25" applyAlignment="1" pivotButton="0" quotePrefix="0" xfId="0">
      <alignment vertical="center"/>
    </xf>
    <xf numFmtId="20" fontId="14" fillId="2" borderId="33" applyAlignment="1" pivotButton="0" quotePrefix="0" xfId="0">
      <alignment vertical="center"/>
    </xf>
    <xf numFmtId="0" fontId="0" fillId="2" borderId="34" applyAlignment="1" pivotButton="0" quotePrefix="0" xfId="0">
      <alignment vertical="center"/>
    </xf>
    <xf numFmtId="165" fontId="8" fillId="0" borderId="33" applyAlignment="1" pivotButton="0" quotePrefix="0" xfId="0">
      <alignment vertical="center"/>
    </xf>
    <xf numFmtId="166" fontId="25" fillId="0" borderId="34" applyAlignment="1" pivotButton="0" quotePrefix="0" xfId="0">
      <alignment horizontal="center" vertical="center"/>
    </xf>
    <xf numFmtId="166" fontId="25" fillId="0" borderId="35" applyAlignment="1" pivotButton="0" quotePrefix="0" xfId="0">
      <alignment horizontal="center" vertical="center"/>
    </xf>
    <xf numFmtId="0" fontId="9" fillId="0" borderId="50" applyAlignment="1" applyProtection="1" pivotButton="0" quotePrefix="0" xfId="0">
      <alignment vertical="center"/>
      <protection locked="0" hidden="0"/>
    </xf>
    <xf numFmtId="0" fontId="9" fillId="0" borderId="12" applyAlignment="1" applyProtection="1" pivotButton="0" quotePrefix="0" xfId="0">
      <alignment vertical="center"/>
      <protection locked="0" hidden="0"/>
    </xf>
    <xf numFmtId="0" fontId="8" fillId="0" borderId="50" applyAlignment="1" applyProtection="1" pivotButton="0" quotePrefix="0" xfId="0">
      <alignment horizontal="center" vertical="center" wrapText="1"/>
      <protection locked="0" hidden="0"/>
    </xf>
    <xf numFmtId="0" fontId="8" fillId="0" borderId="42" applyAlignment="1" applyProtection="1" pivotButton="0" quotePrefix="0" xfId="0">
      <alignment horizontal="center" vertical="center" wrapText="1"/>
      <protection locked="0" hidden="0"/>
    </xf>
    <xf numFmtId="0" fontId="8" fillId="0" borderId="51" applyAlignment="1" applyProtection="1" pivotButton="0" quotePrefix="0" xfId="0">
      <alignment horizontal="center" vertical="center" wrapText="1"/>
      <protection locked="0" hidden="0"/>
    </xf>
    <xf numFmtId="165" fontId="8" fillId="0" borderId="44" applyAlignment="1" pivotButton="0" quotePrefix="0" xfId="0">
      <alignment vertical="center"/>
    </xf>
    <xf numFmtId="166" fontId="22" fillId="0" borderId="44" applyAlignment="1" pivotButton="0" quotePrefix="0" xfId="0">
      <alignment vertical="center"/>
    </xf>
    <xf numFmtId="166" fontId="22" fillId="0" borderId="45" applyAlignment="1" pivotButton="0" quotePrefix="0" xfId="0">
      <alignment vertical="center"/>
    </xf>
    <xf numFmtId="166" fontId="22" fillId="0" borderId="46" applyAlignment="1" pivotButton="0" quotePrefix="0" xfId="0">
      <alignment vertical="center"/>
    </xf>
    <xf numFmtId="165" fontId="8" fillId="0" borderId="41" applyAlignment="1" pivotButton="0" quotePrefix="0" xfId="0">
      <alignment vertical="center"/>
    </xf>
    <xf numFmtId="166" fontId="22" fillId="0" borderId="41" applyAlignment="1" pivotButton="0" quotePrefix="0" xfId="0">
      <alignment vertical="center"/>
    </xf>
    <xf numFmtId="166" fontId="22" fillId="0" borderId="42" applyAlignment="1" pivotButton="0" quotePrefix="0" xfId="0">
      <alignment vertical="center"/>
    </xf>
    <xf numFmtId="166" fontId="22" fillId="0" borderId="43" applyAlignment="1" pivotButton="0" quotePrefix="0" xfId="0">
      <alignment vertical="center"/>
    </xf>
    <xf numFmtId="165" fontId="8" fillId="0" borderId="38" applyAlignment="1" pivotButton="0" quotePrefix="0" xfId="0">
      <alignment vertical="center"/>
    </xf>
    <xf numFmtId="166" fontId="22" fillId="0" borderId="38" applyAlignment="1" pivotButton="0" quotePrefix="0" xfId="0">
      <alignment vertical="center"/>
    </xf>
    <xf numFmtId="166" fontId="22" fillId="0" borderId="39" applyAlignment="1" pivotButton="0" quotePrefix="0" xfId="0">
      <alignment vertical="center"/>
    </xf>
    <xf numFmtId="166" fontId="22" fillId="0" borderId="40" applyAlignment="1" pivotButton="0" quotePrefix="0" xfId="0">
      <alignment vertical="center"/>
    </xf>
    <xf numFmtId="20" fontId="8" fillId="0" borderId="32" applyAlignment="1" pivotButton="0" quotePrefix="0" xfId="0">
      <alignment vertical="center"/>
    </xf>
    <xf numFmtId="0" fontId="22" fillId="0" borderId="32" applyAlignment="1" pivotButton="0" quotePrefix="0" xfId="0">
      <alignment vertical="center"/>
    </xf>
    <xf numFmtId="0" fontId="22" fillId="0" borderId="30" applyAlignment="1" pivotButton="0" quotePrefix="0" xfId="0">
      <alignment vertical="center"/>
    </xf>
    <xf numFmtId="20" fontId="8" fillId="0" borderId="25" applyAlignment="1" pivotButton="0" quotePrefix="0" xfId="0">
      <alignment vertical="center"/>
    </xf>
    <xf numFmtId="0" fontId="22" fillId="0" borderId="25" applyAlignment="1" pivotButton="0" quotePrefix="0" xfId="0">
      <alignment vertical="center"/>
    </xf>
    <xf numFmtId="0" fontId="22" fillId="0" borderId="37" applyAlignment="1" pivotButton="0" quotePrefix="0" xfId="0">
      <alignment vertical="center"/>
    </xf>
    <xf numFmtId="20" fontId="8" fillId="0" borderId="34" applyAlignment="1" pivotButton="0" quotePrefix="0" xfId="0">
      <alignment vertical="center"/>
    </xf>
    <xf numFmtId="0" fontId="22" fillId="0" borderId="34" applyAlignment="1" pivotButton="0" quotePrefix="0" xfId="0">
      <alignment vertical="center"/>
    </xf>
    <xf numFmtId="0" fontId="22" fillId="0" borderId="35" applyAlignment="1" pivotButton="0" quotePrefix="0" xfId="0">
      <alignment vertical="center"/>
    </xf>
    <xf numFmtId="0" fontId="8" fillId="2" borderId="31" applyAlignment="1" pivotButton="0" quotePrefix="0" xfId="0">
      <alignment vertical="center"/>
    </xf>
    <xf numFmtId="0" fontId="8" fillId="2" borderId="36" applyAlignment="1" pivotButton="0" quotePrefix="0" xfId="0">
      <alignment vertical="center"/>
    </xf>
    <xf numFmtId="0" fontId="8" fillId="0" borderId="53" applyAlignment="1" applyProtection="1" pivotButton="0" quotePrefix="0" xfId="0">
      <alignment horizontal="center" vertical="center" wrapText="1"/>
      <protection locked="0" hidden="0"/>
    </xf>
    <xf numFmtId="0" fontId="8" fillId="0" borderId="45" applyAlignment="1" applyProtection="1" pivotButton="0" quotePrefix="0" xfId="0">
      <alignment horizontal="center" vertical="center" wrapText="1"/>
      <protection locked="0" hidden="0"/>
    </xf>
    <xf numFmtId="0" fontId="8" fillId="0" borderId="54" applyAlignment="1" applyProtection="1" pivotButton="0" quotePrefix="0" xfId="0">
      <alignment horizontal="center" vertical="center" wrapText="1"/>
      <protection locked="0" hidden="0"/>
    </xf>
    <xf numFmtId="0" fontId="14" fillId="0" borderId="13" applyAlignment="1" applyProtection="1" pivotButton="0" quotePrefix="0" xfId="0">
      <alignment horizontal="center" vertical="center" wrapText="1"/>
      <protection locked="0" hidden="0"/>
    </xf>
    <xf numFmtId="0" fontId="14" fillId="0" borderId="14" applyAlignment="1" applyProtection="1" pivotButton="0" quotePrefix="0" xfId="0">
      <alignment horizontal="center" vertical="center" wrapText="1"/>
      <protection locked="0" hidden="0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0" borderId="12" applyAlignment="1" applyProtection="1" pivotButton="0" quotePrefix="0" xfId="0">
      <alignment horizontal="center" vertical="center" wrapText="1"/>
      <protection locked="0" hidden="0"/>
    </xf>
    <xf numFmtId="0" fontId="14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4" applyAlignment="1" applyProtection="1" pivotButton="0" quotePrefix="0" xfId="0">
      <alignment horizontal="center" vertical="center" wrapText="1"/>
      <protection locked="0" hidden="0"/>
    </xf>
    <xf numFmtId="168" fontId="9" fillId="0" borderId="26" applyAlignment="1" applyProtection="1" pivotButton="0" quotePrefix="0" xfId="0">
      <alignment horizontal="center" vertical="center"/>
      <protection locked="0" hidden="0"/>
    </xf>
    <xf numFmtId="166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13" fillId="0" borderId="27" applyAlignment="1" applyProtection="1" pivotButton="0" quotePrefix="0" xfId="0">
      <alignment horizontal="center" vertical="center"/>
      <protection locked="0" hidden="0"/>
    </xf>
    <xf numFmtId="0" fontId="13" fillId="0" borderId="28" applyAlignment="1" applyProtection="1" pivotButton="0" quotePrefix="0" xfId="0">
      <alignment horizontal="center" vertical="center"/>
      <protection locked="0" hidden="0"/>
    </xf>
    <xf numFmtId="0" fontId="13" fillId="0" borderId="29" applyAlignment="1" applyProtection="1" pivotButton="0" quotePrefix="0" xfId="0">
      <alignment horizontal="center" vertical="center"/>
      <protection locked="0" hidden="0"/>
    </xf>
    <xf numFmtId="0" fontId="13" fillId="0" borderId="26" applyAlignment="1" applyProtection="1" pivotButton="0" quotePrefix="0" xfId="0">
      <alignment horizontal="center" vertical="center"/>
      <protection locked="0" hidden="0"/>
    </xf>
    <xf numFmtId="0" fontId="3" fillId="0" borderId="26" applyAlignment="1" pivotButton="0" quotePrefix="0" xfId="0">
      <alignment horizontal="center" vertical="center"/>
    </xf>
    <xf numFmtId="0" fontId="3" fillId="0" borderId="26" applyAlignment="1" applyProtection="1" pivotButton="0" quotePrefix="0" xfId="0">
      <alignment horizontal="center" vertical="center"/>
      <protection locked="0" hidden="0"/>
    </xf>
    <xf numFmtId="166" fontId="3" fillId="0" borderId="26" applyAlignment="1" applyProtection="1" pivotButton="0" quotePrefix="0" xfId="0">
      <alignment horizontal="center" vertical="center"/>
      <protection locked="0" hidden="0"/>
    </xf>
    <xf numFmtId="0" fontId="12" fillId="0" borderId="26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9" fillId="0" borderId="26" applyAlignment="1" applyProtection="1" pivotButton="0" quotePrefix="0" xfId="0">
      <alignment horizontal="distributed" vertical="center" textRotation="255" readingOrder="2"/>
      <protection locked="0" hidden="0"/>
    </xf>
    <xf numFmtId="0" fontId="9" fillId="0" borderId="26" applyAlignment="1" applyProtection="1" pivotButton="0" quotePrefix="0" xfId="0">
      <alignment horizontal="left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9" fillId="0" borderId="26" applyAlignment="1" applyProtection="1" pivotButton="0" quotePrefix="0" xfId="0">
      <alignment horizontal="left" vertical="center" textRotation="255" readingOrder="2"/>
      <protection locked="0" hidden="0"/>
    </xf>
    <xf numFmtId="0" fontId="9" fillId="0" borderId="27" applyAlignment="1" applyProtection="1" pivotButton="0" quotePrefix="0" xfId="0">
      <alignment vertical="center"/>
      <protection locked="0" hidden="0"/>
    </xf>
    <xf numFmtId="0" fontId="9" fillId="0" borderId="26" applyAlignment="1" applyProtection="1" pivotButton="0" quotePrefix="0" xfId="0">
      <alignment vertical="center"/>
      <protection locked="0" hidden="0"/>
    </xf>
    <xf numFmtId="0" fontId="18" fillId="0" borderId="26" applyAlignment="1" applyProtection="1" pivotButton="0" quotePrefix="0" xfId="0">
      <alignment horizontal="distributed" vertical="center" textRotation="255" readingOrder="2"/>
      <protection locked="0" hidden="0"/>
    </xf>
    <xf numFmtId="0" fontId="9" fillId="0" borderId="29" applyAlignment="1" applyProtection="1" pivotButton="0" quotePrefix="0" xfId="0">
      <alignment horizontal="left" vertical="center"/>
      <protection locked="0" hidden="0"/>
    </xf>
    <xf numFmtId="0" fontId="0" fillId="0" borderId="48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8" fillId="0" borderId="81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19" fillId="0" borderId="80" applyAlignment="1" applyProtection="1" pivotButton="0" quotePrefix="0" xfId="0">
      <alignment horizontal="center" vertical="center" wrapText="1"/>
      <protection locked="0" hidden="0"/>
    </xf>
    <xf numFmtId="0" fontId="8" fillId="0" borderId="80" applyAlignment="1" applyProtection="1" pivotButton="0" quotePrefix="0" xfId="0">
      <alignment vertical="center" wrapText="1"/>
      <protection locked="0" hidden="0"/>
    </xf>
    <xf numFmtId="0" fontId="8" fillId="0" borderId="80" applyAlignment="1" applyProtection="1" pivotButton="0" quotePrefix="0" xfId="0">
      <alignment horizontal="center" vertical="center"/>
      <protection locked="0" hidden="0"/>
    </xf>
    <xf numFmtId="0" fontId="9" fillId="0" borderId="82" applyAlignment="1" applyProtection="1" pivotButton="0" quotePrefix="0" xfId="0">
      <alignment horizontal="center" vertical="center"/>
      <protection locked="0" hidden="0"/>
    </xf>
    <xf numFmtId="0" fontId="3" fillId="0" borderId="26" applyAlignment="1" pivotButton="0" quotePrefix="0" xfId="0">
      <alignment vertical="center"/>
    </xf>
    <xf numFmtId="0" fontId="0" fillId="0" borderId="10" pivotButton="0" quotePrefix="0" xfId="0"/>
    <xf numFmtId="0" fontId="0" fillId="0" borderId="19" pivotButton="0" quotePrefix="0" xfId="0"/>
    <xf numFmtId="0" fontId="0" fillId="0" borderId="7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8" pivotButton="0" quotePrefix="0" xfId="0"/>
    <xf numFmtId="0" fontId="0" fillId="0" borderId="6" pivotButton="0" quotePrefix="0" xfId="0"/>
    <xf numFmtId="0" fontId="0" fillId="0" borderId="22" pivotButton="0" quotePrefix="0" xfId="0"/>
    <xf numFmtId="164" fontId="9" fillId="0" borderId="77" applyAlignment="1" applyProtection="1" pivotButton="0" quotePrefix="0" xfId="0">
      <alignment horizontal="center" vertical="center"/>
      <protection locked="0" hidden="0"/>
    </xf>
    <xf numFmtId="165" fontId="23" fillId="0" borderId="78" applyAlignment="1" applyProtection="1" pivotButton="0" quotePrefix="0" xfId="0">
      <alignment horizontal="center" vertical="center" wrapText="1"/>
      <protection locked="0" hidden="0"/>
    </xf>
    <xf numFmtId="0" fontId="8" fillId="0" borderId="25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8" fillId="0" borderId="79" applyAlignment="1" applyProtection="1" pivotButton="0" quotePrefix="0" xfId="0">
      <alignment horizontal="center" vertical="center" wrapText="1"/>
      <protection locked="0" hidden="0"/>
    </xf>
    <xf numFmtId="0" fontId="9" fillId="0" borderId="88" applyAlignment="1" applyProtection="1" pivotButton="0" quotePrefix="0" xfId="0">
      <alignment vertical="center" wrapText="1"/>
      <protection locked="0" hidden="0"/>
    </xf>
    <xf numFmtId="0" fontId="0" fillId="0" borderId="89" applyProtection="1" pivotButton="0" quotePrefix="0" xfId="0">
      <protection locked="0" hidden="0"/>
    </xf>
    <xf numFmtId="0" fontId="0" fillId="0" borderId="69" pivotButton="0" quotePrefix="0" xfId="0"/>
    <xf numFmtId="0" fontId="0" fillId="0" borderId="70" pivotButton="0" quotePrefix="0" xfId="0"/>
    <xf numFmtId="166" fontId="22" fillId="0" borderId="32" applyAlignment="1" pivotButton="0" quotePrefix="0" xfId="0">
      <alignment vertical="center"/>
    </xf>
    <xf numFmtId="0" fontId="0" fillId="0" borderId="2" applyProtection="1" pivotButton="0" quotePrefix="0" xfId="0">
      <protection locked="0" hidden="0"/>
    </xf>
    <xf numFmtId="165" fontId="23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84" applyProtection="1" pivotButton="0" quotePrefix="0" xfId="0">
      <protection locked="0" hidden="0"/>
    </xf>
    <xf numFmtId="0" fontId="0" fillId="0" borderId="42" pivotButton="0" quotePrefix="0" xfId="0"/>
    <xf numFmtId="0" fontId="0" fillId="0" borderId="65" pivotButton="0" quotePrefix="0" xfId="0"/>
    <xf numFmtId="166" fontId="22" fillId="0" borderId="25" applyAlignment="1" pivotButton="0" quotePrefix="0" xfId="0">
      <alignment vertical="center"/>
    </xf>
    <xf numFmtId="0" fontId="0" fillId="0" borderId="66" pivotButton="0" quotePrefix="0" xfId="0"/>
    <xf numFmtId="0" fontId="0" fillId="0" borderId="51" pivotButton="0" quotePrefix="0" xfId="0"/>
    <xf numFmtId="0" fontId="0" fillId="0" borderId="5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5" fontId="23" fillId="0" borderId="5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0" fillId="0" borderId="45" pivotButton="0" quotePrefix="0" xfId="0"/>
    <xf numFmtId="0" fontId="0" fillId="0" borderId="54" pivotButton="0" quotePrefix="0" xfId="0"/>
    <xf numFmtId="166" fontId="22" fillId="0" borderId="34" applyAlignment="1" pivotButton="0" quotePrefix="0" xfId="0">
      <alignment vertical="center"/>
    </xf>
    <xf numFmtId="164" fontId="9" fillId="0" borderId="73" applyAlignment="1" applyProtection="1" pivotButton="0" quotePrefix="0" xfId="0">
      <alignment horizontal="center" vertical="center"/>
      <protection locked="0" hidden="0"/>
    </xf>
    <xf numFmtId="165" fontId="23" fillId="0" borderId="71" applyAlignment="1" applyProtection="1" pivotButton="0" quotePrefix="0" xfId="0">
      <alignment horizontal="center" vertical="center" wrapText="1"/>
      <protection locked="0" hidden="0"/>
    </xf>
    <xf numFmtId="165" fontId="8" fillId="0" borderId="25" applyAlignment="1" applyProtection="1" pivotButton="0" quotePrefix="0" xfId="0">
      <alignment horizontal="center" vertical="center" wrapText="1"/>
      <protection locked="0" hidden="0"/>
    </xf>
    <xf numFmtId="0" fontId="9" fillId="0" borderId="86" applyAlignment="1" applyProtection="1" pivotButton="0" quotePrefix="0" xfId="0">
      <alignment vertical="center" wrapText="1"/>
      <protection locked="0" hidden="0"/>
    </xf>
    <xf numFmtId="0" fontId="0" fillId="0" borderId="87" applyProtection="1" pivotButton="0" quotePrefix="0" xfId="0">
      <protection locked="0" hidden="0"/>
    </xf>
    <xf numFmtId="0" fontId="0" fillId="0" borderId="61" pivotButton="0" quotePrefix="0" xfId="0"/>
    <xf numFmtId="0" fontId="0" fillId="0" borderId="62" pivotButton="0" quotePrefix="0" xfId="0"/>
    <xf numFmtId="166" fontId="22" fillId="0" borderId="58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3" pivotButton="0" quotePrefix="0" xfId="0"/>
    <xf numFmtId="0" fontId="0" fillId="0" borderId="64" pivotButton="0" quotePrefix="0" xfId="0"/>
    <xf numFmtId="164" fontId="9" fillId="0" borderId="75" applyAlignment="1" applyProtection="1" pivotButton="0" quotePrefix="0" xfId="0">
      <alignment horizontal="center" vertical="center"/>
      <protection locked="0" hidden="0"/>
    </xf>
    <xf numFmtId="0" fontId="8" fillId="0" borderId="76" applyAlignment="1" applyProtection="1" pivotButton="0" quotePrefix="0" xfId="0">
      <alignment horizontal="center" vertical="center" wrapText="1"/>
      <protection locked="0" hidden="0"/>
    </xf>
    <xf numFmtId="165" fontId="23" fillId="0" borderId="74" applyAlignment="1" applyProtection="1" pivotButton="0" quotePrefix="0" xfId="0">
      <alignment horizontal="center" vertical="center" wrapText="1"/>
      <protection locked="0" hidden="0"/>
    </xf>
    <xf numFmtId="164" fontId="9" fillId="0" borderId="0" applyAlignment="1" applyProtection="1" pivotButton="0" quotePrefix="0" xfId="0">
      <alignment horizontal="center" vertical="center"/>
      <protection locked="0" hidden="0"/>
    </xf>
    <xf numFmtId="165" fontId="11" fillId="0" borderId="0" applyAlignment="1" applyProtection="1" pivotButton="0" quotePrefix="0" xfId="0">
      <alignment horizontal="center" vertical="center" wrapText="1"/>
      <protection locked="0" hidden="0"/>
    </xf>
    <xf numFmtId="165" fontId="8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center" vertical="center"/>
    </xf>
    <xf numFmtId="0" fontId="9" fillId="0" borderId="81" applyAlignment="1" applyProtection="1" pivotButton="0" quotePrefix="0" xfId="0">
      <alignment horizontal="center" vertical="center"/>
      <protection locked="0" hidden="0"/>
    </xf>
    <xf numFmtId="0" fontId="9" fillId="0" borderId="82" applyAlignment="1" applyProtection="1" pivotButton="0" quotePrefix="0" xfId="0">
      <alignment horizontal="center" vertical="distributed"/>
      <protection locked="0" hidden="0"/>
    </xf>
    <xf numFmtId="0" fontId="9" fillId="0" borderId="30" applyAlignment="1" applyProtection="1" pivotButton="0" quotePrefix="0" xfId="0">
      <alignment vertical="center" wrapText="1"/>
      <protection locked="0" hidden="0"/>
    </xf>
    <xf numFmtId="0" fontId="0" fillId="0" borderId="24" applyProtection="1" pivotButton="0" quotePrefix="0" xfId="0">
      <protection locked="0" hidden="0"/>
    </xf>
    <xf numFmtId="165" fontId="23" fillId="0" borderId="72" applyAlignment="1" applyProtection="1" pivotButton="0" quotePrefix="0" xfId="0">
      <alignment horizontal="center" vertical="center" wrapText="1"/>
      <protection locked="0" hidden="0"/>
    </xf>
    <xf numFmtId="0" fontId="8" fillId="0" borderId="58" applyAlignment="1" applyProtection="1" pivotButton="0" quotePrefix="0" xfId="0">
      <alignment horizontal="center" vertical="center" wrapText="1"/>
      <protection locked="0" hidden="0"/>
    </xf>
    <xf numFmtId="0" fontId="9" fillId="0" borderId="83" applyAlignment="1" applyProtection="1" pivotButton="0" quotePrefix="0" xfId="0">
      <alignment vertical="center" wrapText="1"/>
      <protection locked="0" hidden="0"/>
    </xf>
    <xf numFmtId="164" fontId="9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 wrapText="1"/>
    </xf>
    <xf numFmtId="0" fontId="8" fillId="2" borderId="26" applyAlignment="1" pivotButton="0" quotePrefix="0" xfId="0">
      <alignment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47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" fillId="0" borderId="26" applyAlignment="1" pivotButton="0" quotePrefix="0" xfId="0">
      <alignment vertical="center"/>
    </xf>
    <xf numFmtId="0" fontId="0" fillId="0" borderId="18" pivotButton="0" quotePrefix="0" xfId="0"/>
    <xf numFmtId="0" fontId="0" fillId="0" borderId="20" pivotButton="0" quotePrefix="0" xfId="0"/>
    <xf numFmtId="165" fontId="8" fillId="0" borderId="31" applyAlignment="1" pivotButton="0" quotePrefix="0" xfId="0">
      <alignment vertical="center"/>
    </xf>
    <xf numFmtId="166" fontId="25" fillId="0" borderId="32" applyAlignment="1" pivotButton="0" quotePrefix="0" xfId="0">
      <alignment horizontal="center" vertical="center"/>
    </xf>
    <xf numFmtId="165" fontId="8" fillId="0" borderId="36" applyAlignment="1" pivotButton="0" quotePrefix="0" xfId="0">
      <alignment vertical="center"/>
    </xf>
    <xf numFmtId="166" fontId="25" fillId="0" borderId="25" applyAlignment="1" pivotButton="0" quotePrefix="0" xfId="0">
      <alignment horizontal="center" vertical="center"/>
    </xf>
    <xf numFmtId="165" fontId="8" fillId="0" borderId="33" applyAlignment="1" pivotButton="0" quotePrefix="0" xfId="0">
      <alignment vertical="center"/>
    </xf>
    <xf numFmtId="166" fontId="25" fillId="0" borderId="34" applyAlignment="1" pivotButton="0" quotePrefix="0" xfId="0">
      <alignment horizontal="center" vertical="center"/>
    </xf>
    <xf numFmtId="164" fontId="9" fillId="0" borderId="90" applyAlignment="1" applyProtection="1" pivotButton="0" quotePrefix="0" xfId="0">
      <alignment horizontal="center" vertical="center"/>
      <protection locked="0" hidden="0"/>
    </xf>
    <xf numFmtId="0" fontId="8" fillId="0" borderId="72" applyAlignment="1" applyProtection="1" pivotButton="0" quotePrefix="0" xfId="0">
      <alignment horizontal="center" vertical="center" wrapText="1"/>
      <protection locked="0" hidden="0"/>
    </xf>
    <xf numFmtId="0" fontId="9" fillId="0" borderId="83" applyAlignment="1" applyProtection="1" pivotButton="0" quotePrefix="0" xfId="0">
      <alignment vertical="center"/>
      <protection locked="0" hidden="0"/>
    </xf>
    <xf numFmtId="0" fontId="9" fillId="0" borderId="86" applyAlignment="1" applyProtection="1" pivotButton="0" quotePrefix="0" xfId="0">
      <alignment vertical="center"/>
      <protection locked="0" hidden="0"/>
    </xf>
    <xf numFmtId="0" fontId="8" fillId="0" borderId="91" applyAlignment="1" applyProtection="1" pivotButton="0" quotePrefix="0" xfId="0">
      <alignment horizontal="center" vertical="center" wrapText="1"/>
      <protection locked="0" hidden="0"/>
    </xf>
    <xf numFmtId="0" fontId="0" fillId="0" borderId="92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93" applyProtection="1" pivotButton="0" quotePrefix="0" xfId="0">
      <protection locked="0" hidden="0"/>
    </xf>
    <xf numFmtId="0" fontId="8" fillId="0" borderId="78" applyAlignment="1" applyProtection="1" pivotButton="0" quotePrefix="0" xfId="0">
      <alignment horizontal="center" vertical="center" wrapText="1"/>
      <protection locked="0" hidden="0"/>
    </xf>
    <xf numFmtId="0" fontId="0" fillId="0" borderId="26" applyAlignment="1" pivotButton="0" quotePrefix="0" xfId="0">
      <alignment vertical="center"/>
    </xf>
    <xf numFmtId="166" fontId="0" fillId="0" borderId="18" applyAlignment="1" pivotButton="0" quotePrefix="0" xfId="0">
      <alignment vertical="center"/>
    </xf>
    <xf numFmtId="166" fontId="0" fillId="0" borderId="20" applyAlignment="1" pivotButton="0" quotePrefix="0" xfId="0">
      <alignment vertical="center"/>
    </xf>
    <xf numFmtId="165" fontId="8" fillId="0" borderId="38" applyAlignment="1" pivotButton="0" quotePrefix="0" xfId="0">
      <alignment vertical="center"/>
    </xf>
    <xf numFmtId="0" fontId="0" fillId="0" borderId="39" pivotButton="0" quotePrefix="0" xfId="0"/>
    <xf numFmtId="166" fontId="22" fillId="0" borderId="94" applyAlignment="1" pivotButton="0" quotePrefix="0" xfId="0">
      <alignment vertical="center"/>
    </xf>
    <xf numFmtId="0" fontId="0" fillId="0" borderId="40" pivotButton="0" quotePrefix="0" xfId="0"/>
    <xf numFmtId="165" fontId="22" fillId="0" borderId="18" applyAlignment="1" pivotButton="0" quotePrefix="0" xfId="0">
      <alignment vertical="center"/>
    </xf>
    <xf numFmtId="165" fontId="8" fillId="0" borderId="41" applyAlignment="1" pivotButton="0" quotePrefix="0" xfId="0">
      <alignment vertical="center"/>
    </xf>
    <xf numFmtId="166" fontId="22" fillId="0" borderId="98" applyAlignment="1" pivotButton="0" quotePrefix="0" xfId="0">
      <alignment vertical="center"/>
    </xf>
    <xf numFmtId="0" fontId="0" fillId="0" borderId="43" pivotButton="0" quotePrefix="0" xfId="0"/>
    <xf numFmtId="165" fontId="8" fillId="0" borderId="44" applyAlignment="1" pivotButton="0" quotePrefix="0" xfId="0">
      <alignment vertical="center"/>
    </xf>
    <xf numFmtId="166" fontId="22" fillId="0" borderId="96" applyAlignment="1" pivotButton="0" quotePrefix="0" xfId="0">
      <alignment vertical="center"/>
    </xf>
    <xf numFmtId="0" fontId="0" fillId="0" borderId="46" pivotButton="0" quotePrefix="0" xfId="0"/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8" fontId="9" fillId="0" borderId="26" applyAlignment="1" applyProtection="1" pivotButton="0" quotePrefix="0" xfId="0">
      <alignment horizontal="center" vertical="center"/>
      <protection locked="0" hidden="0"/>
    </xf>
    <xf numFmtId="166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166" fontId="3" fillId="0" borderId="26" applyAlignment="1" applyProtection="1" pivotButton="0" quotePrefix="0" xfId="0">
      <alignment horizontal="center" vertical="center"/>
      <protection locked="0" hidden="0"/>
    </xf>
    <xf numFmtId="0" fontId="3" fillId="2" borderId="26" applyAlignment="1" applyProtection="1" pivotButton="0" quotePrefix="0" xfId="0">
      <alignment horizontal="center" vertical="center"/>
      <protection locked="0" hidden="0"/>
    </xf>
    <xf numFmtId="0" fontId="26" fillId="0" borderId="28" applyProtection="1" pivotButton="0" quotePrefix="0" xfId="0">
      <protection locked="0" hidden="0"/>
    </xf>
    <xf numFmtId="0" fontId="26" fillId="0" borderId="29" applyProtection="1" pivotButton="0" quotePrefix="0" xfId="0">
      <protection locked="0" hidden="0"/>
    </xf>
    <xf numFmtId="169" fontId="3" fillId="0" borderId="26" applyAlignment="1" applyProtection="1" pivotButton="0" quotePrefix="0" xfId="0">
      <alignment horizontal="center" vertical="center"/>
      <protection locked="0" hidden="0"/>
    </xf>
    <xf numFmtId="0" fontId="26" fillId="0" borderId="28" pivotButton="0" quotePrefix="0" xfId="0"/>
    <xf numFmtId="0" fontId="26" fillId="0" borderId="29" pivotButton="0" quotePrefix="0" xfId="0"/>
    <xf numFmtId="164" fontId="9" fillId="0" borderId="26" applyAlignment="1" applyProtection="1" pivotButton="0" quotePrefix="0" xfId="0">
      <alignment horizontal="center" vertical="center"/>
      <protection locked="0" hidden="0"/>
    </xf>
    <xf numFmtId="167" fontId="9" fillId="0" borderId="26" applyAlignment="1" applyProtection="1" pivotButton="0" quotePrefix="0" xfId="0">
      <alignment horizontal="center" vertical="center"/>
      <protection locked="0" hidden="0"/>
    </xf>
    <xf numFmtId="164" fontId="9" fillId="0" borderId="26" applyAlignment="1" pivotButton="0" quotePrefix="0" xfId="0">
      <alignment horizontal="center" vertical="center"/>
    </xf>
    <xf numFmtId="167" fontId="9" fillId="0" borderId="26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41"/>
  <sheetViews>
    <sheetView showZeros="0" zoomScaleNormal="100" workbookViewId="0">
      <pane xSplit="1" ySplit="10" topLeftCell="B11" activePane="bottomRight" state="frozen"/>
      <selection activeCell="E35" sqref="E35:G35 E32:G32"/>
      <selection pane="topRight" activeCell="E35" sqref="E35:G35 E32:G32"/>
      <selection pane="bottomLeft" activeCell="E35" sqref="E35:G35 E32:G32"/>
      <selection pane="bottomRight" activeCell="W126" sqref="W126:CC133"/>
    </sheetView>
  </sheetViews>
  <sheetFormatPr baseColWidth="8" defaultRowHeight="18.75"/>
  <cols>
    <col width="1.625" customWidth="1" style="1" min="1" max="1"/>
    <col width="3.375" customWidth="1" style="1" min="2" max="2"/>
    <col width="1.625" customWidth="1" style="1" min="3" max="5"/>
    <col width="2.375" customWidth="1" style="1" min="6" max="6"/>
    <col width="2.125" customWidth="1" style="1" min="7" max="7"/>
    <col width="1.625" customWidth="1" style="1" min="8" max="8"/>
    <col width="2.375" customWidth="1" style="1" min="9" max="9"/>
    <col width="2.125" customWidth="1" style="1" min="10" max="10"/>
    <col width="1.625" customWidth="1" style="1" min="11" max="11"/>
    <col width="2.375" customWidth="1" style="1" min="12" max="12"/>
    <col width="2.125" customWidth="1" style="1" min="13" max="13"/>
    <col width="1.625" customWidth="1" style="1" min="14" max="14"/>
    <col width="2.375" customWidth="1" style="1" min="15" max="15"/>
    <col width="2.125" customWidth="1" style="1" min="16" max="16"/>
    <col width="1.875" customWidth="1" style="1" min="17" max="18"/>
    <col width="2.375" customWidth="1" style="1" min="19" max="19"/>
    <col width="1.875" customWidth="1" style="1" min="20" max="21"/>
    <col width="2.375" customWidth="1" style="1" min="22" max="22"/>
    <col width="1.625" customWidth="1" style="1" min="23" max="24"/>
    <col width="3.375" customWidth="1" style="1" min="25" max="25"/>
    <col width="1.125" customWidth="1" style="1" min="26" max="30"/>
    <col width="1.625" customWidth="1" style="1" min="31" max="49"/>
    <col width="3.375" customWidth="1" style="1" min="50" max="50"/>
    <col width="1.625" customWidth="1" style="1" min="51" max="64"/>
    <col width="3.375" customWidth="1" style="1" min="65" max="65"/>
    <col width="1.625" customWidth="1" style="1" min="66" max="75"/>
    <col width="3.375" customWidth="1" style="1" min="76" max="76"/>
    <col width="1.625" customWidth="1" style="1" min="77" max="78"/>
    <col width="1.75" customWidth="1" style="1" min="79" max="85"/>
    <col width="1.625" customWidth="1" style="1" min="86" max="142"/>
    <col width="4.125" customWidth="1" style="1" min="143" max="184"/>
    <col width="9" customWidth="1" style="1" min="185" max="16384"/>
  </cols>
  <sheetData>
    <row r="1" ht="9.949999999999999" customHeight="1" s="337"/>
    <row r="2" ht="9.949999999999999" customHeight="1" s="337">
      <c r="A2" s="2" t="n"/>
      <c r="B2" s="193" t="inlineStr">
        <is>
          <t>修    理    作    業    報    告    書</t>
        </is>
      </c>
      <c r="C2" s="338" t="n"/>
      <c r="D2" s="338" t="n"/>
      <c r="E2" s="338" t="n"/>
      <c r="F2" s="338" t="n"/>
      <c r="G2" s="338" t="n"/>
      <c r="H2" s="338" t="n"/>
      <c r="I2" s="338" t="n"/>
      <c r="J2" s="338" t="n"/>
      <c r="K2" s="338" t="n"/>
      <c r="L2" s="338" t="n"/>
      <c r="M2" s="338" t="n"/>
      <c r="N2" s="338" t="n"/>
      <c r="O2" s="338" t="n"/>
      <c r="P2" s="338" t="n"/>
      <c r="Q2" s="338" t="n"/>
      <c r="R2" s="338" t="n"/>
      <c r="S2" s="338" t="n"/>
      <c r="T2" s="338" t="n"/>
      <c r="U2" s="338" t="n"/>
      <c r="V2" s="338" t="n"/>
      <c r="W2" s="338" t="n"/>
      <c r="X2" s="338" t="n"/>
      <c r="Y2" s="338" t="n"/>
      <c r="Z2" s="338" t="n"/>
      <c r="AA2" s="338" t="n"/>
      <c r="AB2" s="338" t="n"/>
      <c r="AC2" s="338" t="n"/>
      <c r="AD2" s="338" t="n"/>
      <c r="AE2" s="338" t="n"/>
      <c r="AF2" s="338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BU2" s="191" t="n"/>
      <c r="BV2" s="338" t="n"/>
      <c r="BW2" s="338" t="n"/>
      <c r="BX2" s="338" t="n"/>
      <c r="BY2" s="338" t="n"/>
      <c r="BZ2" s="338" t="n"/>
      <c r="CA2" s="338" t="n"/>
      <c r="CB2" s="338" t="n"/>
      <c r="CC2" s="338" t="n"/>
      <c r="CE2" s="4" t="n"/>
      <c r="CF2" s="5" t="n"/>
      <c r="CG2" s="5" t="n"/>
      <c r="CH2" s="5" t="n"/>
    </row>
    <row r="3" ht="9.949999999999999" customHeight="1" s="337">
      <c r="A3" s="6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338" t="n"/>
      <c r="U3" s="338" t="n"/>
      <c r="V3" s="338" t="n"/>
      <c r="W3" s="338" t="n"/>
      <c r="X3" s="338" t="n"/>
      <c r="Y3" s="338" t="n"/>
      <c r="Z3" s="338" t="n"/>
      <c r="AA3" s="338" t="n"/>
      <c r="AB3" s="338" t="n"/>
      <c r="AC3" s="338" t="n"/>
      <c r="AD3" s="338" t="n"/>
      <c r="AE3" s="338" t="n"/>
      <c r="AF3" s="338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BU3" s="338" t="n"/>
      <c r="BV3" s="338" t="n"/>
      <c r="BW3" s="338" t="n"/>
      <c r="BX3" s="338" t="n"/>
      <c r="BY3" s="338" t="n"/>
      <c r="BZ3" s="338" t="n"/>
      <c r="CA3" s="338" t="n"/>
      <c r="CB3" s="338" t="n"/>
      <c r="CC3" s="338" t="n"/>
      <c r="CE3" s="5" t="n"/>
      <c r="CF3" s="5" t="n"/>
      <c r="CG3" s="5" t="n"/>
      <c r="CH3" s="5" t="n"/>
    </row>
    <row r="4" ht="9.949999999999999" customHeight="1" s="337">
      <c r="B4" s="339" t="n"/>
      <c r="C4" s="339" t="n"/>
      <c r="D4" s="339" t="n"/>
      <c r="E4" s="339" t="n"/>
      <c r="F4" s="339" t="n"/>
      <c r="G4" s="339" t="n"/>
      <c r="H4" s="339" t="n"/>
      <c r="I4" s="339" t="n"/>
      <c r="J4" s="339" t="n"/>
      <c r="K4" s="339" t="n"/>
      <c r="L4" s="339" t="n"/>
      <c r="M4" s="339" t="n"/>
      <c r="N4" s="339" t="n"/>
      <c r="O4" s="339" t="n"/>
      <c r="P4" s="339" t="n"/>
      <c r="Q4" s="339" t="n"/>
      <c r="R4" s="339" t="n"/>
      <c r="S4" s="339" t="n"/>
      <c r="T4" s="339" t="n"/>
      <c r="U4" s="339" t="n"/>
      <c r="V4" s="339" t="n"/>
      <c r="W4" s="339" t="n"/>
      <c r="X4" s="339" t="n"/>
      <c r="Y4" s="339" t="n"/>
      <c r="Z4" s="339" t="n"/>
      <c r="AA4" s="339" t="n"/>
      <c r="AB4" s="339" t="n"/>
      <c r="AC4" s="339" t="n"/>
      <c r="AD4" s="339" t="n"/>
      <c r="AE4" s="339" t="n"/>
      <c r="AF4" s="339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BU4" s="339" t="n"/>
      <c r="BV4" s="339" t="n"/>
      <c r="BW4" s="339" t="n"/>
      <c r="BX4" s="339" t="n"/>
      <c r="BY4" s="339" t="n"/>
      <c r="BZ4" s="339" t="n"/>
      <c r="CA4" s="339" t="n"/>
      <c r="CB4" s="339" t="n"/>
      <c r="CC4" s="339" t="n"/>
      <c r="CE4" s="5" t="n"/>
      <c r="CF4" s="5" t="n"/>
      <c r="CG4" s="5" t="n"/>
      <c r="CH4" s="5" t="n"/>
    </row>
    <row r="5" ht="10.7" customHeight="1" s="337">
      <c r="B5" s="340" t="inlineStr">
        <is>
          <t>船名</t>
        </is>
      </c>
      <c r="C5" s="341" t="n"/>
      <c r="D5" s="342" t="n"/>
      <c r="E5" s="342" t="n"/>
      <c r="F5" s="342" t="n"/>
      <c r="G5" s="342" t="n"/>
      <c r="H5" s="342" t="n"/>
      <c r="I5" s="342" t="n"/>
      <c r="J5" s="342" t="n"/>
      <c r="K5" s="342" t="n"/>
      <c r="L5" s="342" t="n"/>
      <c r="M5" s="342" t="n"/>
      <c r="N5" s="342" t="n"/>
      <c r="O5" s="342" t="n"/>
      <c r="P5" s="342" t="n"/>
      <c r="Q5" s="342" t="n"/>
      <c r="R5" s="342" t="n"/>
      <c r="S5" s="342" t="n"/>
      <c r="T5" s="342" t="n"/>
      <c r="U5" s="342" t="n"/>
      <c r="V5" s="343" t="n"/>
      <c r="W5" s="344" t="inlineStr">
        <is>
          <t>科目</t>
        </is>
      </c>
      <c r="X5" s="343" t="n"/>
      <c r="Y5" s="345" t="n"/>
      <c r="Z5" s="342" t="n"/>
      <c r="AA5" s="342" t="n"/>
      <c r="AB5" s="342" t="n"/>
      <c r="AC5" s="342" t="n"/>
      <c r="AD5" s="342" t="n"/>
      <c r="AE5" s="342" t="n"/>
      <c r="AF5" s="342" t="n"/>
      <c r="AG5" s="342" t="n"/>
      <c r="AH5" s="342" t="n"/>
      <c r="AI5" s="342" t="n"/>
      <c r="AJ5" s="342" t="n"/>
      <c r="AK5" s="342" t="n"/>
      <c r="AL5" s="342" t="n"/>
      <c r="AM5" s="342" t="n"/>
      <c r="AN5" s="342" t="n"/>
      <c r="AO5" s="342" t="n"/>
      <c r="AP5" s="342" t="n"/>
      <c r="AQ5" s="342" t="n"/>
      <c r="AR5" s="342" t="n"/>
      <c r="AS5" s="342" t="n"/>
      <c r="AT5" s="342" t="n"/>
      <c r="AU5" s="342" t="n"/>
      <c r="AV5" s="342" t="n"/>
      <c r="AW5" s="342" t="n"/>
      <c r="AX5" s="342" t="n"/>
      <c r="AY5" s="342" t="n"/>
      <c r="AZ5" s="340" t="inlineStr">
        <is>
          <t>型名</t>
        </is>
      </c>
      <c r="BA5" s="343" t="n"/>
      <c r="BB5" s="346" t="n"/>
      <c r="BC5" s="342" t="n"/>
      <c r="BD5" s="342" t="n"/>
      <c r="BE5" s="342" t="n"/>
      <c r="BF5" s="342" t="n"/>
      <c r="BG5" s="342" t="n"/>
      <c r="BH5" s="342" t="n"/>
      <c r="BI5" s="342" t="n"/>
      <c r="BJ5" s="342" t="n"/>
      <c r="BK5" s="342" t="n"/>
      <c r="BL5" s="342" t="n"/>
      <c r="BM5" s="342" t="n"/>
      <c r="BN5" s="342" t="n"/>
      <c r="BO5" s="342" t="n"/>
      <c r="BP5" s="342" t="n"/>
      <c r="BQ5" s="342" t="n"/>
      <c r="BR5" s="343" t="n"/>
      <c r="BS5" s="347" t="inlineStr">
        <is>
          <t>製造者</t>
        </is>
      </c>
      <c r="BT5" s="343" t="n"/>
      <c r="BU5" s="348" t="n"/>
      <c r="BV5" s="342" t="n"/>
      <c r="BW5" s="342" t="n"/>
      <c r="BX5" s="342" t="n"/>
      <c r="BY5" s="342" t="n"/>
      <c r="BZ5" s="342" t="n"/>
      <c r="CA5" s="342" t="n"/>
      <c r="CB5" s="342" t="n"/>
      <c r="CC5" s="343" t="n"/>
      <c r="CF5" s="17" t="n"/>
    </row>
    <row r="6" ht="10.7" customHeight="1" s="337">
      <c r="B6" s="349" t="n"/>
      <c r="C6" s="350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338" t="n"/>
      <c r="U6" s="338" t="n"/>
      <c r="V6" s="351" t="n"/>
      <c r="W6" s="350" t="n"/>
      <c r="X6" s="351" t="n"/>
      <c r="Y6" s="350" t="n"/>
      <c r="Z6" s="338" t="n"/>
      <c r="AA6" s="338" t="n"/>
      <c r="AB6" s="338" t="n"/>
      <c r="AC6" s="338" t="n"/>
      <c r="AD6" s="338" t="n"/>
      <c r="AE6" s="338" t="n"/>
      <c r="AF6" s="338" t="n"/>
      <c r="AG6" s="338" t="n"/>
      <c r="AH6" s="338" t="n"/>
      <c r="AI6" s="338" t="n"/>
      <c r="AJ6" s="338" t="n"/>
      <c r="AK6" s="338" t="n"/>
      <c r="AL6" s="338" t="n"/>
      <c r="AM6" s="338" t="n"/>
      <c r="AN6" s="338" t="n"/>
      <c r="AO6" s="338" t="n"/>
      <c r="AP6" s="338" t="n"/>
      <c r="AQ6" s="338" t="n"/>
      <c r="AR6" s="338" t="n"/>
      <c r="AS6" s="338" t="n"/>
      <c r="AT6" s="338" t="n"/>
      <c r="AU6" s="338" t="n"/>
      <c r="AV6" s="338" t="n"/>
      <c r="AW6" s="338" t="n"/>
      <c r="AX6" s="338" t="n"/>
      <c r="AY6" s="338" t="n"/>
      <c r="AZ6" s="350" t="n"/>
      <c r="BA6" s="351" t="n"/>
      <c r="BB6" s="350" t="n"/>
      <c r="BC6" s="338" t="n"/>
      <c r="BD6" s="338" t="n"/>
      <c r="BE6" s="338" t="n"/>
      <c r="BF6" s="338" t="n"/>
      <c r="BG6" s="338" t="n"/>
      <c r="BH6" s="338" t="n"/>
      <c r="BI6" s="338" t="n"/>
      <c r="BJ6" s="338" t="n"/>
      <c r="BK6" s="338" t="n"/>
      <c r="BL6" s="338" t="n"/>
      <c r="BM6" s="338" t="n"/>
      <c r="BN6" s="338" t="n"/>
      <c r="BO6" s="338" t="n"/>
      <c r="BP6" s="338" t="n"/>
      <c r="BQ6" s="338" t="n"/>
      <c r="BR6" s="351" t="n"/>
      <c r="BS6" s="350" t="n"/>
      <c r="BT6" s="351" t="n"/>
      <c r="BU6" s="338" t="n"/>
      <c r="BV6" s="338" t="n"/>
      <c r="BW6" s="338" t="n"/>
      <c r="BX6" s="338" t="n"/>
      <c r="BY6" s="338" t="n"/>
      <c r="BZ6" s="338" t="n"/>
      <c r="CA6" s="338" t="n"/>
      <c r="CB6" s="338" t="n"/>
      <c r="CC6" s="351" t="n"/>
      <c r="CF6" s="17" t="n"/>
    </row>
    <row r="7" ht="10.7" customHeight="1" s="337">
      <c r="B7" s="349" t="n"/>
      <c r="C7" s="350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338" t="n"/>
      <c r="U7" s="338" t="n"/>
      <c r="V7" s="351" t="n"/>
      <c r="W7" s="350" t="n"/>
      <c r="X7" s="351" t="n"/>
      <c r="Y7" s="350" t="n"/>
      <c r="Z7" s="338" t="n"/>
      <c r="AA7" s="338" t="n"/>
      <c r="AB7" s="338" t="n"/>
      <c r="AC7" s="338" t="n"/>
      <c r="AD7" s="338" t="n"/>
      <c r="AE7" s="338" t="n"/>
      <c r="AF7" s="338" t="n"/>
      <c r="AG7" s="338" t="n"/>
      <c r="AH7" s="338" t="n"/>
      <c r="AI7" s="338" t="n"/>
      <c r="AJ7" s="338" t="n"/>
      <c r="AK7" s="338" t="n"/>
      <c r="AL7" s="338" t="n"/>
      <c r="AM7" s="338" t="n"/>
      <c r="AN7" s="338" t="n"/>
      <c r="AO7" s="338" t="n"/>
      <c r="AP7" s="338" t="n"/>
      <c r="AQ7" s="338" t="n"/>
      <c r="AR7" s="338" t="n"/>
      <c r="AS7" s="338" t="n"/>
      <c r="AT7" s="338" t="n"/>
      <c r="AU7" s="338" t="n"/>
      <c r="AV7" s="338" t="n"/>
      <c r="AW7" s="338" t="n"/>
      <c r="AX7" s="338" t="n"/>
      <c r="AY7" s="338" t="n"/>
      <c r="AZ7" s="350" t="n"/>
      <c r="BA7" s="351" t="n"/>
      <c r="BB7" s="350" t="n"/>
      <c r="BC7" s="338" t="n"/>
      <c r="BD7" s="338" t="n"/>
      <c r="BE7" s="338" t="n"/>
      <c r="BF7" s="338" t="n"/>
      <c r="BG7" s="338" t="n"/>
      <c r="BH7" s="338" t="n"/>
      <c r="BI7" s="338" t="n"/>
      <c r="BJ7" s="338" t="n"/>
      <c r="BK7" s="338" t="n"/>
      <c r="BL7" s="338" t="n"/>
      <c r="BM7" s="338" t="n"/>
      <c r="BN7" s="338" t="n"/>
      <c r="BO7" s="338" t="n"/>
      <c r="BP7" s="338" t="n"/>
      <c r="BQ7" s="338" t="n"/>
      <c r="BR7" s="351" t="n"/>
      <c r="BS7" s="350" t="n"/>
      <c r="BT7" s="351" t="n"/>
      <c r="BU7" s="338" t="n"/>
      <c r="BV7" s="338" t="n"/>
      <c r="BW7" s="338" t="n"/>
      <c r="BX7" s="338" t="n"/>
      <c r="BY7" s="338" t="n"/>
      <c r="BZ7" s="338" t="n"/>
      <c r="CA7" s="338" t="n"/>
      <c r="CB7" s="338" t="n"/>
      <c r="CC7" s="351" t="n"/>
      <c r="CF7" s="17" t="n"/>
    </row>
    <row r="8" ht="10.7" customHeight="1" s="337">
      <c r="B8" s="352" t="n"/>
      <c r="C8" s="353" t="n"/>
      <c r="D8" s="339" t="n"/>
      <c r="E8" s="339" t="n"/>
      <c r="F8" s="339" t="n"/>
      <c r="G8" s="339" t="n"/>
      <c r="H8" s="339" t="n"/>
      <c r="I8" s="339" t="n"/>
      <c r="J8" s="339" t="n"/>
      <c r="K8" s="339" t="n"/>
      <c r="L8" s="339" t="n"/>
      <c r="M8" s="339" t="n"/>
      <c r="N8" s="339" t="n"/>
      <c r="O8" s="339" t="n"/>
      <c r="P8" s="339" t="n"/>
      <c r="Q8" s="339" t="n"/>
      <c r="R8" s="339" t="n"/>
      <c r="S8" s="339" t="n"/>
      <c r="T8" s="339" t="n"/>
      <c r="U8" s="339" t="n"/>
      <c r="V8" s="354" t="n"/>
      <c r="W8" s="353" t="n"/>
      <c r="X8" s="354" t="n"/>
      <c r="Y8" s="353" t="n"/>
      <c r="Z8" s="339" t="n"/>
      <c r="AA8" s="339" t="n"/>
      <c r="AB8" s="339" t="n"/>
      <c r="AC8" s="339" t="n"/>
      <c r="AD8" s="339" t="n"/>
      <c r="AE8" s="339" t="n"/>
      <c r="AF8" s="339" t="n"/>
      <c r="AG8" s="339" t="n"/>
      <c r="AH8" s="339" t="n"/>
      <c r="AI8" s="339" t="n"/>
      <c r="AJ8" s="339" t="n"/>
      <c r="AK8" s="339" t="n"/>
      <c r="AL8" s="339" t="n"/>
      <c r="AM8" s="339" t="n"/>
      <c r="AN8" s="339" t="n"/>
      <c r="AO8" s="339" t="n"/>
      <c r="AP8" s="339" t="n"/>
      <c r="AQ8" s="339" t="n"/>
      <c r="AR8" s="339" t="n"/>
      <c r="AS8" s="339" t="n"/>
      <c r="AT8" s="339" t="n"/>
      <c r="AU8" s="339" t="n"/>
      <c r="AV8" s="339" t="n"/>
      <c r="AW8" s="339" t="n"/>
      <c r="AX8" s="339" t="n"/>
      <c r="AY8" s="339" t="n"/>
      <c r="AZ8" s="353" t="n"/>
      <c r="BA8" s="354" t="n"/>
      <c r="BB8" s="353" t="n"/>
      <c r="BC8" s="339" t="n"/>
      <c r="BD8" s="339" t="n"/>
      <c r="BE8" s="339" t="n"/>
      <c r="BF8" s="339" t="n"/>
      <c r="BG8" s="339" t="n"/>
      <c r="BH8" s="339" t="n"/>
      <c r="BI8" s="339" t="n"/>
      <c r="BJ8" s="339" t="n"/>
      <c r="BK8" s="339" t="n"/>
      <c r="BL8" s="339" t="n"/>
      <c r="BM8" s="339" t="n"/>
      <c r="BN8" s="339" t="n"/>
      <c r="BO8" s="339" t="n"/>
      <c r="BP8" s="339" t="n"/>
      <c r="BQ8" s="339" t="n"/>
      <c r="BR8" s="354" t="n"/>
      <c r="BS8" s="353" t="n"/>
      <c r="BT8" s="354" t="n"/>
      <c r="BU8" s="339" t="n"/>
      <c r="BV8" s="339" t="n"/>
      <c r="BW8" s="339" t="n"/>
      <c r="BX8" s="339" t="n"/>
      <c r="BY8" s="339" t="n"/>
      <c r="BZ8" s="339" t="n"/>
      <c r="CA8" s="339" t="n"/>
      <c r="CB8" s="339" t="n"/>
      <c r="CC8" s="354" t="n"/>
      <c r="CF8" s="17" t="n"/>
    </row>
    <row r="9" ht="14.1" customHeight="1" s="337">
      <c r="B9" s="355" t="inlineStr">
        <is>
          <t>月／日</t>
        </is>
      </c>
      <c r="C9" s="342" t="n"/>
      <c r="D9" s="356" t="n"/>
      <c r="E9" s="357" t="inlineStr">
        <is>
          <t>移 動</t>
        </is>
      </c>
      <c r="F9" s="342" t="n"/>
      <c r="G9" s="356" t="n"/>
      <c r="H9" s="358" t="inlineStr">
        <is>
          <t>作業内　(平日)</t>
        </is>
      </c>
      <c r="I9" s="342" t="n"/>
      <c r="J9" s="356" t="n"/>
      <c r="K9" s="358" t="inlineStr">
        <is>
          <t>作業外　(平日)</t>
        </is>
      </c>
      <c r="L9" s="342" t="n"/>
      <c r="M9" s="356" t="n"/>
      <c r="N9" s="357" t="inlineStr">
        <is>
          <t>休日</t>
        </is>
      </c>
      <c r="O9" s="342" t="n"/>
      <c r="P9" s="356" t="n"/>
      <c r="Q9" s="359" t="inlineStr">
        <is>
          <t>作業者</t>
        </is>
      </c>
      <c r="R9" s="342" t="n"/>
      <c r="S9" s="356" t="n"/>
      <c r="T9" s="359" t="inlineStr">
        <is>
          <t>場  所</t>
        </is>
      </c>
      <c r="U9" s="342" t="n"/>
      <c r="V9" s="356" t="n"/>
      <c r="W9" s="360" t="inlineStr">
        <is>
          <t xml:space="preserve">   作　　　　    　　業　　　    　 　内　　　  　  　　容　</t>
        </is>
      </c>
      <c r="X9" s="342" t="n"/>
      <c r="Y9" s="342" t="n"/>
      <c r="Z9" s="342" t="n"/>
      <c r="AA9" s="342" t="n"/>
      <c r="AB9" s="342" t="n"/>
      <c r="AC9" s="342" t="n"/>
      <c r="AD9" s="342" t="n"/>
      <c r="AE9" s="342" t="n"/>
      <c r="AF9" s="342" t="n"/>
      <c r="AG9" s="342" t="n"/>
      <c r="AH9" s="342" t="n"/>
      <c r="AI9" s="342" t="n"/>
      <c r="AJ9" s="342" t="n"/>
      <c r="AK9" s="342" t="n"/>
      <c r="AL9" s="342" t="n"/>
      <c r="AM9" s="342" t="n"/>
      <c r="AN9" s="342" t="n"/>
      <c r="AO9" s="342" t="n"/>
      <c r="AP9" s="342" t="n"/>
      <c r="AQ9" s="342" t="n"/>
      <c r="AR9" s="342" t="n"/>
      <c r="AS9" s="342" t="n"/>
      <c r="AT9" s="342" t="n"/>
      <c r="AU9" s="342" t="n"/>
      <c r="AV9" s="342" t="n"/>
      <c r="AW9" s="342" t="n"/>
      <c r="AX9" s="342" t="n"/>
      <c r="AY9" s="342" t="n"/>
      <c r="AZ9" s="342" t="n"/>
      <c r="BA9" s="342" t="n"/>
      <c r="BB9" s="342" t="n"/>
      <c r="BC9" s="342" t="n"/>
      <c r="BD9" s="342" t="n"/>
      <c r="BE9" s="342" t="n"/>
      <c r="BF9" s="342" t="n"/>
      <c r="BG9" s="342" t="n"/>
      <c r="BH9" s="342" t="n"/>
      <c r="BI9" s="342" t="n"/>
      <c r="BJ9" s="342" t="n"/>
      <c r="BK9" s="342" t="n"/>
      <c r="BL9" s="342" t="n"/>
      <c r="BM9" s="342" t="n"/>
      <c r="BN9" s="342" t="n"/>
      <c r="BO9" s="342" t="n"/>
      <c r="BP9" s="342" t="n"/>
      <c r="BQ9" s="342" t="n"/>
      <c r="BR9" s="342" t="n"/>
      <c r="BS9" s="342" t="n"/>
      <c r="BT9" s="342" t="n"/>
      <c r="BU9" s="342" t="n"/>
      <c r="BV9" s="342" t="n"/>
      <c r="BW9" s="342" t="n"/>
      <c r="BX9" s="342" t="n"/>
      <c r="BY9" s="342" t="n"/>
      <c r="BZ9" s="342" t="n"/>
      <c r="CA9" s="342" t="n"/>
      <c r="CB9" s="342" t="n"/>
      <c r="CC9" s="343" t="n"/>
      <c r="CF9" s="361" t="inlineStr">
        <is>
          <t>所要時間　作業者1</t>
        </is>
      </c>
      <c r="CG9" s="362" t="n"/>
      <c r="CH9" s="362" t="n"/>
      <c r="CI9" s="362" t="n"/>
      <c r="CJ9" s="362" t="n"/>
      <c r="CK9" s="362" t="n"/>
      <c r="CL9" s="362" t="n"/>
      <c r="CM9" s="362" t="n"/>
      <c r="CN9" s="363" t="n"/>
      <c r="CP9" s="361" t="inlineStr">
        <is>
          <t>所要時間　作業者2</t>
        </is>
      </c>
      <c r="CQ9" s="362" t="n"/>
      <c r="CR9" s="362" t="n"/>
      <c r="CS9" s="362" t="n"/>
      <c r="CT9" s="362" t="n"/>
      <c r="CU9" s="362" t="n"/>
      <c r="CV9" s="362" t="n"/>
      <c r="CW9" s="362" t="n"/>
      <c r="CX9" s="363" t="n"/>
      <c r="CZ9" s="361" t="inlineStr">
        <is>
          <t>所要時間　作業者3</t>
        </is>
      </c>
      <c r="DA9" s="362" t="n"/>
      <c r="DB9" s="362" t="n"/>
      <c r="DC9" s="362" t="n"/>
      <c r="DD9" s="362" t="n"/>
      <c r="DE9" s="362" t="n"/>
      <c r="DF9" s="362" t="n"/>
      <c r="DG9" s="362" t="n"/>
      <c r="DH9" s="363" t="n"/>
      <c r="DJ9" s="361" t="inlineStr">
        <is>
          <t>所要時間　作業者4</t>
        </is>
      </c>
      <c r="DK9" s="362" t="n"/>
      <c r="DL9" s="362" t="n"/>
      <c r="DM9" s="362" t="n"/>
      <c r="DN9" s="362" t="n"/>
      <c r="DO9" s="362" t="n"/>
      <c r="DP9" s="362" t="n"/>
      <c r="DQ9" s="362" t="n"/>
      <c r="DR9" s="363" t="n"/>
      <c r="DT9" s="361" t="inlineStr">
        <is>
          <t>所要時間　作業者5</t>
        </is>
      </c>
      <c r="DU9" s="362" t="n"/>
      <c r="DV9" s="362" t="n"/>
      <c r="DW9" s="362" t="n"/>
      <c r="DX9" s="362" t="n"/>
      <c r="DY9" s="362" t="n"/>
      <c r="DZ9" s="362" t="n"/>
      <c r="EA9" s="362" t="n"/>
      <c r="EB9" s="363" t="n"/>
    </row>
    <row r="10" ht="14.1" customHeight="1" s="337">
      <c r="B10" s="353" t="n"/>
      <c r="C10" s="339" t="n"/>
      <c r="D10" s="364" t="n"/>
      <c r="E10" s="365" t="n"/>
      <c r="F10" s="339" t="n"/>
      <c r="G10" s="364" t="n"/>
      <c r="H10" s="365" t="n"/>
      <c r="I10" s="339" t="n"/>
      <c r="J10" s="364" t="n"/>
      <c r="K10" s="365" t="n"/>
      <c r="L10" s="339" t="n"/>
      <c r="M10" s="364" t="n"/>
      <c r="N10" s="365" t="n"/>
      <c r="O10" s="339" t="n"/>
      <c r="P10" s="364" t="n"/>
      <c r="Q10" s="365" t="n"/>
      <c r="R10" s="339" t="n"/>
      <c r="S10" s="364" t="n"/>
      <c r="T10" s="365" t="n"/>
      <c r="U10" s="339" t="n"/>
      <c r="V10" s="364" t="n"/>
      <c r="W10" s="365" t="n"/>
      <c r="X10" s="339" t="n"/>
      <c r="Y10" s="339" t="n"/>
      <c r="Z10" s="339" t="n"/>
      <c r="AA10" s="339" t="n"/>
      <c r="AB10" s="339" t="n"/>
      <c r="AC10" s="339" t="n"/>
      <c r="AD10" s="339" t="n"/>
      <c r="AE10" s="339" t="n"/>
      <c r="AF10" s="339" t="n"/>
      <c r="AG10" s="339" t="n"/>
      <c r="AH10" s="339" t="n"/>
      <c r="AI10" s="339" t="n"/>
      <c r="AJ10" s="339" t="n"/>
      <c r="AK10" s="339" t="n"/>
      <c r="AL10" s="339" t="n"/>
      <c r="AM10" s="339" t="n"/>
      <c r="AN10" s="339" t="n"/>
      <c r="AO10" s="339" t="n"/>
      <c r="AP10" s="339" t="n"/>
      <c r="AQ10" s="339" t="n"/>
      <c r="AR10" s="339" t="n"/>
      <c r="AS10" s="339" t="n"/>
      <c r="AT10" s="339" t="n"/>
      <c r="AU10" s="339" t="n"/>
      <c r="AV10" s="339" t="n"/>
      <c r="AW10" s="339" t="n"/>
      <c r="AX10" s="339" t="n"/>
      <c r="AY10" s="339" t="n"/>
      <c r="AZ10" s="339" t="n"/>
      <c r="BA10" s="339" t="n"/>
      <c r="BB10" s="339" t="n"/>
      <c r="BC10" s="339" t="n"/>
      <c r="BD10" s="339" t="n"/>
      <c r="BE10" s="339" t="n"/>
      <c r="BF10" s="339" t="n"/>
      <c r="BG10" s="339" t="n"/>
      <c r="BH10" s="339" t="n"/>
      <c r="BI10" s="339" t="n"/>
      <c r="BJ10" s="339" t="n"/>
      <c r="BK10" s="339" t="n"/>
      <c r="BL10" s="339" t="n"/>
      <c r="BM10" s="339" t="n"/>
      <c r="BN10" s="339" t="n"/>
      <c r="BO10" s="339" t="n"/>
      <c r="BP10" s="339" t="n"/>
      <c r="BQ10" s="339" t="n"/>
      <c r="BR10" s="339" t="n"/>
      <c r="BS10" s="339" t="n"/>
      <c r="BT10" s="339" t="n"/>
      <c r="BU10" s="339" t="n"/>
      <c r="BV10" s="339" t="n"/>
      <c r="BW10" s="339" t="n"/>
      <c r="BX10" s="339" t="n"/>
      <c r="BY10" s="339" t="n"/>
      <c r="BZ10" s="339" t="n"/>
      <c r="CA10" s="339" t="n"/>
      <c r="CB10" s="339" t="n"/>
      <c r="CC10" s="354" t="n"/>
      <c r="CF10" s="366" t="n"/>
      <c r="CG10" s="367" t="n"/>
      <c r="CH10" s="367" t="n"/>
      <c r="CI10" s="367" t="n"/>
      <c r="CJ10" s="367" t="n"/>
      <c r="CK10" s="367" t="n"/>
      <c r="CL10" s="367" t="n"/>
      <c r="CM10" s="367" t="n"/>
      <c r="CN10" s="368" t="n"/>
      <c r="CP10" s="366" t="n"/>
      <c r="CQ10" s="367" t="n"/>
      <c r="CR10" s="367" t="n"/>
      <c r="CS10" s="367" t="n"/>
      <c r="CT10" s="367" t="n"/>
      <c r="CU10" s="367" t="n"/>
      <c r="CV10" s="367" t="n"/>
      <c r="CW10" s="367" t="n"/>
      <c r="CX10" s="368" t="n"/>
      <c r="CZ10" s="366" t="n"/>
      <c r="DA10" s="367" t="n"/>
      <c r="DB10" s="367" t="n"/>
      <c r="DC10" s="367" t="n"/>
      <c r="DD10" s="367" t="n"/>
      <c r="DE10" s="367" t="n"/>
      <c r="DF10" s="367" t="n"/>
      <c r="DG10" s="367" t="n"/>
      <c r="DH10" s="368" t="n"/>
      <c r="DJ10" s="366" t="n"/>
      <c r="DK10" s="367" t="n"/>
      <c r="DL10" s="367" t="n"/>
      <c r="DM10" s="367" t="n"/>
      <c r="DN10" s="367" t="n"/>
      <c r="DO10" s="367" t="n"/>
      <c r="DP10" s="367" t="n"/>
      <c r="DQ10" s="367" t="n"/>
      <c r="DR10" s="368" t="n"/>
      <c r="DT10" s="366" t="n"/>
      <c r="DU10" s="367" t="n"/>
      <c r="DV10" s="367" t="n"/>
      <c r="DW10" s="367" t="n"/>
      <c r="DX10" s="367" t="n"/>
      <c r="DY10" s="367" t="n"/>
      <c r="DZ10" s="367" t="n"/>
      <c r="EA10" s="367" t="n"/>
      <c r="EB10" s="368" t="n"/>
    </row>
    <row r="11" ht="9" customHeight="1" s="337">
      <c r="B11" s="369" t="n"/>
      <c r="C11" s="342" t="n"/>
      <c r="D11" s="356" t="n"/>
      <c r="E11" s="370" t="n"/>
      <c r="F11" s="342" t="n"/>
      <c r="G11" s="356" t="n"/>
      <c r="H11" s="370" t="n"/>
      <c r="I11" s="342" t="n"/>
      <c r="J11" s="356" t="n"/>
      <c r="K11" s="370" t="n"/>
      <c r="L11" s="342" t="n"/>
      <c r="M11" s="356" t="n"/>
      <c r="N11" s="370" t="n"/>
      <c r="O11" s="342" t="n"/>
      <c r="P11" s="356" t="n"/>
      <c r="Q11" s="371" t="n"/>
      <c r="R11" s="372" t="n"/>
      <c r="S11" s="373" t="n"/>
      <c r="T11" s="374" t="n"/>
      <c r="U11" s="342" t="n"/>
      <c r="V11" s="356" t="n"/>
      <c r="W11" s="375" t="n"/>
      <c r="X11" s="342" t="n"/>
      <c r="Y11" s="342" t="n"/>
      <c r="Z11" s="342" t="n"/>
      <c r="AA11" s="342" t="n"/>
      <c r="AB11" s="342" t="n"/>
      <c r="AC11" s="342" t="n"/>
      <c r="AD11" s="342" t="n"/>
      <c r="AE11" s="342" t="n"/>
      <c r="AF11" s="342" t="n"/>
      <c r="AG11" s="342" t="n"/>
      <c r="AH11" s="342" t="n"/>
      <c r="AI11" s="342" t="n"/>
      <c r="AJ11" s="342" t="n"/>
      <c r="AK11" s="342" t="n"/>
      <c r="AL11" s="342" t="n"/>
      <c r="AM11" s="342" t="n"/>
      <c r="AN11" s="342" t="n"/>
      <c r="AO11" s="342" t="n"/>
      <c r="AP11" s="342" t="n"/>
      <c r="AQ11" s="342" t="n"/>
      <c r="AR11" s="342" t="n"/>
      <c r="AS11" s="342" t="n"/>
      <c r="AT11" s="342" t="n"/>
      <c r="AU11" s="342" t="n"/>
      <c r="AV11" s="342" t="n"/>
      <c r="AW11" s="342" t="n"/>
      <c r="AX11" s="342" t="n"/>
      <c r="AY11" s="342" t="n"/>
      <c r="AZ11" s="342" t="n"/>
      <c r="BA11" s="342" t="n"/>
      <c r="BB11" s="342" t="n"/>
      <c r="BC11" s="342" t="n"/>
      <c r="BD11" s="342" t="n"/>
      <c r="BE11" s="342" t="n"/>
      <c r="BF11" s="342" t="n"/>
      <c r="BG11" s="342" t="n"/>
      <c r="BH11" s="342" t="n"/>
      <c r="BI11" s="342" t="n"/>
      <c r="BJ11" s="342" t="n"/>
      <c r="BK11" s="342" t="n"/>
      <c r="BL11" s="342" t="n"/>
      <c r="BM11" s="342" t="n"/>
      <c r="BN11" s="342" t="n"/>
      <c r="BO11" s="342" t="n"/>
      <c r="BP11" s="342" t="n"/>
      <c r="BQ11" s="342" t="n"/>
      <c r="BR11" s="342" t="n"/>
      <c r="BS11" s="342" t="n"/>
      <c r="BT11" s="342" t="n"/>
      <c r="BU11" s="342" t="n"/>
      <c r="BV11" s="342" t="n"/>
      <c r="BW11" s="342" t="n"/>
      <c r="BX11" s="342" t="n"/>
      <c r="BY11" s="342" t="n"/>
      <c r="BZ11" s="342" t="n"/>
      <c r="CA11" s="342" t="n"/>
      <c r="CB11" s="342" t="n"/>
      <c r="CC11" s="376" t="n"/>
      <c r="CD11" s="30" t="n"/>
      <c r="CE11" s="31" t="n"/>
      <c r="CF11" s="248" t="inlineStr">
        <is>
          <t>移動</t>
        </is>
      </c>
      <c r="CG11" s="377" t="n"/>
      <c r="CH11" s="377" t="n"/>
      <c r="CI11" s="378" t="n"/>
      <c r="CJ11" s="379">
        <f>IF(Q11="作業者1",E14-E11,0)</f>
        <v/>
      </c>
      <c r="CK11" s="377" t="n"/>
      <c r="CL11" s="377" t="n"/>
      <c r="CM11" s="377" t="n"/>
      <c r="CN11" s="378" t="n"/>
      <c r="CP11" s="248" t="inlineStr">
        <is>
          <t>移動</t>
        </is>
      </c>
      <c r="CQ11" s="377" t="n"/>
      <c r="CR11" s="377" t="n"/>
      <c r="CS11" s="378" t="n"/>
      <c r="CT11" s="379">
        <f>IF(Q11="作業者2",E14-E11,0)</f>
        <v/>
      </c>
      <c r="CU11" s="377" t="n"/>
      <c r="CV11" s="377" t="n"/>
      <c r="CW11" s="377" t="n"/>
      <c r="CX11" s="378" t="n"/>
      <c r="CZ11" s="248" t="inlineStr">
        <is>
          <t>移動</t>
        </is>
      </c>
      <c r="DA11" s="377" t="n"/>
      <c r="DB11" s="377" t="n"/>
      <c r="DC11" s="378" t="n"/>
      <c r="DD11" s="379">
        <f>IF(Q11="作業者3",E14-E11,0)</f>
        <v/>
      </c>
      <c r="DE11" s="377" t="n"/>
      <c r="DF11" s="377" t="n"/>
      <c r="DG11" s="377" t="n"/>
      <c r="DH11" s="378" t="n"/>
      <c r="DJ11" s="248" t="inlineStr">
        <is>
          <t>移動</t>
        </is>
      </c>
      <c r="DK11" s="377" t="n"/>
      <c r="DL11" s="377" t="n"/>
      <c r="DM11" s="378" t="n"/>
      <c r="DN11" s="379">
        <f>IF(Q11="作業者4",E14-E11,0)</f>
        <v/>
      </c>
      <c r="DO11" s="377" t="n"/>
      <c r="DP11" s="377" t="n"/>
      <c r="DQ11" s="377" t="n"/>
      <c r="DR11" s="378" t="n"/>
      <c r="DT11" s="248" t="inlineStr">
        <is>
          <t>移動</t>
        </is>
      </c>
      <c r="DU11" s="377" t="n"/>
      <c r="DV11" s="377" t="n"/>
      <c r="DW11" s="378" t="n"/>
      <c r="DX11" s="379">
        <f>IF(Q11="作業者5",E14-E11,0)</f>
        <v/>
      </c>
      <c r="DY11" s="377" t="n"/>
      <c r="DZ11" s="377" t="n"/>
      <c r="EA11" s="377" t="n"/>
      <c r="EB11" s="378" t="n"/>
    </row>
    <row r="12" ht="9" customHeight="1" s="337">
      <c r="B12" s="350" t="n"/>
      <c r="C12" s="338" t="n"/>
      <c r="D12" s="380" t="n"/>
      <c r="E12" s="381" t="n"/>
      <c r="F12" s="122" t="inlineStr">
        <is>
          <t>～</t>
        </is>
      </c>
      <c r="G12" s="22" t="n"/>
      <c r="H12" s="381" t="n"/>
      <c r="I12" s="122" t="inlineStr">
        <is>
          <t>～</t>
        </is>
      </c>
      <c r="J12" s="22" t="n"/>
      <c r="K12" s="381" t="n"/>
      <c r="L12" s="122" t="inlineStr">
        <is>
          <t>～</t>
        </is>
      </c>
      <c r="M12" s="22" t="n"/>
      <c r="N12" s="381" t="n"/>
      <c r="O12" s="122" t="inlineStr">
        <is>
          <t>～</t>
        </is>
      </c>
      <c r="P12" s="22" t="n"/>
      <c r="Q12" s="382" t="n"/>
      <c r="R12" s="338" t="n"/>
      <c r="S12" s="380" t="n"/>
      <c r="T12" s="382" t="n"/>
      <c r="U12" s="338" t="n"/>
      <c r="V12" s="380" t="n"/>
      <c r="W12" s="382" t="n"/>
      <c r="X12" s="338" t="n"/>
      <c r="Y12" s="338" t="n"/>
      <c r="Z12" s="338" t="n"/>
      <c r="AA12" s="338" t="n"/>
      <c r="AB12" s="338" t="n"/>
      <c r="AC12" s="338" t="n"/>
      <c r="AD12" s="338" t="n"/>
      <c r="AE12" s="338" t="n"/>
      <c r="AF12" s="338" t="n"/>
      <c r="AG12" s="338" t="n"/>
      <c r="AH12" s="338" t="n"/>
      <c r="AI12" s="338" t="n"/>
      <c r="AJ12" s="338" t="n"/>
      <c r="AK12" s="338" t="n"/>
      <c r="AL12" s="338" t="n"/>
      <c r="AM12" s="338" t="n"/>
      <c r="AN12" s="338" t="n"/>
      <c r="AO12" s="338" t="n"/>
      <c r="AP12" s="338" t="n"/>
      <c r="AQ12" s="338" t="n"/>
      <c r="AR12" s="338" t="n"/>
      <c r="AS12" s="338" t="n"/>
      <c r="AT12" s="338" t="n"/>
      <c r="AU12" s="338" t="n"/>
      <c r="AV12" s="338" t="n"/>
      <c r="AW12" s="338" t="n"/>
      <c r="AX12" s="338" t="n"/>
      <c r="AY12" s="338" t="n"/>
      <c r="AZ12" s="338" t="n"/>
      <c r="BA12" s="338" t="n"/>
      <c r="BB12" s="338" t="n"/>
      <c r="BC12" s="338" t="n"/>
      <c r="BD12" s="338" t="n"/>
      <c r="BE12" s="338" t="n"/>
      <c r="BF12" s="338" t="n"/>
      <c r="BG12" s="338" t="n"/>
      <c r="BH12" s="338" t="n"/>
      <c r="BI12" s="338" t="n"/>
      <c r="BJ12" s="338" t="n"/>
      <c r="BK12" s="338" t="n"/>
      <c r="BL12" s="338" t="n"/>
      <c r="BM12" s="338" t="n"/>
      <c r="BN12" s="338" t="n"/>
      <c r="BO12" s="338" t="n"/>
      <c r="BP12" s="338" t="n"/>
      <c r="BQ12" s="338" t="n"/>
      <c r="BR12" s="338" t="n"/>
      <c r="BS12" s="338" t="n"/>
      <c r="BT12" s="338" t="n"/>
      <c r="BU12" s="338" t="n"/>
      <c r="BV12" s="338" t="n"/>
      <c r="BW12" s="338" t="n"/>
      <c r="BX12" s="338" t="n"/>
      <c r="BY12" s="338" t="n"/>
      <c r="BZ12" s="338" t="n"/>
      <c r="CA12" s="338" t="n"/>
      <c r="CB12" s="338" t="n"/>
      <c r="CC12" s="383" t="n"/>
      <c r="CD12" s="30" t="n"/>
      <c r="CE12" s="31" t="n"/>
      <c r="CF12" s="253" t="inlineStr">
        <is>
          <t>時間内</t>
        </is>
      </c>
      <c r="CG12" s="384" t="n"/>
      <c r="CH12" s="384" t="n"/>
      <c r="CI12" s="385" t="n"/>
      <c r="CJ12" s="386">
        <f>IF(Q11="作業者1",H14-H11,0)</f>
        <v/>
      </c>
      <c r="CK12" s="387" t="n"/>
      <c r="CL12" s="387" t="n"/>
      <c r="CM12" s="387" t="n"/>
      <c r="CN12" s="388" t="n"/>
      <c r="CP12" s="253" t="inlineStr">
        <is>
          <t>時間内</t>
        </is>
      </c>
      <c r="CQ12" s="384" t="n"/>
      <c r="CR12" s="384" t="n"/>
      <c r="CS12" s="385" t="n"/>
      <c r="CT12" s="386">
        <f>IF(Q11="作業者2",H14-H11,0)</f>
        <v/>
      </c>
      <c r="CU12" s="387" t="n"/>
      <c r="CV12" s="387" t="n"/>
      <c r="CW12" s="387" t="n"/>
      <c r="CX12" s="388" t="n"/>
      <c r="CZ12" s="253" t="inlineStr">
        <is>
          <t>時間内</t>
        </is>
      </c>
      <c r="DA12" s="384" t="n"/>
      <c r="DB12" s="384" t="n"/>
      <c r="DC12" s="385" t="n"/>
      <c r="DD12" s="386">
        <f>IF(Q11="作業者3",H14-H11,0)</f>
        <v/>
      </c>
      <c r="DE12" s="387" t="n"/>
      <c r="DF12" s="387" t="n"/>
      <c r="DG12" s="387" t="n"/>
      <c r="DH12" s="388" t="n"/>
      <c r="DJ12" s="253" t="inlineStr">
        <is>
          <t>時間内</t>
        </is>
      </c>
      <c r="DK12" s="384" t="n"/>
      <c r="DL12" s="384" t="n"/>
      <c r="DM12" s="385" t="n"/>
      <c r="DN12" s="386">
        <f>IF(Q11="作業者4",H14-H11,0)</f>
        <v/>
      </c>
      <c r="DO12" s="387" t="n"/>
      <c r="DP12" s="387" t="n"/>
      <c r="DQ12" s="387" t="n"/>
      <c r="DR12" s="388" t="n"/>
      <c r="DT12" s="253" t="inlineStr">
        <is>
          <t>時間内</t>
        </is>
      </c>
      <c r="DU12" s="384" t="n"/>
      <c r="DV12" s="384" t="n"/>
      <c r="DW12" s="385" t="n"/>
      <c r="DX12" s="386">
        <f>IF(Q11="作業者5",H14-H11,0)</f>
        <v/>
      </c>
      <c r="DY12" s="387" t="n"/>
      <c r="DZ12" s="387" t="n"/>
      <c r="EA12" s="387" t="n"/>
      <c r="EB12" s="388" t="n"/>
    </row>
    <row r="13" ht="9" customHeight="1" s="337">
      <c r="B13" s="350" t="n"/>
      <c r="C13" s="338" t="n"/>
      <c r="D13" s="380" t="n"/>
      <c r="E13" s="23" t="n"/>
      <c r="F13" s="338" t="n"/>
      <c r="G13" s="24" t="n"/>
      <c r="H13" s="23" t="n"/>
      <c r="I13" s="338" t="n"/>
      <c r="J13" s="24" t="n"/>
      <c r="K13" s="23" t="n"/>
      <c r="L13" s="338" t="n"/>
      <c r="M13" s="24" t="n"/>
      <c r="N13" s="23" t="n"/>
      <c r="O13" s="338" t="n"/>
      <c r="P13" s="24" t="n"/>
      <c r="Q13" s="382" t="n"/>
      <c r="R13" s="338" t="n"/>
      <c r="S13" s="380" t="n"/>
      <c r="T13" s="382" t="n"/>
      <c r="U13" s="338" t="n"/>
      <c r="V13" s="380" t="n"/>
      <c r="W13" s="382" t="n"/>
      <c r="X13" s="338" t="n"/>
      <c r="Y13" s="338" t="n"/>
      <c r="Z13" s="338" t="n"/>
      <c r="AA13" s="338" t="n"/>
      <c r="AB13" s="338" t="n"/>
      <c r="AC13" s="338" t="n"/>
      <c r="AD13" s="338" t="n"/>
      <c r="AE13" s="338" t="n"/>
      <c r="AF13" s="338" t="n"/>
      <c r="AG13" s="338" t="n"/>
      <c r="AH13" s="338" t="n"/>
      <c r="AI13" s="338" t="n"/>
      <c r="AJ13" s="338" t="n"/>
      <c r="AK13" s="338" t="n"/>
      <c r="AL13" s="338" t="n"/>
      <c r="AM13" s="338" t="n"/>
      <c r="AN13" s="338" t="n"/>
      <c r="AO13" s="338" t="n"/>
      <c r="AP13" s="338" t="n"/>
      <c r="AQ13" s="338" t="n"/>
      <c r="AR13" s="338" t="n"/>
      <c r="AS13" s="338" t="n"/>
      <c r="AT13" s="338" t="n"/>
      <c r="AU13" s="338" t="n"/>
      <c r="AV13" s="338" t="n"/>
      <c r="AW13" s="338" t="n"/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8" t="n"/>
      <c r="BH13" s="338" t="n"/>
      <c r="BI13" s="338" t="n"/>
      <c r="BJ13" s="338" t="n"/>
      <c r="BK13" s="338" t="n"/>
      <c r="BL13" s="338" t="n"/>
      <c r="BM13" s="338" t="n"/>
      <c r="BN13" s="338" t="n"/>
      <c r="BO13" s="338" t="n"/>
      <c r="BP13" s="338" t="n"/>
      <c r="BQ13" s="338" t="n"/>
      <c r="BR13" s="338" t="n"/>
      <c r="BS13" s="338" t="n"/>
      <c r="BT13" s="338" t="n"/>
      <c r="BU13" s="338" t="n"/>
      <c r="BV13" s="338" t="n"/>
      <c r="BW13" s="338" t="n"/>
      <c r="BX13" s="338" t="n"/>
      <c r="BY13" s="338" t="n"/>
      <c r="BZ13" s="338" t="n"/>
      <c r="CA13" s="338" t="n"/>
      <c r="CB13" s="338" t="n"/>
      <c r="CC13" s="383" t="n"/>
      <c r="CD13" s="30" t="n"/>
      <c r="CE13" s="31" t="n"/>
      <c r="CF13" s="253" t="inlineStr">
        <is>
          <t>時間外</t>
        </is>
      </c>
      <c r="CG13" s="384" t="n"/>
      <c r="CH13" s="384" t="n"/>
      <c r="CI13" s="385" t="n"/>
      <c r="CJ13" s="386">
        <f>IF(Q11="作業者1",K14-K11,0)</f>
        <v/>
      </c>
      <c r="CK13" s="387" t="n"/>
      <c r="CL13" s="387" t="n"/>
      <c r="CM13" s="387" t="n"/>
      <c r="CN13" s="388" t="n"/>
      <c r="CP13" s="253" t="inlineStr">
        <is>
          <t>時間外</t>
        </is>
      </c>
      <c r="CQ13" s="384" t="n"/>
      <c r="CR13" s="384" t="n"/>
      <c r="CS13" s="385" t="n"/>
      <c r="CT13" s="386">
        <f>IF(Q11="作業者2",K14-K11,0)</f>
        <v/>
      </c>
      <c r="CU13" s="387" t="n"/>
      <c r="CV13" s="387" t="n"/>
      <c r="CW13" s="387" t="n"/>
      <c r="CX13" s="388" t="n"/>
      <c r="CZ13" s="253" t="inlineStr">
        <is>
          <t>時間外</t>
        </is>
      </c>
      <c r="DA13" s="384" t="n"/>
      <c r="DB13" s="384" t="n"/>
      <c r="DC13" s="385" t="n"/>
      <c r="DD13" s="386">
        <f>IF(Q11="作業者3",K14-K11,0)</f>
        <v/>
      </c>
      <c r="DE13" s="387" t="n"/>
      <c r="DF13" s="387" t="n"/>
      <c r="DG13" s="387" t="n"/>
      <c r="DH13" s="388" t="n"/>
      <c r="DJ13" s="253" t="inlineStr">
        <is>
          <t>時間外</t>
        </is>
      </c>
      <c r="DK13" s="384" t="n"/>
      <c r="DL13" s="384" t="n"/>
      <c r="DM13" s="385" t="n"/>
      <c r="DN13" s="386">
        <f>IF(Q11="作業者4",K14-K11,0)</f>
        <v/>
      </c>
      <c r="DO13" s="387" t="n"/>
      <c r="DP13" s="387" t="n"/>
      <c r="DQ13" s="387" t="n"/>
      <c r="DR13" s="388" t="n"/>
      <c r="DT13" s="253" t="inlineStr">
        <is>
          <t>時間外</t>
        </is>
      </c>
      <c r="DU13" s="384" t="n"/>
      <c r="DV13" s="384" t="n"/>
      <c r="DW13" s="385" t="n"/>
      <c r="DX13" s="386">
        <f>IF(Q11="作業者5",K14-K11,0)</f>
        <v/>
      </c>
      <c r="DY13" s="387" t="n"/>
      <c r="DZ13" s="387" t="n"/>
      <c r="EA13" s="387" t="n"/>
      <c r="EB13" s="388" t="n"/>
    </row>
    <row r="14" ht="9" customHeight="1" s="337">
      <c r="B14" s="389" t="n"/>
      <c r="C14" s="390" t="n"/>
      <c r="D14" s="391" t="n"/>
      <c r="E14" s="392" t="n"/>
      <c r="F14" s="390" t="n"/>
      <c r="G14" s="391" t="n"/>
      <c r="H14" s="392" t="n"/>
      <c r="I14" s="390" t="n"/>
      <c r="J14" s="391" t="n"/>
      <c r="K14" s="392" t="n"/>
      <c r="L14" s="390" t="n"/>
      <c r="M14" s="391" t="n"/>
      <c r="N14" s="392" t="n"/>
      <c r="O14" s="390" t="n"/>
      <c r="P14" s="391" t="n"/>
      <c r="Q14" s="393" t="n"/>
      <c r="R14" s="390" t="n"/>
      <c r="S14" s="391" t="n"/>
      <c r="T14" s="393" t="n"/>
      <c r="U14" s="390" t="n"/>
      <c r="V14" s="391" t="n"/>
      <c r="W14" s="393" t="n"/>
      <c r="X14" s="390" t="n"/>
      <c r="Y14" s="390" t="n"/>
      <c r="Z14" s="390" t="n"/>
      <c r="AA14" s="390" t="n"/>
      <c r="AB14" s="390" t="n"/>
      <c r="AC14" s="390" t="n"/>
      <c r="AD14" s="390" t="n"/>
      <c r="AE14" s="390" t="n"/>
      <c r="AF14" s="390" t="n"/>
      <c r="AG14" s="390" t="n"/>
      <c r="AH14" s="390" t="n"/>
      <c r="AI14" s="390" t="n"/>
      <c r="AJ14" s="390" t="n"/>
      <c r="AK14" s="390" t="n"/>
      <c r="AL14" s="390" t="n"/>
      <c r="AM14" s="390" t="n"/>
      <c r="AN14" s="390" t="n"/>
      <c r="AO14" s="390" t="n"/>
      <c r="AP14" s="390" t="n"/>
      <c r="AQ14" s="390" t="n"/>
      <c r="AR14" s="390" t="n"/>
      <c r="AS14" s="390" t="n"/>
      <c r="AT14" s="390" t="n"/>
      <c r="AU14" s="390" t="n"/>
      <c r="AV14" s="390" t="n"/>
      <c r="AW14" s="390" t="n"/>
      <c r="AX14" s="390" t="n"/>
      <c r="AY14" s="390" t="n"/>
      <c r="AZ14" s="390" t="n"/>
      <c r="BA14" s="390" t="n"/>
      <c r="BB14" s="390" t="n"/>
      <c r="BC14" s="390" t="n"/>
      <c r="BD14" s="390" t="n"/>
      <c r="BE14" s="390" t="n"/>
      <c r="BF14" s="390" t="n"/>
      <c r="BG14" s="390" t="n"/>
      <c r="BH14" s="390" t="n"/>
      <c r="BI14" s="390" t="n"/>
      <c r="BJ14" s="390" t="n"/>
      <c r="BK14" s="390" t="n"/>
      <c r="BL14" s="390" t="n"/>
      <c r="BM14" s="390" t="n"/>
      <c r="BN14" s="390" t="n"/>
      <c r="BO14" s="390" t="n"/>
      <c r="BP14" s="390" t="n"/>
      <c r="BQ14" s="390" t="n"/>
      <c r="BR14" s="390" t="n"/>
      <c r="BS14" s="390" t="n"/>
      <c r="BT14" s="390" t="n"/>
      <c r="BU14" s="390" t="n"/>
      <c r="BV14" s="390" t="n"/>
      <c r="BW14" s="390" t="n"/>
      <c r="BX14" s="390" t="n"/>
      <c r="BY14" s="390" t="n"/>
      <c r="BZ14" s="390" t="n"/>
      <c r="CA14" s="390" t="n"/>
      <c r="CB14" s="390" t="n"/>
      <c r="CC14" s="394" t="n"/>
      <c r="CD14" s="30" t="n"/>
      <c r="CE14" s="31" t="n"/>
      <c r="CF14" s="254" t="inlineStr">
        <is>
          <t>休日</t>
        </is>
      </c>
      <c r="CG14" s="395" t="n"/>
      <c r="CH14" s="395" t="n"/>
      <c r="CI14" s="396" t="n"/>
      <c r="CJ14" s="386">
        <f>IF(Q11="作業者1",N14-N11,0)</f>
        <v/>
      </c>
      <c r="CK14" s="387" t="n"/>
      <c r="CL14" s="387" t="n"/>
      <c r="CM14" s="387" t="n"/>
      <c r="CN14" s="388" t="n"/>
      <c r="CP14" s="253" t="inlineStr">
        <is>
          <t>休日</t>
        </is>
      </c>
      <c r="CQ14" s="384" t="n"/>
      <c r="CR14" s="384" t="n"/>
      <c r="CS14" s="385" t="n"/>
      <c r="CT14" s="386">
        <f>IF(Q11="作業者2",N14-N11,0)</f>
        <v/>
      </c>
      <c r="CU14" s="387" t="n"/>
      <c r="CV14" s="387" t="n"/>
      <c r="CW14" s="387" t="n"/>
      <c r="CX14" s="388" t="n"/>
      <c r="CZ14" s="254" t="inlineStr">
        <is>
          <t>休日</t>
        </is>
      </c>
      <c r="DA14" s="395" t="n"/>
      <c r="DB14" s="395" t="n"/>
      <c r="DC14" s="396" t="n"/>
      <c r="DD14" s="397">
        <f>IF(Q11="作業者3",N14-N11,0)</f>
        <v/>
      </c>
      <c r="DE14" s="395" t="n"/>
      <c r="DF14" s="395" t="n"/>
      <c r="DG14" s="395" t="n"/>
      <c r="DH14" s="396" t="n"/>
      <c r="DJ14" s="254" t="inlineStr">
        <is>
          <t>休日</t>
        </is>
      </c>
      <c r="DK14" s="395" t="n"/>
      <c r="DL14" s="395" t="n"/>
      <c r="DM14" s="396" t="n"/>
      <c r="DN14" s="397">
        <f>IF(Q11="作業者4",N14-N11,0)</f>
        <v/>
      </c>
      <c r="DO14" s="395" t="n"/>
      <c r="DP14" s="395" t="n"/>
      <c r="DQ14" s="395" t="n"/>
      <c r="DR14" s="396" t="n"/>
      <c r="DT14" s="254" t="inlineStr">
        <is>
          <t>休日</t>
        </is>
      </c>
      <c r="DU14" s="395" t="n"/>
      <c r="DV14" s="395" t="n"/>
      <c r="DW14" s="396" t="n"/>
      <c r="DX14" s="397">
        <f>IF(Q11="作業者5",N14-N11,0)</f>
        <v/>
      </c>
      <c r="DY14" s="395" t="n"/>
      <c r="DZ14" s="395" t="n"/>
      <c r="EA14" s="395" t="n"/>
      <c r="EB14" s="396" t="n"/>
    </row>
    <row r="15" ht="9" customHeight="1" s="337">
      <c r="B15" s="398" t="n"/>
      <c r="C15" s="372" t="n"/>
      <c r="D15" s="373" t="n"/>
      <c r="E15" s="399" t="n"/>
      <c r="F15" s="372" t="n"/>
      <c r="G15" s="373" t="n"/>
      <c r="H15" s="399" t="n"/>
      <c r="I15" s="372" t="n"/>
      <c r="J15" s="373" t="n"/>
      <c r="K15" s="399" t="n"/>
      <c r="L15" s="372" t="n"/>
      <c r="M15" s="373" t="n"/>
      <c r="N15" s="399" t="n"/>
      <c r="O15" s="372" t="n"/>
      <c r="P15" s="373" t="n"/>
      <c r="Q15" s="371" t="n"/>
      <c r="R15" s="372" t="n"/>
      <c r="S15" s="373" t="n"/>
      <c r="T15" s="400" t="n"/>
      <c r="U15" s="372" t="n"/>
      <c r="V15" s="373" t="n"/>
      <c r="W15" s="401" t="n"/>
      <c r="X15" s="372" t="n"/>
      <c r="Y15" s="372" t="n"/>
      <c r="Z15" s="372" t="n"/>
      <c r="AA15" s="372" t="n"/>
      <c r="AB15" s="372" t="n"/>
      <c r="AC15" s="372" t="n"/>
      <c r="AD15" s="372" t="n"/>
      <c r="AE15" s="372" t="n"/>
      <c r="AF15" s="372" t="n"/>
      <c r="AG15" s="372" t="n"/>
      <c r="AH15" s="372" t="n"/>
      <c r="AI15" s="372" t="n"/>
      <c r="AJ15" s="372" t="n"/>
      <c r="AK15" s="372" t="n"/>
      <c r="AL15" s="372" t="n"/>
      <c r="AM15" s="372" t="n"/>
      <c r="AN15" s="372" t="n"/>
      <c r="AO15" s="372" t="n"/>
      <c r="AP15" s="372" t="n"/>
      <c r="AQ15" s="372" t="n"/>
      <c r="AR15" s="372" t="n"/>
      <c r="AS15" s="372" t="n"/>
      <c r="AT15" s="372" t="n"/>
      <c r="AU15" s="372" t="n"/>
      <c r="AV15" s="372" t="n"/>
      <c r="AW15" s="372" t="n"/>
      <c r="AX15" s="372" t="n"/>
      <c r="AY15" s="372" t="n"/>
      <c r="AZ15" s="372" t="n"/>
      <c r="BA15" s="372" t="n"/>
      <c r="BB15" s="372" t="n"/>
      <c r="BC15" s="372" t="n"/>
      <c r="BD15" s="372" t="n"/>
      <c r="BE15" s="372" t="n"/>
      <c r="BF15" s="372" t="n"/>
      <c r="BG15" s="372" t="n"/>
      <c r="BH15" s="372" t="n"/>
      <c r="BI15" s="372" t="n"/>
      <c r="BJ15" s="372" t="n"/>
      <c r="BK15" s="372" t="n"/>
      <c r="BL15" s="372" t="n"/>
      <c r="BM15" s="372" t="n"/>
      <c r="BN15" s="372" t="n"/>
      <c r="BO15" s="372" t="n"/>
      <c r="BP15" s="372" t="n"/>
      <c r="BQ15" s="372" t="n"/>
      <c r="BR15" s="372" t="n"/>
      <c r="BS15" s="372" t="n"/>
      <c r="BT15" s="372" t="n"/>
      <c r="BU15" s="372" t="n"/>
      <c r="BV15" s="372" t="n"/>
      <c r="BW15" s="372" t="n"/>
      <c r="BX15" s="372" t="n"/>
      <c r="BY15" s="372" t="n"/>
      <c r="BZ15" s="372" t="n"/>
      <c r="CA15" s="372" t="n"/>
      <c r="CB15" s="372" t="n"/>
      <c r="CC15" s="402" t="n"/>
      <c r="CD15" s="30" t="n"/>
      <c r="CE15" s="31" t="n"/>
      <c r="CF15" s="259" t="inlineStr">
        <is>
          <t>移動</t>
        </is>
      </c>
      <c r="CG15" s="403" t="n"/>
      <c r="CH15" s="403" t="n"/>
      <c r="CI15" s="404" t="n"/>
      <c r="CJ15" s="379">
        <f>IF(Q15="作業者1",E18-E15,0)</f>
        <v/>
      </c>
      <c r="CK15" s="377" t="n"/>
      <c r="CL15" s="377" t="n"/>
      <c r="CM15" s="377" t="n"/>
      <c r="CN15" s="378" t="n"/>
      <c r="CP15" s="248" t="inlineStr">
        <is>
          <t>移動</t>
        </is>
      </c>
      <c r="CQ15" s="377" t="n"/>
      <c r="CR15" s="377" t="n"/>
      <c r="CS15" s="378" t="n"/>
      <c r="CT15" s="379">
        <f>IF(Q15="作業者2",E18-E15,0)</f>
        <v/>
      </c>
      <c r="CU15" s="377" t="n"/>
      <c r="CV15" s="377" t="n"/>
      <c r="CW15" s="377" t="n"/>
      <c r="CX15" s="378" t="n"/>
      <c r="CZ15" s="259" t="inlineStr">
        <is>
          <t>移動</t>
        </is>
      </c>
      <c r="DA15" s="403" t="n"/>
      <c r="DB15" s="403" t="n"/>
      <c r="DC15" s="404" t="n"/>
      <c r="DD15" s="405">
        <f>IF(Q15="作業者3",E18-E15,0)</f>
        <v/>
      </c>
      <c r="DE15" s="406" t="n"/>
      <c r="DF15" s="406" t="n"/>
      <c r="DG15" s="406" t="n"/>
      <c r="DH15" s="407" t="n"/>
      <c r="DJ15" s="259" t="inlineStr">
        <is>
          <t>移動</t>
        </is>
      </c>
      <c r="DK15" s="403" t="n"/>
      <c r="DL15" s="403" t="n"/>
      <c r="DM15" s="404" t="n"/>
      <c r="DN15" s="379">
        <f>IF(Q15="作業者4",E18-E15,0)</f>
        <v/>
      </c>
      <c r="DO15" s="377" t="n"/>
      <c r="DP15" s="377" t="n"/>
      <c r="DQ15" s="377" t="n"/>
      <c r="DR15" s="378" t="n"/>
      <c r="DT15" s="259" t="inlineStr">
        <is>
          <t>移動</t>
        </is>
      </c>
      <c r="DU15" s="403" t="n"/>
      <c r="DV15" s="403" t="n"/>
      <c r="DW15" s="404" t="n"/>
      <c r="DX15" s="379">
        <f>IF(Q15="作業者5",E18-E15,0)</f>
        <v/>
      </c>
      <c r="DY15" s="377" t="n"/>
      <c r="DZ15" s="377" t="n"/>
      <c r="EA15" s="377" t="n"/>
      <c r="EB15" s="378" t="n"/>
    </row>
    <row r="16" ht="9" customHeight="1" s="337">
      <c r="B16" s="350" t="n"/>
      <c r="C16" s="338" t="n"/>
      <c r="D16" s="380" t="n"/>
      <c r="E16" s="381" t="n"/>
      <c r="F16" s="122" t="inlineStr">
        <is>
          <t>～</t>
        </is>
      </c>
      <c r="G16" s="22" t="n"/>
      <c r="H16" s="381" t="n"/>
      <c r="I16" s="122" t="inlineStr">
        <is>
          <t>～</t>
        </is>
      </c>
      <c r="J16" s="22" t="n"/>
      <c r="K16" s="381" t="n"/>
      <c r="L16" s="122" t="inlineStr">
        <is>
          <t>～</t>
        </is>
      </c>
      <c r="M16" s="22" t="n"/>
      <c r="N16" s="381" t="n"/>
      <c r="O16" s="122" t="inlineStr">
        <is>
          <t>～</t>
        </is>
      </c>
      <c r="P16" s="22" t="n"/>
      <c r="Q16" s="382" t="n"/>
      <c r="R16" s="338" t="n"/>
      <c r="S16" s="380" t="n"/>
      <c r="T16" s="382" t="n"/>
      <c r="U16" s="338" t="n"/>
      <c r="V16" s="380" t="n"/>
      <c r="W16" s="382" t="n"/>
      <c r="X16" s="338" t="n"/>
      <c r="Y16" s="338" t="n"/>
      <c r="Z16" s="338" t="n"/>
      <c r="AA16" s="338" t="n"/>
      <c r="AB16" s="338" t="n"/>
      <c r="AC16" s="338" t="n"/>
      <c r="AD16" s="338" t="n"/>
      <c r="AE16" s="338" t="n"/>
      <c r="AF16" s="338" t="n"/>
      <c r="AG16" s="338" t="n"/>
      <c r="AH16" s="338" t="n"/>
      <c r="AI16" s="338" t="n"/>
      <c r="AJ16" s="338" t="n"/>
      <c r="AK16" s="338" t="n"/>
      <c r="AL16" s="338" t="n"/>
      <c r="AM16" s="338" t="n"/>
      <c r="AN16" s="338" t="n"/>
      <c r="AO16" s="338" t="n"/>
      <c r="AP16" s="338" t="n"/>
      <c r="AQ16" s="338" t="n"/>
      <c r="AR16" s="338" t="n"/>
      <c r="AS16" s="338" t="n"/>
      <c r="AT16" s="338" t="n"/>
      <c r="AU16" s="338" t="n"/>
      <c r="AV16" s="338" t="n"/>
      <c r="AW16" s="338" t="n"/>
      <c r="AX16" s="338" t="n"/>
      <c r="AY16" s="338" t="n"/>
      <c r="AZ16" s="338" t="n"/>
      <c r="BA16" s="338" t="n"/>
      <c r="BB16" s="338" t="n"/>
      <c r="BC16" s="338" t="n"/>
      <c r="BD16" s="338" t="n"/>
      <c r="BE16" s="338" t="n"/>
      <c r="BF16" s="338" t="n"/>
      <c r="BG16" s="338" t="n"/>
      <c r="BH16" s="338" t="n"/>
      <c r="BI16" s="338" t="n"/>
      <c r="BJ16" s="338" t="n"/>
      <c r="BK16" s="338" t="n"/>
      <c r="BL16" s="338" t="n"/>
      <c r="BM16" s="338" t="n"/>
      <c r="BN16" s="338" t="n"/>
      <c r="BO16" s="338" t="n"/>
      <c r="BP16" s="338" t="n"/>
      <c r="BQ16" s="338" t="n"/>
      <c r="BR16" s="338" t="n"/>
      <c r="BS16" s="338" t="n"/>
      <c r="BT16" s="338" t="n"/>
      <c r="BU16" s="338" t="n"/>
      <c r="BV16" s="338" t="n"/>
      <c r="BW16" s="338" t="n"/>
      <c r="BX16" s="338" t="n"/>
      <c r="BY16" s="338" t="n"/>
      <c r="BZ16" s="338" t="n"/>
      <c r="CA16" s="338" t="n"/>
      <c r="CB16" s="338" t="n"/>
      <c r="CC16" s="383" t="n"/>
      <c r="CD16" s="30" t="n"/>
      <c r="CE16" s="31" t="n"/>
      <c r="CF16" s="253" t="inlineStr">
        <is>
          <t>時間内</t>
        </is>
      </c>
      <c r="CG16" s="384" t="n"/>
      <c r="CH16" s="384" t="n"/>
      <c r="CI16" s="385" t="n"/>
      <c r="CJ16" s="386">
        <f>IF(Q15="作業者1",H18-H15,0)</f>
        <v/>
      </c>
      <c r="CK16" s="387" t="n"/>
      <c r="CL16" s="387" t="n"/>
      <c r="CM16" s="387" t="n"/>
      <c r="CN16" s="388" t="n"/>
      <c r="CP16" s="253" t="inlineStr">
        <is>
          <t>時間内</t>
        </is>
      </c>
      <c r="CQ16" s="384" t="n"/>
      <c r="CR16" s="384" t="n"/>
      <c r="CS16" s="385" t="n"/>
      <c r="CT16" s="386">
        <f>IF(Q15="作業者2",H18-H15,0)</f>
        <v/>
      </c>
      <c r="CU16" s="387" t="n"/>
      <c r="CV16" s="387" t="n"/>
      <c r="CW16" s="387" t="n"/>
      <c r="CX16" s="388" t="n"/>
      <c r="CZ16" s="253" t="inlineStr">
        <is>
          <t>時間内</t>
        </is>
      </c>
      <c r="DA16" s="384" t="n"/>
      <c r="DB16" s="384" t="n"/>
      <c r="DC16" s="385" t="n"/>
      <c r="DD16" s="386">
        <f>IF(Q15="作業者3",H18-H15,0)</f>
        <v/>
      </c>
      <c r="DE16" s="387" t="n"/>
      <c r="DF16" s="387" t="n"/>
      <c r="DG16" s="387" t="n"/>
      <c r="DH16" s="388" t="n"/>
      <c r="DJ16" s="253" t="inlineStr">
        <is>
          <t>時間内</t>
        </is>
      </c>
      <c r="DK16" s="384" t="n"/>
      <c r="DL16" s="384" t="n"/>
      <c r="DM16" s="385" t="n"/>
      <c r="DN16" s="386">
        <f>IF(Q15="作業者4",H18-H15,0)</f>
        <v/>
      </c>
      <c r="DO16" s="387" t="n"/>
      <c r="DP16" s="387" t="n"/>
      <c r="DQ16" s="387" t="n"/>
      <c r="DR16" s="388" t="n"/>
      <c r="DT16" s="253" t="inlineStr">
        <is>
          <t>時間内</t>
        </is>
      </c>
      <c r="DU16" s="384" t="n"/>
      <c r="DV16" s="384" t="n"/>
      <c r="DW16" s="385" t="n"/>
      <c r="DX16" s="386">
        <f>IF(Q15="作業者5",H18-H15,0)</f>
        <v/>
      </c>
      <c r="DY16" s="387" t="n"/>
      <c r="DZ16" s="387" t="n"/>
      <c r="EA16" s="387" t="n"/>
      <c r="EB16" s="388" t="n"/>
    </row>
    <row r="17" ht="9" customHeight="1" s="337">
      <c r="B17" s="350" t="n"/>
      <c r="C17" s="338" t="n"/>
      <c r="D17" s="380" t="n"/>
      <c r="E17" s="23" t="n"/>
      <c r="F17" s="338" t="n"/>
      <c r="G17" s="24" t="n"/>
      <c r="H17" s="23" t="n"/>
      <c r="I17" s="338" t="n"/>
      <c r="J17" s="24" t="n"/>
      <c r="K17" s="23" t="n"/>
      <c r="L17" s="338" t="n"/>
      <c r="M17" s="24" t="n"/>
      <c r="N17" s="23" t="n"/>
      <c r="O17" s="338" t="n"/>
      <c r="P17" s="24" t="n"/>
      <c r="Q17" s="382" t="n"/>
      <c r="R17" s="338" t="n"/>
      <c r="S17" s="380" t="n"/>
      <c r="T17" s="382" t="n"/>
      <c r="U17" s="338" t="n"/>
      <c r="V17" s="380" t="n"/>
      <c r="W17" s="382" t="n"/>
      <c r="X17" s="338" t="n"/>
      <c r="Y17" s="338" t="n"/>
      <c r="Z17" s="338" t="n"/>
      <c r="AA17" s="338" t="n"/>
      <c r="AB17" s="338" t="n"/>
      <c r="AC17" s="338" t="n"/>
      <c r="AD17" s="338" t="n"/>
      <c r="AE17" s="338" t="n"/>
      <c r="AF17" s="338" t="n"/>
      <c r="AG17" s="338" t="n"/>
      <c r="AH17" s="338" t="n"/>
      <c r="AI17" s="338" t="n"/>
      <c r="AJ17" s="338" t="n"/>
      <c r="AK17" s="338" t="n"/>
      <c r="AL17" s="338" t="n"/>
      <c r="AM17" s="338" t="n"/>
      <c r="AN17" s="338" t="n"/>
      <c r="AO17" s="338" t="n"/>
      <c r="AP17" s="338" t="n"/>
      <c r="AQ17" s="338" t="n"/>
      <c r="AR17" s="338" t="n"/>
      <c r="AS17" s="338" t="n"/>
      <c r="AT17" s="338" t="n"/>
      <c r="AU17" s="338" t="n"/>
      <c r="AV17" s="338" t="n"/>
      <c r="AW17" s="338" t="n"/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8" t="n"/>
      <c r="BH17" s="338" t="n"/>
      <c r="BI17" s="338" t="n"/>
      <c r="BJ17" s="338" t="n"/>
      <c r="BK17" s="338" t="n"/>
      <c r="BL17" s="338" t="n"/>
      <c r="BM17" s="338" t="n"/>
      <c r="BN17" s="338" t="n"/>
      <c r="BO17" s="338" t="n"/>
      <c r="BP17" s="338" t="n"/>
      <c r="BQ17" s="338" t="n"/>
      <c r="BR17" s="338" t="n"/>
      <c r="BS17" s="338" t="n"/>
      <c r="BT17" s="338" t="n"/>
      <c r="BU17" s="338" t="n"/>
      <c r="BV17" s="338" t="n"/>
      <c r="BW17" s="338" t="n"/>
      <c r="BX17" s="338" t="n"/>
      <c r="BY17" s="338" t="n"/>
      <c r="BZ17" s="338" t="n"/>
      <c r="CA17" s="338" t="n"/>
      <c r="CB17" s="338" t="n"/>
      <c r="CC17" s="383" t="n"/>
      <c r="CD17" s="30" t="n"/>
      <c r="CE17" s="31" t="n"/>
      <c r="CF17" s="253" t="inlineStr">
        <is>
          <t>時間外</t>
        </is>
      </c>
      <c r="CG17" s="384" t="n"/>
      <c r="CH17" s="384" t="n"/>
      <c r="CI17" s="385" t="n"/>
      <c r="CJ17" s="386">
        <f>IF(Q15="作業者1",K18-K15,0)</f>
        <v/>
      </c>
      <c r="CK17" s="387" t="n"/>
      <c r="CL17" s="387" t="n"/>
      <c r="CM17" s="387" t="n"/>
      <c r="CN17" s="388" t="n"/>
      <c r="CP17" s="253" t="inlineStr">
        <is>
          <t>時間外</t>
        </is>
      </c>
      <c r="CQ17" s="384" t="n"/>
      <c r="CR17" s="384" t="n"/>
      <c r="CS17" s="385" t="n"/>
      <c r="CT17" s="386">
        <f>IF(Q15="作業者2",K18-K15,0)</f>
        <v/>
      </c>
      <c r="CU17" s="387" t="n"/>
      <c r="CV17" s="387" t="n"/>
      <c r="CW17" s="387" t="n"/>
      <c r="CX17" s="388" t="n"/>
      <c r="CZ17" s="253" t="inlineStr">
        <is>
          <t>時間外</t>
        </is>
      </c>
      <c r="DA17" s="384" t="n"/>
      <c r="DB17" s="384" t="n"/>
      <c r="DC17" s="385" t="n"/>
      <c r="DD17" s="386">
        <f>IF(Q15="作業者3",K18-K15,0)</f>
        <v/>
      </c>
      <c r="DE17" s="387" t="n"/>
      <c r="DF17" s="387" t="n"/>
      <c r="DG17" s="387" t="n"/>
      <c r="DH17" s="388" t="n"/>
      <c r="DJ17" s="253" t="inlineStr">
        <is>
          <t>時間外</t>
        </is>
      </c>
      <c r="DK17" s="384" t="n"/>
      <c r="DL17" s="384" t="n"/>
      <c r="DM17" s="385" t="n"/>
      <c r="DN17" s="386">
        <f>IF(Q15="作業者4",K18-K15,0)</f>
        <v/>
      </c>
      <c r="DO17" s="387" t="n"/>
      <c r="DP17" s="387" t="n"/>
      <c r="DQ17" s="387" t="n"/>
      <c r="DR17" s="388" t="n"/>
      <c r="DT17" s="253" t="inlineStr">
        <is>
          <t>時間外</t>
        </is>
      </c>
      <c r="DU17" s="384" t="n"/>
      <c r="DV17" s="384" t="n"/>
      <c r="DW17" s="385" t="n"/>
      <c r="DX17" s="386">
        <f>IF(Q15="作業者5",K18-K15,0)</f>
        <v/>
      </c>
      <c r="DY17" s="387" t="n"/>
      <c r="DZ17" s="387" t="n"/>
      <c r="EA17" s="387" t="n"/>
      <c r="EB17" s="388" t="n"/>
    </row>
    <row r="18" ht="9" customHeight="1" s="337">
      <c r="B18" s="389" t="n"/>
      <c r="C18" s="390" t="n"/>
      <c r="D18" s="391" t="n"/>
      <c r="E18" s="392" t="n"/>
      <c r="F18" s="390" t="n"/>
      <c r="G18" s="391" t="n"/>
      <c r="H18" s="392" t="n"/>
      <c r="I18" s="390" t="n"/>
      <c r="J18" s="391" t="n"/>
      <c r="K18" s="392" t="n"/>
      <c r="L18" s="390" t="n"/>
      <c r="M18" s="391" t="n"/>
      <c r="N18" s="392" t="n"/>
      <c r="O18" s="390" t="n"/>
      <c r="P18" s="391" t="n"/>
      <c r="Q18" s="393" t="n"/>
      <c r="R18" s="390" t="n"/>
      <c r="S18" s="391" t="n"/>
      <c r="T18" s="393" t="n"/>
      <c r="U18" s="390" t="n"/>
      <c r="V18" s="391" t="n"/>
      <c r="W18" s="393" t="n"/>
      <c r="X18" s="390" t="n"/>
      <c r="Y18" s="390" t="n"/>
      <c r="Z18" s="390" t="n"/>
      <c r="AA18" s="390" t="n"/>
      <c r="AB18" s="390" t="n"/>
      <c r="AC18" s="390" t="n"/>
      <c r="AD18" s="390" t="n"/>
      <c r="AE18" s="390" t="n"/>
      <c r="AF18" s="390" t="n"/>
      <c r="AG18" s="390" t="n"/>
      <c r="AH18" s="390" t="n"/>
      <c r="AI18" s="390" t="n"/>
      <c r="AJ18" s="390" t="n"/>
      <c r="AK18" s="390" t="n"/>
      <c r="AL18" s="390" t="n"/>
      <c r="AM18" s="390" t="n"/>
      <c r="AN18" s="390" t="n"/>
      <c r="AO18" s="390" t="n"/>
      <c r="AP18" s="390" t="n"/>
      <c r="AQ18" s="390" t="n"/>
      <c r="AR18" s="390" t="n"/>
      <c r="AS18" s="390" t="n"/>
      <c r="AT18" s="390" t="n"/>
      <c r="AU18" s="390" t="n"/>
      <c r="AV18" s="390" t="n"/>
      <c r="AW18" s="390" t="n"/>
      <c r="AX18" s="390" t="n"/>
      <c r="AY18" s="390" t="n"/>
      <c r="AZ18" s="390" t="n"/>
      <c r="BA18" s="390" t="n"/>
      <c r="BB18" s="390" t="n"/>
      <c r="BC18" s="390" t="n"/>
      <c r="BD18" s="390" t="n"/>
      <c r="BE18" s="390" t="n"/>
      <c r="BF18" s="390" t="n"/>
      <c r="BG18" s="390" t="n"/>
      <c r="BH18" s="390" t="n"/>
      <c r="BI18" s="390" t="n"/>
      <c r="BJ18" s="390" t="n"/>
      <c r="BK18" s="390" t="n"/>
      <c r="BL18" s="390" t="n"/>
      <c r="BM18" s="390" t="n"/>
      <c r="BN18" s="390" t="n"/>
      <c r="BO18" s="390" t="n"/>
      <c r="BP18" s="390" t="n"/>
      <c r="BQ18" s="390" t="n"/>
      <c r="BR18" s="390" t="n"/>
      <c r="BS18" s="390" t="n"/>
      <c r="BT18" s="390" t="n"/>
      <c r="BU18" s="390" t="n"/>
      <c r="BV18" s="390" t="n"/>
      <c r="BW18" s="390" t="n"/>
      <c r="BX18" s="390" t="n"/>
      <c r="BY18" s="390" t="n"/>
      <c r="BZ18" s="390" t="n"/>
      <c r="CA18" s="390" t="n"/>
      <c r="CB18" s="390" t="n"/>
      <c r="CC18" s="394" t="n"/>
      <c r="CD18" s="30" t="n"/>
      <c r="CE18" s="31" t="n"/>
      <c r="CF18" s="249" t="inlineStr">
        <is>
          <t>休日</t>
        </is>
      </c>
      <c r="CG18" s="408" t="n"/>
      <c r="CH18" s="408" t="n"/>
      <c r="CI18" s="409" t="n"/>
      <c r="CJ18" s="386">
        <f>IF(Q15="作業者1",N18-N15,0)</f>
        <v/>
      </c>
      <c r="CK18" s="387" t="n"/>
      <c r="CL18" s="387" t="n"/>
      <c r="CM18" s="387" t="n"/>
      <c r="CN18" s="388" t="n"/>
      <c r="CP18" s="253" t="inlineStr">
        <is>
          <t>休日</t>
        </is>
      </c>
      <c r="CQ18" s="384" t="n"/>
      <c r="CR18" s="384" t="n"/>
      <c r="CS18" s="385" t="n"/>
      <c r="CT18" s="386">
        <f>IF(Q15="作業者2",N18-N15,0)</f>
        <v/>
      </c>
      <c r="CU18" s="387" t="n"/>
      <c r="CV18" s="387" t="n"/>
      <c r="CW18" s="387" t="n"/>
      <c r="CX18" s="388" t="n"/>
      <c r="CZ18" s="254" t="inlineStr">
        <is>
          <t>休日</t>
        </is>
      </c>
      <c r="DA18" s="395" t="n"/>
      <c r="DB18" s="395" t="n"/>
      <c r="DC18" s="396" t="n"/>
      <c r="DD18" s="397">
        <f>IF(Q15="作業者3",N18-N15,0)</f>
        <v/>
      </c>
      <c r="DE18" s="395" t="n"/>
      <c r="DF18" s="395" t="n"/>
      <c r="DG18" s="395" t="n"/>
      <c r="DH18" s="396" t="n"/>
      <c r="DJ18" s="254" t="inlineStr">
        <is>
          <t>休日</t>
        </is>
      </c>
      <c r="DK18" s="395" t="n"/>
      <c r="DL18" s="395" t="n"/>
      <c r="DM18" s="396" t="n"/>
      <c r="DN18" s="397">
        <f>IF(Q15="作業者4",N18-N15,0)</f>
        <v/>
      </c>
      <c r="DO18" s="395" t="n"/>
      <c r="DP18" s="395" t="n"/>
      <c r="DQ18" s="395" t="n"/>
      <c r="DR18" s="396" t="n"/>
      <c r="DT18" s="254" t="inlineStr">
        <is>
          <t>休日</t>
        </is>
      </c>
      <c r="DU18" s="395" t="n"/>
      <c r="DV18" s="395" t="n"/>
      <c r="DW18" s="396" t="n"/>
      <c r="DX18" s="397">
        <f>IF(Q15="作業者5",N18-N15,0)</f>
        <v/>
      </c>
      <c r="DY18" s="395" t="n"/>
      <c r="DZ18" s="395" t="n"/>
      <c r="EA18" s="395" t="n"/>
      <c r="EB18" s="396" t="n"/>
    </row>
    <row r="19" ht="9" customHeight="1" s="337">
      <c r="B19" s="398" t="n"/>
      <c r="C19" s="372" t="n"/>
      <c r="D19" s="373" t="n"/>
      <c r="E19" s="399" t="n"/>
      <c r="F19" s="372" t="n"/>
      <c r="G19" s="373" t="n"/>
      <c r="H19" s="399" t="n"/>
      <c r="I19" s="372" t="n"/>
      <c r="J19" s="373" t="n"/>
      <c r="K19" s="399" t="n"/>
      <c r="L19" s="372" t="n"/>
      <c r="M19" s="373" t="n"/>
      <c r="N19" s="399" t="n"/>
      <c r="O19" s="372" t="n"/>
      <c r="P19" s="373" t="n"/>
      <c r="Q19" s="371" t="n"/>
      <c r="R19" s="372" t="n"/>
      <c r="S19" s="373" t="n"/>
      <c r="T19" s="400" t="n"/>
      <c r="U19" s="372" t="n"/>
      <c r="V19" s="373" t="n"/>
      <c r="W19" s="401" t="n"/>
      <c r="X19" s="372" t="n"/>
      <c r="Y19" s="372" t="n"/>
      <c r="Z19" s="372" t="n"/>
      <c r="AA19" s="372" t="n"/>
      <c r="AB19" s="372" t="n"/>
      <c r="AC19" s="372" t="n"/>
      <c r="AD19" s="372" t="n"/>
      <c r="AE19" s="372" t="n"/>
      <c r="AF19" s="372" t="n"/>
      <c r="AG19" s="372" t="n"/>
      <c r="AH19" s="372" t="n"/>
      <c r="AI19" s="372" t="n"/>
      <c r="AJ19" s="372" t="n"/>
      <c r="AK19" s="372" t="n"/>
      <c r="AL19" s="372" t="n"/>
      <c r="AM19" s="372" t="n"/>
      <c r="AN19" s="372" t="n"/>
      <c r="AO19" s="372" t="n"/>
      <c r="AP19" s="372" t="n"/>
      <c r="AQ19" s="372" t="n"/>
      <c r="AR19" s="372" t="n"/>
      <c r="AS19" s="372" t="n"/>
      <c r="AT19" s="372" t="n"/>
      <c r="AU19" s="372" t="n"/>
      <c r="AV19" s="372" t="n"/>
      <c r="AW19" s="372" t="n"/>
      <c r="AX19" s="372" t="n"/>
      <c r="AY19" s="372" t="n"/>
      <c r="AZ19" s="372" t="n"/>
      <c r="BA19" s="372" t="n"/>
      <c r="BB19" s="372" t="n"/>
      <c r="BC19" s="372" t="n"/>
      <c r="BD19" s="372" t="n"/>
      <c r="BE19" s="372" t="n"/>
      <c r="BF19" s="372" t="n"/>
      <c r="BG19" s="372" t="n"/>
      <c r="BH19" s="372" t="n"/>
      <c r="BI19" s="372" t="n"/>
      <c r="BJ19" s="372" t="n"/>
      <c r="BK19" s="372" t="n"/>
      <c r="BL19" s="372" t="n"/>
      <c r="BM19" s="372" t="n"/>
      <c r="BN19" s="372" t="n"/>
      <c r="BO19" s="372" t="n"/>
      <c r="BP19" s="372" t="n"/>
      <c r="BQ19" s="372" t="n"/>
      <c r="BR19" s="372" t="n"/>
      <c r="BS19" s="372" t="n"/>
      <c r="BT19" s="372" t="n"/>
      <c r="BU19" s="372" t="n"/>
      <c r="BV19" s="372" t="n"/>
      <c r="BW19" s="372" t="n"/>
      <c r="BX19" s="372" t="n"/>
      <c r="BY19" s="372" t="n"/>
      <c r="BZ19" s="372" t="n"/>
      <c r="CA19" s="372" t="n"/>
      <c r="CB19" s="372" t="n"/>
      <c r="CC19" s="402" t="n"/>
      <c r="CD19" s="30" t="n"/>
      <c r="CE19" s="31" t="n"/>
      <c r="CF19" s="248" t="inlineStr">
        <is>
          <t>移動</t>
        </is>
      </c>
      <c r="CG19" s="377" t="n"/>
      <c r="CH19" s="377" t="n"/>
      <c r="CI19" s="378" t="n"/>
      <c r="CJ19" s="379">
        <f>IF(Q19="作業者1",E22-E19,0)</f>
        <v/>
      </c>
      <c r="CK19" s="377" t="n"/>
      <c r="CL19" s="377" t="n"/>
      <c r="CM19" s="377" t="n"/>
      <c r="CN19" s="378" t="n"/>
      <c r="CP19" s="248" t="inlineStr">
        <is>
          <t>移動</t>
        </is>
      </c>
      <c r="CQ19" s="377" t="n"/>
      <c r="CR19" s="377" t="n"/>
      <c r="CS19" s="378" t="n"/>
      <c r="CT19" s="379">
        <f>IF(Q19="作業者2",E22-E19,0)</f>
        <v/>
      </c>
      <c r="CU19" s="377" t="n"/>
      <c r="CV19" s="377" t="n"/>
      <c r="CW19" s="377" t="n"/>
      <c r="CX19" s="378" t="n"/>
      <c r="CZ19" s="259" t="inlineStr">
        <is>
          <t>移動</t>
        </is>
      </c>
      <c r="DA19" s="403" t="n"/>
      <c r="DB19" s="403" t="n"/>
      <c r="DC19" s="404" t="n"/>
      <c r="DD19" s="405">
        <f>IF(Q19="作業者3",E22-E19,0)</f>
        <v/>
      </c>
      <c r="DE19" s="406" t="n"/>
      <c r="DF19" s="406" t="n"/>
      <c r="DG19" s="406" t="n"/>
      <c r="DH19" s="407" t="n"/>
      <c r="DJ19" s="259" t="inlineStr">
        <is>
          <t>移動</t>
        </is>
      </c>
      <c r="DK19" s="403" t="n"/>
      <c r="DL19" s="403" t="n"/>
      <c r="DM19" s="404" t="n"/>
      <c r="DN19" s="379">
        <f>IF(Q19="作業者4",E22-E19,0)</f>
        <v/>
      </c>
      <c r="DO19" s="377" t="n"/>
      <c r="DP19" s="377" t="n"/>
      <c r="DQ19" s="377" t="n"/>
      <c r="DR19" s="378" t="n"/>
      <c r="DT19" s="259" t="inlineStr">
        <is>
          <t>移動</t>
        </is>
      </c>
      <c r="DU19" s="403" t="n"/>
      <c r="DV19" s="403" t="n"/>
      <c r="DW19" s="404" t="n"/>
      <c r="DX19" s="379">
        <f>IF(Q19="作業者5",E22-E19,0)</f>
        <v/>
      </c>
      <c r="DY19" s="377" t="n"/>
      <c r="DZ19" s="377" t="n"/>
      <c r="EA19" s="377" t="n"/>
      <c r="EB19" s="378" t="n"/>
    </row>
    <row r="20" ht="9" customHeight="1" s="337">
      <c r="B20" s="350" t="n"/>
      <c r="C20" s="338" t="n"/>
      <c r="D20" s="380" t="n"/>
      <c r="E20" s="381" t="n"/>
      <c r="F20" s="122" t="inlineStr">
        <is>
          <t>～</t>
        </is>
      </c>
      <c r="G20" s="22" t="n"/>
      <c r="H20" s="381" t="n"/>
      <c r="I20" s="122" t="inlineStr">
        <is>
          <t>～</t>
        </is>
      </c>
      <c r="J20" s="22" t="n"/>
      <c r="K20" s="381" t="n"/>
      <c r="L20" s="122" t="inlineStr">
        <is>
          <t>～</t>
        </is>
      </c>
      <c r="M20" s="22" t="n"/>
      <c r="N20" s="381" t="n"/>
      <c r="O20" s="122" t="inlineStr">
        <is>
          <t>～</t>
        </is>
      </c>
      <c r="P20" s="22" t="n"/>
      <c r="Q20" s="382" t="n"/>
      <c r="R20" s="338" t="n"/>
      <c r="S20" s="380" t="n"/>
      <c r="T20" s="382" t="n"/>
      <c r="U20" s="338" t="n"/>
      <c r="V20" s="380" t="n"/>
      <c r="W20" s="382" t="n"/>
      <c r="X20" s="338" t="n"/>
      <c r="Y20" s="338" t="n"/>
      <c r="Z20" s="338" t="n"/>
      <c r="AA20" s="338" t="n"/>
      <c r="AB20" s="338" t="n"/>
      <c r="AC20" s="338" t="n"/>
      <c r="AD20" s="338" t="n"/>
      <c r="AE20" s="338" t="n"/>
      <c r="AF20" s="338" t="n"/>
      <c r="AG20" s="338" t="n"/>
      <c r="AH20" s="338" t="n"/>
      <c r="AI20" s="338" t="n"/>
      <c r="AJ20" s="338" t="n"/>
      <c r="AK20" s="338" t="n"/>
      <c r="AL20" s="338" t="n"/>
      <c r="AM20" s="338" t="n"/>
      <c r="AN20" s="338" t="n"/>
      <c r="AO20" s="338" t="n"/>
      <c r="AP20" s="338" t="n"/>
      <c r="AQ20" s="338" t="n"/>
      <c r="AR20" s="338" t="n"/>
      <c r="AS20" s="338" t="n"/>
      <c r="AT20" s="338" t="n"/>
      <c r="AU20" s="338" t="n"/>
      <c r="AV20" s="338" t="n"/>
      <c r="AW20" s="338" t="n"/>
      <c r="AX20" s="338" t="n"/>
      <c r="AY20" s="338" t="n"/>
      <c r="AZ20" s="338" t="n"/>
      <c r="BA20" s="338" t="n"/>
      <c r="BB20" s="338" t="n"/>
      <c r="BC20" s="338" t="n"/>
      <c r="BD20" s="338" t="n"/>
      <c r="BE20" s="338" t="n"/>
      <c r="BF20" s="338" t="n"/>
      <c r="BG20" s="338" t="n"/>
      <c r="BH20" s="338" t="n"/>
      <c r="BI20" s="338" t="n"/>
      <c r="BJ20" s="338" t="n"/>
      <c r="BK20" s="338" t="n"/>
      <c r="BL20" s="338" t="n"/>
      <c r="BM20" s="338" t="n"/>
      <c r="BN20" s="338" t="n"/>
      <c r="BO20" s="338" t="n"/>
      <c r="BP20" s="338" t="n"/>
      <c r="BQ20" s="338" t="n"/>
      <c r="BR20" s="338" t="n"/>
      <c r="BS20" s="338" t="n"/>
      <c r="BT20" s="338" t="n"/>
      <c r="BU20" s="338" t="n"/>
      <c r="BV20" s="338" t="n"/>
      <c r="BW20" s="338" t="n"/>
      <c r="BX20" s="338" t="n"/>
      <c r="BY20" s="338" t="n"/>
      <c r="BZ20" s="338" t="n"/>
      <c r="CA20" s="338" t="n"/>
      <c r="CB20" s="338" t="n"/>
      <c r="CC20" s="383" t="n"/>
      <c r="CD20" s="30" t="n"/>
      <c r="CE20" s="31" t="n"/>
      <c r="CF20" s="253" t="inlineStr">
        <is>
          <t>時間内</t>
        </is>
      </c>
      <c r="CG20" s="384" t="n"/>
      <c r="CH20" s="384" t="n"/>
      <c r="CI20" s="385" t="n"/>
      <c r="CJ20" s="386">
        <f>IF(Q19="作業者1",H22-H19,0)</f>
        <v/>
      </c>
      <c r="CK20" s="387" t="n"/>
      <c r="CL20" s="387" t="n"/>
      <c r="CM20" s="387" t="n"/>
      <c r="CN20" s="388" t="n"/>
      <c r="CP20" s="253" t="inlineStr">
        <is>
          <t>時間内</t>
        </is>
      </c>
      <c r="CQ20" s="384" t="n"/>
      <c r="CR20" s="384" t="n"/>
      <c r="CS20" s="385" t="n"/>
      <c r="CT20" s="386">
        <f>IF(Q19="作業者2",H22-H19,0)</f>
        <v/>
      </c>
      <c r="CU20" s="387" t="n"/>
      <c r="CV20" s="387" t="n"/>
      <c r="CW20" s="387" t="n"/>
      <c r="CX20" s="388" t="n"/>
      <c r="CZ20" s="253" t="inlineStr">
        <is>
          <t>時間内</t>
        </is>
      </c>
      <c r="DA20" s="384" t="n"/>
      <c r="DB20" s="384" t="n"/>
      <c r="DC20" s="385" t="n"/>
      <c r="DD20" s="386">
        <f>IF(Q19="作業者3",H22-H19,0)</f>
        <v/>
      </c>
      <c r="DE20" s="387" t="n"/>
      <c r="DF20" s="387" t="n"/>
      <c r="DG20" s="387" t="n"/>
      <c r="DH20" s="388" t="n"/>
      <c r="DJ20" s="253" t="inlineStr">
        <is>
          <t>時間内</t>
        </is>
      </c>
      <c r="DK20" s="384" t="n"/>
      <c r="DL20" s="384" t="n"/>
      <c r="DM20" s="385" t="n"/>
      <c r="DN20" s="386">
        <f>IF(Q19="作業者4",H22-H19,0)</f>
        <v/>
      </c>
      <c r="DO20" s="387" t="n"/>
      <c r="DP20" s="387" t="n"/>
      <c r="DQ20" s="387" t="n"/>
      <c r="DR20" s="388" t="n"/>
      <c r="DT20" s="253" t="inlineStr">
        <is>
          <t>時間内</t>
        </is>
      </c>
      <c r="DU20" s="384" t="n"/>
      <c r="DV20" s="384" t="n"/>
      <c r="DW20" s="385" t="n"/>
      <c r="DX20" s="386">
        <f>IF(Q19="作業者5",H22-H19,0)</f>
        <v/>
      </c>
      <c r="DY20" s="387" t="n"/>
      <c r="DZ20" s="387" t="n"/>
      <c r="EA20" s="387" t="n"/>
      <c r="EB20" s="388" t="n"/>
    </row>
    <row r="21" ht="9" customHeight="1" s="337">
      <c r="B21" s="350" t="n"/>
      <c r="C21" s="338" t="n"/>
      <c r="D21" s="380" t="n"/>
      <c r="E21" s="23" t="n"/>
      <c r="F21" s="338" t="n"/>
      <c r="G21" s="24" t="n"/>
      <c r="H21" s="23" t="n"/>
      <c r="I21" s="338" t="n"/>
      <c r="J21" s="24" t="n"/>
      <c r="K21" s="23" t="n"/>
      <c r="L21" s="338" t="n"/>
      <c r="M21" s="24" t="n"/>
      <c r="N21" s="23" t="n"/>
      <c r="O21" s="338" t="n"/>
      <c r="P21" s="24" t="n"/>
      <c r="Q21" s="382" t="n"/>
      <c r="R21" s="338" t="n"/>
      <c r="S21" s="380" t="n"/>
      <c r="T21" s="382" t="n"/>
      <c r="U21" s="338" t="n"/>
      <c r="V21" s="380" t="n"/>
      <c r="W21" s="382" t="n"/>
      <c r="X21" s="338" t="n"/>
      <c r="Y21" s="338" t="n"/>
      <c r="Z21" s="338" t="n"/>
      <c r="AA21" s="338" t="n"/>
      <c r="AB21" s="338" t="n"/>
      <c r="AC21" s="338" t="n"/>
      <c r="AD21" s="338" t="n"/>
      <c r="AE21" s="338" t="n"/>
      <c r="AF21" s="338" t="n"/>
      <c r="AG21" s="338" t="n"/>
      <c r="AH21" s="338" t="n"/>
      <c r="AI21" s="338" t="n"/>
      <c r="AJ21" s="338" t="n"/>
      <c r="AK21" s="338" t="n"/>
      <c r="AL21" s="338" t="n"/>
      <c r="AM21" s="338" t="n"/>
      <c r="AN21" s="338" t="n"/>
      <c r="AO21" s="338" t="n"/>
      <c r="AP21" s="338" t="n"/>
      <c r="AQ21" s="338" t="n"/>
      <c r="AR21" s="338" t="n"/>
      <c r="AS21" s="338" t="n"/>
      <c r="AT21" s="338" t="n"/>
      <c r="AU21" s="338" t="n"/>
      <c r="AV21" s="338" t="n"/>
      <c r="AW21" s="338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8" t="n"/>
      <c r="BH21" s="338" t="n"/>
      <c r="BI21" s="338" t="n"/>
      <c r="BJ21" s="338" t="n"/>
      <c r="BK21" s="338" t="n"/>
      <c r="BL21" s="338" t="n"/>
      <c r="BM21" s="338" t="n"/>
      <c r="BN21" s="338" t="n"/>
      <c r="BO21" s="338" t="n"/>
      <c r="BP21" s="338" t="n"/>
      <c r="BQ21" s="338" t="n"/>
      <c r="BR21" s="338" t="n"/>
      <c r="BS21" s="338" t="n"/>
      <c r="BT21" s="338" t="n"/>
      <c r="BU21" s="338" t="n"/>
      <c r="BV21" s="338" t="n"/>
      <c r="BW21" s="338" t="n"/>
      <c r="BX21" s="338" t="n"/>
      <c r="BY21" s="338" t="n"/>
      <c r="BZ21" s="338" t="n"/>
      <c r="CA21" s="338" t="n"/>
      <c r="CB21" s="338" t="n"/>
      <c r="CC21" s="383" t="n"/>
      <c r="CD21" s="30" t="n"/>
      <c r="CE21" s="31" t="n"/>
      <c r="CF21" s="253" t="inlineStr">
        <is>
          <t>時間外</t>
        </is>
      </c>
      <c r="CG21" s="384" t="n"/>
      <c r="CH21" s="384" t="n"/>
      <c r="CI21" s="385" t="n"/>
      <c r="CJ21" s="386">
        <f>IF(Q19="作業者1",K22-K19,0)</f>
        <v/>
      </c>
      <c r="CK21" s="387" t="n"/>
      <c r="CL21" s="387" t="n"/>
      <c r="CM21" s="387" t="n"/>
      <c r="CN21" s="388" t="n"/>
      <c r="CP21" s="253" t="inlineStr">
        <is>
          <t>時間外</t>
        </is>
      </c>
      <c r="CQ21" s="384" t="n"/>
      <c r="CR21" s="384" t="n"/>
      <c r="CS21" s="385" t="n"/>
      <c r="CT21" s="386">
        <f>IF(Q19="作業者2",K22-K19,0)</f>
        <v/>
      </c>
      <c r="CU21" s="387" t="n"/>
      <c r="CV21" s="387" t="n"/>
      <c r="CW21" s="387" t="n"/>
      <c r="CX21" s="388" t="n"/>
      <c r="CZ21" s="253" t="inlineStr">
        <is>
          <t>時間外</t>
        </is>
      </c>
      <c r="DA21" s="384" t="n"/>
      <c r="DB21" s="384" t="n"/>
      <c r="DC21" s="385" t="n"/>
      <c r="DD21" s="386">
        <f>IF(Q19="作業者3",K22-K19,0)</f>
        <v/>
      </c>
      <c r="DE21" s="387" t="n"/>
      <c r="DF21" s="387" t="n"/>
      <c r="DG21" s="387" t="n"/>
      <c r="DH21" s="388" t="n"/>
      <c r="DJ21" s="253" t="inlineStr">
        <is>
          <t>時間外</t>
        </is>
      </c>
      <c r="DK21" s="384" t="n"/>
      <c r="DL21" s="384" t="n"/>
      <c r="DM21" s="385" t="n"/>
      <c r="DN21" s="386">
        <f>IF(Q19="作業者4",K22-K19,0)</f>
        <v/>
      </c>
      <c r="DO21" s="387" t="n"/>
      <c r="DP21" s="387" t="n"/>
      <c r="DQ21" s="387" t="n"/>
      <c r="DR21" s="388" t="n"/>
      <c r="DT21" s="253" t="inlineStr">
        <is>
          <t>時間外</t>
        </is>
      </c>
      <c r="DU21" s="384" t="n"/>
      <c r="DV21" s="384" t="n"/>
      <c r="DW21" s="385" t="n"/>
      <c r="DX21" s="386">
        <f>IF(Q19="作業者5",K22-K19,0)</f>
        <v/>
      </c>
      <c r="DY21" s="387" t="n"/>
      <c r="DZ21" s="387" t="n"/>
      <c r="EA21" s="387" t="n"/>
      <c r="EB21" s="388" t="n"/>
    </row>
    <row r="22" ht="9" customHeight="1" s="337">
      <c r="B22" s="389" t="n"/>
      <c r="C22" s="390" t="n"/>
      <c r="D22" s="391" t="n"/>
      <c r="E22" s="392" t="n"/>
      <c r="F22" s="390" t="n"/>
      <c r="G22" s="391" t="n"/>
      <c r="H22" s="392" t="n"/>
      <c r="I22" s="390" t="n"/>
      <c r="J22" s="391" t="n"/>
      <c r="K22" s="392" t="n"/>
      <c r="L22" s="390" t="n"/>
      <c r="M22" s="391" t="n"/>
      <c r="N22" s="392" t="n"/>
      <c r="O22" s="390" t="n"/>
      <c r="P22" s="391" t="n"/>
      <c r="Q22" s="393" t="n"/>
      <c r="R22" s="390" t="n"/>
      <c r="S22" s="391" t="n"/>
      <c r="T22" s="393" t="n"/>
      <c r="U22" s="390" t="n"/>
      <c r="V22" s="391" t="n"/>
      <c r="W22" s="393" t="n"/>
      <c r="X22" s="390" t="n"/>
      <c r="Y22" s="390" t="n"/>
      <c r="Z22" s="390" t="n"/>
      <c r="AA22" s="390" t="n"/>
      <c r="AB22" s="390" t="n"/>
      <c r="AC22" s="390" t="n"/>
      <c r="AD22" s="390" t="n"/>
      <c r="AE22" s="390" t="n"/>
      <c r="AF22" s="390" t="n"/>
      <c r="AG22" s="390" t="n"/>
      <c r="AH22" s="390" t="n"/>
      <c r="AI22" s="390" t="n"/>
      <c r="AJ22" s="390" t="n"/>
      <c r="AK22" s="390" t="n"/>
      <c r="AL22" s="390" t="n"/>
      <c r="AM22" s="390" t="n"/>
      <c r="AN22" s="390" t="n"/>
      <c r="AO22" s="390" t="n"/>
      <c r="AP22" s="390" t="n"/>
      <c r="AQ22" s="390" t="n"/>
      <c r="AR22" s="390" t="n"/>
      <c r="AS22" s="390" t="n"/>
      <c r="AT22" s="390" t="n"/>
      <c r="AU22" s="390" t="n"/>
      <c r="AV22" s="390" t="n"/>
      <c r="AW22" s="390" t="n"/>
      <c r="AX22" s="390" t="n"/>
      <c r="AY22" s="390" t="n"/>
      <c r="AZ22" s="390" t="n"/>
      <c r="BA22" s="390" t="n"/>
      <c r="BB22" s="390" t="n"/>
      <c r="BC22" s="390" t="n"/>
      <c r="BD22" s="390" t="n"/>
      <c r="BE22" s="390" t="n"/>
      <c r="BF22" s="390" t="n"/>
      <c r="BG22" s="390" t="n"/>
      <c r="BH22" s="390" t="n"/>
      <c r="BI22" s="390" t="n"/>
      <c r="BJ22" s="390" t="n"/>
      <c r="BK22" s="390" t="n"/>
      <c r="BL22" s="390" t="n"/>
      <c r="BM22" s="390" t="n"/>
      <c r="BN22" s="390" t="n"/>
      <c r="BO22" s="390" t="n"/>
      <c r="BP22" s="390" t="n"/>
      <c r="BQ22" s="390" t="n"/>
      <c r="BR22" s="390" t="n"/>
      <c r="BS22" s="390" t="n"/>
      <c r="BT22" s="390" t="n"/>
      <c r="BU22" s="390" t="n"/>
      <c r="BV22" s="390" t="n"/>
      <c r="BW22" s="390" t="n"/>
      <c r="BX22" s="390" t="n"/>
      <c r="BY22" s="390" t="n"/>
      <c r="BZ22" s="390" t="n"/>
      <c r="CA22" s="390" t="n"/>
      <c r="CB22" s="390" t="n"/>
      <c r="CC22" s="394" t="n"/>
      <c r="CD22" s="30" t="n"/>
      <c r="CE22" s="31" t="n"/>
      <c r="CF22" s="254" t="inlineStr">
        <is>
          <t>休日</t>
        </is>
      </c>
      <c r="CG22" s="395" t="n"/>
      <c r="CH22" s="395" t="n"/>
      <c r="CI22" s="396" t="n"/>
      <c r="CJ22" s="397">
        <f>IF(Q19="作業者1",N22-N19,0)</f>
        <v/>
      </c>
      <c r="CK22" s="395" t="n"/>
      <c r="CL22" s="395" t="n"/>
      <c r="CM22" s="395" t="n"/>
      <c r="CN22" s="396" t="n"/>
      <c r="CP22" s="254" t="inlineStr">
        <is>
          <t>休日</t>
        </is>
      </c>
      <c r="CQ22" s="395" t="n"/>
      <c r="CR22" s="395" t="n"/>
      <c r="CS22" s="396" t="n"/>
      <c r="CT22" s="397">
        <f>IF(Q19="作業者2",N22-N19,0)</f>
        <v/>
      </c>
      <c r="CU22" s="395" t="n"/>
      <c r="CV22" s="395" t="n"/>
      <c r="CW22" s="395" t="n"/>
      <c r="CX22" s="396" t="n"/>
      <c r="CZ22" s="254" t="inlineStr">
        <is>
          <t>休日</t>
        </is>
      </c>
      <c r="DA22" s="395" t="n"/>
      <c r="DB22" s="395" t="n"/>
      <c r="DC22" s="396" t="n"/>
      <c r="DD22" s="397">
        <f>IF(Q19="作業者3",N22-N19,0)</f>
        <v/>
      </c>
      <c r="DE22" s="395" t="n"/>
      <c r="DF22" s="395" t="n"/>
      <c r="DG22" s="395" t="n"/>
      <c r="DH22" s="396" t="n"/>
      <c r="DJ22" s="254" t="inlineStr">
        <is>
          <t>休日</t>
        </is>
      </c>
      <c r="DK22" s="395" t="n"/>
      <c r="DL22" s="395" t="n"/>
      <c r="DM22" s="396" t="n"/>
      <c r="DN22" s="397">
        <f>IF(Q19="作業者4",N22-N19,0)</f>
        <v/>
      </c>
      <c r="DO22" s="395" t="n"/>
      <c r="DP22" s="395" t="n"/>
      <c r="DQ22" s="395" t="n"/>
      <c r="DR22" s="396" t="n"/>
      <c r="DT22" s="254" t="inlineStr">
        <is>
          <t>休日</t>
        </is>
      </c>
      <c r="DU22" s="395" t="n"/>
      <c r="DV22" s="395" t="n"/>
      <c r="DW22" s="396" t="n"/>
      <c r="DX22" s="397">
        <f>IF(Q19="作業者5",N22-N19,0)</f>
        <v/>
      </c>
      <c r="DY22" s="395" t="n"/>
      <c r="DZ22" s="395" t="n"/>
      <c r="EA22" s="395" t="n"/>
      <c r="EB22" s="396" t="n"/>
    </row>
    <row r="23" ht="9" customHeight="1" s="337">
      <c r="B23" s="398" t="n"/>
      <c r="C23" s="372" t="n"/>
      <c r="D23" s="373" t="n"/>
      <c r="E23" s="399" t="n"/>
      <c r="F23" s="372" t="n"/>
      <c r="G23" s="373" t="n"/>
      <c r="H23" s="399" t="n"/>
      <c r="I23" s="372" t="n"/>
      <c r="J23" s="373" t="n"/>
      <c r="K23" s="399" t="n"/>
      <c r="L23" s="372" t="n"/>
      <c r="M23" s="373" t="n"/>
      <c r="N23" s="399" t="n"/>
      <c r="O23" s="372" t="n"/>
      <c r="P23" s="373" t="n"/>
      <c r="Q23" s="371" t="n"/>
      <c r="R23" s="372" t="n"/>
      <c r="S23" s="373" t="n"/>
      <c r="T23" s="371" t="n"/>
      <c r="U23" s="372" t="n"/>
      <c r="V23" s="373" t="n"/>
      <c r="W23" s="401" t="n"/>
      <c r="X23" s="372" t="n"/>
      <c r="Y23" s="372" t="n"/>
      <c r="Z23" s="372" t="n"/>
      <c r="AA23" s="372" t="n"/>
      <c r="AB23" s="372" t="n"/>
      <c r="AC23" s="372" t="n"/>
      <c r="AD23" s="372" t="n"/>
      <c r="AE23" s="372" t="n"/>
      <c r="AF23" s="372" t="n"/>
      <c r="AG23" s="372" t="n"/>
      <c r="AH23" s="372" t="n"/>
      <c r="AI23" s="372" t="n"/>
      <c r="AJ23" s="372" t="n"/>
      <c r="AK23" s="372" t="n"/>
      <c r="AL23" s="372" t="n"/>
      <c r="AM23" s="372" t="n"/>
      <c r="AN23" s="372" t="n"/>
      <c r="AO23" s="372" t="n"/>
      <c r="AP23" s="372" t="n"/>
      <c r="AQ23" s="372" t="n"/>
      <c r="AR23" s="372" t="n"/>
      <c r="AS23" s="372" t="n"/>
      <c r="AT23" s="372" t="n"/>
      <c r="AU23" s="372" t="n"/>
      <c r="AV23" s="372" t="n"/>
      <c r="AW23" s="372" t="n"/>
      <c r="AX23" s="372" t="n"/>
      <c r="AY23" s="372" t="n"/>
      <c r="AZ23" s="372" t="n"/>
      <c r="BA23" s="372" t="n"/>
      <c r="BB23" s="372" t="n"/>
      <c r="BC23" s="372" t="n"/>
      <c r="BD23" s="372" t="n"/>
      <c r="BE23" s="372" t="n"/>
      <c r="BF23" s="372" t="n"/>
      <c r="BG23" s="372" t="n"/>
      <c r="BH23" s="372" t="n"/>
      <c r="BI23" s="372" t="n"/>
      <c r="BJ23" s="372" t="n"/>
      <c r="BK23" s="372" t="n"/>
      <c r="BL23" s="372" t="n"/>
      <c r="BM23" s="372" t="n"/>
      <c r="BN23" s="372" t="n"/>
      <c r="BO23" s="372" t="n"/>
      <c r="BP23" s="372" t="n"/>
      <c r="BQ23" s="372" t="n"/>
      <c r="BR23" s="372" t="n"/>
      <c r="BS23" s="372" t="n"/>
      <c r="BT23" s="372" t="n"/>
      <c r="BU23" s="372" t="n"/>
      <c r="BV23" s="372" t="n"/>
      <c r="BW23" s="372" t="n"/>
      <c r="BX23" s="372" t="n"/>
      <c r="BY23" s="372" t="n"/>
      <c r="BZ23" s="372" t="n"/>
      <c r="CA23" s="372" t="n"/>
      <c r="CB23" s="372" t="n"/>
      <c r="CC23" s="402" t="n"/>
      <c r="CF23" s="248" t="inlineStr">
        <is>
          <t>移動</t>
        </is>
      </c>
      <c r="CG23" s="377" t="n"/>
      <c r="CH23" s="377" t="n"/>
      <c r="CI23" s="378" t="n"/>
      <c r="CJ23" s="379">
        <f>IF(Q23="作業者1",E26-E23,0)</f>
        <v/>
      </c>
      <c r="CK23" s="377" t="n"/>
      <c r="CL23" s="377" t="n"/>
      <c r="CM23" s="377" t="n"/>
      <c r="CN23" s="378" t="n"/>
      <c r="CP23" s="248" t="inlineStr">
        <is>
          <t>移動</t>
        </is>
      </c>
      <c r="CQ23" s="377" t="n"/>
      <c r="CR23" s="377" t="n"/>
      <c r="CS23" s="378" t="n"/>
      <c r="CT23" s="379">
        <f>IF(Q23="作業者2",E26-E23,0)</f>
        <v/>
      </c>
      <c r="CU23" s="377" t="n"/>
      <c r="CV23" s="377" t="n"/>
      <c r="CW23" s="377" t="n"/>
      <c r="CX23" s="378" t="n"/>
      <c r="CZ23" s="259" t="inlineStr">
        <is>
          <t>移動</t>
        </is>
      </c>
      <c r="DA23" s="403" t="n"/>
      <c r="DB23" s="403" t="n"/>
      <c r="DC23" s="404" t="n"/>
      <c r="DD23" s="405">
        <f>IF(Q23="作業者3",E26-E23,0)</f>
        <v/>
      </c>
      <c r="DE23" s="406" t="n"/>
      <c r="DF23" s="406" t="n"/>
      <c r="DG23" s="406" t="n"/>
      <c r="DH23" s="407" t="n"/>
      <c r="DJ23" s="259" t="inlineStr">
        <is>
          <t>移動</t>
        </is>
      </c>
      <c r="DK23" s="403" t="n"/>
      <c r="DL23" s="403" t="n"/>
      <c r="DM23" s="404" t="n"/>
      <c r="DN23" s="379">
        <f>IF(Q23="作業者4",E26-E23,0)</f>
        <v/>
      </c>
      <c r="DO23" s="377" t="n"/>
      <c r="DP23" s="377" t="n"/>
      <c r="DQ23" s="377" t="n"/>
      <c r="DR23" s="378" t="n"/>
      <c r="DT23" s="259" t="inlineStr">
        <is>
          <t>移動</t>
        </is>
      </c>
      <c r="DU23" s="403" t="n"/>
      <c r="DV23" s="403" t="n"/>
      <c r="DW23" s="404" t="n"/>
      <c r="DX23" s="379">
        <f>IF(Q23="作業者5",E26-E23,0)</f>
        <v/>
      </c>
      <c r="DY23" s="377" t="n"/>
      <c r="DZ23" s="377" t="n"/>
      <c r="EA23" s="377" t="n"/>
      <c r="EB23" s="378" t="n"/>
    </row>
    <row r="24" ht="9" customHeight="1" s="337">
      <c r="B24" s="350" t="n"/>
      <c r="C24" s="338" t="n"/>
      <c r="D24" s="380" t="n"/>
      <c r="E24" s="381" t="n"/>
      <c r="F24" s="122" t="inlineStr">
        <is>
          <t>～</t>
        </is>
      </c>
      <c r="G24" s="22" t="n"/>
      <c r="H24" s="381" t="n"/>
      <c r="I24" s="122" t="inlineStr">
        <is>
          <t>～</t>
        </is>
      </c>
      <c r="J24" s="22" t="n"/>
      <c r="K24" s="381" t="n"/>
      <c r="L24" s="122" t="inlineStr">
        <is>
          <t>～</t>
        </is>
      </c>
      <c r="M24" s="22" t="n"/>
      <c r="N24" s="381" t="n"/>
      <c r="O24" s="122" t="inlineStr">
        <is>
          <t>～</t>
        </is>
      </c>
      <c r="P24" s="22" t="n"/>
      <c r="Q24" s="382" t="n"/>
      <c r="R24" s="338" t="n"/>
      <c r="S24" s="380" t="n"/>
      <c r="T24" s="382" t="n"/>
      <c r="U24" s="338" t="n"/>
      <c r="V24" s="380" t="n"/>
      <c r="W24" s="382" t="n"/>
      <c r="X24" s="338" t="n"/>
      <c r="Y24" s="338" t="n"/>
      <c r="Z24" s="338" t="n"/>
      <c r="AA24" s="338" t="n"/>
      <c r="AB24" s="338" t="n"/>
      <c r="AC24" s="338" t="n"/>
      <c r="AD24" s="338" t="n"/>
      <c r="AE24" s="338" t="n"/>
      <c r="AF24" s="338" t="n"/>
      <c r="AG24" s="338" t="n"/>
      <c r="AH24" s="338" t="n"/>
      <c r="AI24" s="338" t="n"/>
      <c r="AJ24" s="338" t="n"/>
      <c r="AK24" s="338" t="n"/>
      <c r="AL24" s="338" t="n"/>
      <c r="AM24" s="338" t="n"/>
      <c r="AN24" s="338" t="n"/>
      <c r="AO24" s="338" t="n"/>
      <c r="AP24" s="338" t="n"/>
      <c r="AQ24" s="338" t="n"/>
      <c r="AR24" s="338" t="n"/>
      <c r="AS24" s="338" t="n"/>
      <c r="AT24" s="338" t="n"/>
      <c r="AU24" s="338" t="n"/>
      <c r="AV24" s="338" t="n"/>
      <c r="AW24" s="338" t="n"/>
      <c r="AX24" s="338" t="n"/>
      <c r="AY24" s="338" t="n"/>
      <c r="AZ24" s="338" t="n"/>
      <c r="BA24" s="338" t="n"/>
      <c r="BB24" s="338" t="n"/>
      <c r="BC24" s="338" t="n"/>
      <c r="BD24" s="338" t="n"/>
      <c r="BE24" s="338" t="n"/>
      <c r="BF24" s="338" t="n"/>
      <c r="BG24" s="338" t="n"/>
      <c r="BH24" s="338" t="n"/>
      <c r="BI24" s="338" t="n"/>
      <c r="BJ24" s="338" t="n"/>
      <c r="BK24" s="338" t="n"/>
      <c r="BL24" s="338" t="n"/>
      <c r="BM24" s="338" t="n"/>
      <c r="BN24" s="338" t="n"/>
      <c r="BO24" s="338" t="n"/>
      <c r="BP24" s="338" t="n"/>
      <c r="BQ24" s="338" t="n"/>
      <c r="BR24" s="338" t="n"/>
      <c r="BS24" s="338" t="n"/>
      <c r="BT24" s="338" t="n"/>
      <c r="BU24" s="338" t="n"/>
      <c r="BV24" s="338" t="n"/>
      <c r="BW24" s="338" t="n"/>
      <c r="BX24" s="338" t="n"/>
      <c r="BY24" s="338" t="n"/>
      <c r="BZ24" s="338" t="n"/>
      <c r="CA24" s="338" t="n"/>
      <c r="CB24" s="338" t="n"/>
      <c r="CC24" s="383" t="n"/>
      <c r="CF24" s="253" t="inlineStr">
        <is>
          <t>時間内</t>
        </is>
      </c>
      <c r="CG24" s="384" t="n"/>
      <c r="CH24" s="384" t="n"/>
      <c r="CI24" s="385" t="n"/>
      <c r="CJ24" s="386">
        <f>IF(Q23="作業者1",H26-H23,0)</f>
        <v/>
      </c>
      <c r="CK24" s="387" t="n"/>
      <c r="CL24" s="387" t="n"/>
      <c r="CM24" s="387" t="n"/>
      <c r="CN24" s="388" t="n"/>
      <c r="CP24" s="253" t="inlineStr">
        <is>
          <t>時間内</t>
        </is>
      </c>
      <c r="CQ24" s="384" t="n"/>
      <c r="CR24" s="384" t="n"/>
      <c r="CS24" s="385" t="n"/>
      <c r="CT24" s="386">
        <f>IF(Q23="作業者2",H26-H23,0)</f>
        <v/>
      </c>
      <c r="CU24" s="387" t="n"/>
      <c r="CV24" s="387" t="n"/>
      <c r="CW24" s="387" t="n"/>
      <c r="CX24" s="388" t="n"/>
      <c r="CZ24" s="253" t="inlineStr">
        <is>
          <t>時間内</t>
        </is>
      </c>
      <c r="DA24" s="384" t="n"/>
      <c r="DB24" s="384" t="n"/>
      <c r="DC24" s="385" t="n"/>
      <c r="DD24" s="386">
        <f>IF(Q23="作業者3",H26-H23,0)</f>
        <v/>
      </c>
      <c r="DE24" s="387" t="n"/>
      <c r="DF24" s="387" t="n"/>
      <c r="DG24" s="387" t="n"/>
      <c r="DH24" s="388" t="n"/>
      <c r="DJ24" s="253" t="inlineStr">
        <is>
          <t>時間内</t>
        </is>
      </c>
      <c r="DK24" s="384" t="n"/>
      <c r="DL24" s="384" t="n"/>
      <c r="DM24" s="385" t="n"/>
      <c r="DN24" s="386">
        <f>IF(Q23="作業者4",H26-H23,0)</f>
        <v/>
      </c>
      <c r="DO24" s="387" t="n"/>
      <c r="DP24" s="387" t="n"/>
      <c r="DQ24" s="387" t="n"/>
      <c r="DR24" s="388" t="n"/>
      <c r="DT24" s="253" t="inlineStr">
        <is>
          <t>時間内</t>
        </is>
      </c>
      <c r="DU24" s="384" t="n"/>
      <c r="DV24" s="384" t="n"/>
      <c r="DW24" s="385" t="n"/>
      <c r="DX24" s="386">
        <f>IF(Q23="作業者5",H26-H23,0)</f>
        <v/>
      </c>
      <c r="DY24" s="387" t="n"/>
      <c r="DZ24" s="387" t="n"/>
      <c r="EA24" s="387" t="n"/>
      <c r="EB24" s="388" t="n"/>
    </row>
    <row r="25" ht="9" customHeight="1" s="337">
      <c r="B25" s="350" t="n"/>
      <c r="C25" s="338" t="n"/>
      <c r="D25" s="380" t="n"/>
      <c r="E25" s="23" t="n"/>
      <c r="F25" s="338" t="n"/>
      <c r="G25" s="24" t="n"/>
      <c r="H25" s="23" t="n"/>
      <c r="I25" s="338" t="n"/>
      <c r="J25" s="24" t="n"/>
      <c r="K25" s="23" t="n"/>
      <c r="L25" s="338" t="n"/>
      <c r="M25" s="24" t="n"/>
      <c r="N25" s="23" t="n"/>
      <c r="O25" s="338" t="n"/>
      <c r="P25" s="24" t="n"/>
      <c r="Q25" s="382" t="n"/>
      <c r="R25" s="338" t="n"/>
      <c r="S25" s="380" t="n"/>
      <c r="T25" s="382" t="n"/>
      <c r="U25" s="338" t="n"/>
      <c r="V25" s="380" t="n"/>
      <c r="W25" s="382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8" t="n"/>
      <c r="BH25" s="338" t="n"/>
      <c r="BI25" s="338" t="n"/>
      <c r="BJ25" s="338" t="n"/>
      <c r="BK25" s="338" t="n"/>
      <c r="BL25" s="338" t="n"/>
      <c r="BM25" s="338" t="n"/>
      <c r="BN25" s="338" t="n"/>
      <c r="BO25" s="338" t="n"/>
      <c r="BP25" s="338" t="n"/>
      <c r="BQ25" s="338" t="n"/>
      <c r="BR25" s="338" t="n"/>
      <c r="BS25" s="338" t="n"/>
      <c r="BT25" s="338" t="n"/>
      <c r="BU25" s="338" t="n"/>
      <c r="BV25" s="338" t="n"/>
      <c r="BW25" s="338" t="n"/>
      <c r="BX25" s="338" t="n"/>
      <c r="BY25" s="338" t="n"/>
      <c r="BZ25" s="338" t="n"/>
      <c r="CA25" s="338" t="n"/>
      <c r="CB25" s="338" t="n"/>
      <c r="CC25" s="383" t="n"/>
      <c r="CF25" s="253" t="inlineStr">
        <is>
          <t>時間外</t>
        </is>
      </c>
      <c r="CG25" s="384" t="n"/>
      <c r="CH25" s="384" t="n"/>
      <c r="CI25" s="385" t="n"/>
      <c r="CJ25" s="386">
        <f>IF(Q23="作業者1",K26-K23,0)</f>
        <v/>
      </c>
      <c r="CK25" s="387" t="n"/>
      <c r="CL25" s="387" t="n"/>
      <c r="CM25" s="387" t="n"/>
      <c r="CN25" s="388" t="n"/>
      <c r="CP25" s="253" t="inlineStr">
        <is>
          <t>時間外</t>
        </is>
      </c>
      <c r="CQ25" s="384" t="n"/>
      <c r="CR25" s="384" t="n"/>
      <c r="CS25" s="385" t="n"/>
      <c r="CT25" s="386">
        <f>IF(Q23="作業者2",K26-K23,0)</f>
        <v/>
      </c>
      <c r="CU25" s="387" t="n"/>
      <c r="CV25" s="387" t="n"/>
      <c r="CW25" s="387" t="n"/>
      <c r="CX25" s="388" t="n"/>
      <c r="CZ25" s="253" t="inlineStr">
        <is>
          <t>時間外</t>
        </is>
      </c>
      <c r="DA25" s="384" t="n"/>
      <c r="DB25" s="384" t="n"/>
      <c r="DC25" s="385" t="n"/>
      <c r="DD25" s="386">
        <f>IF(Q23="作業者3",K26-K23,0)</f>
        <v/>
      </c>
      <c r="DE25" s="387" t="n"/>
      <c r="DF25" s="387" t="n"/>
      <c r="DG25" s="387" t="n"/>
      <c r="DH25" s="388" t="n"/>
      <c r="DJ25" s="253" t="inlineStr">
        <is>
          <t>時間外</t>
        </is>
      </c>
      <c r="DK25" s="384" t="n"/>
      <c r="DL25" s="384" t="n"/>
      <c r="DM25" s="385" t="n"/>
      <c r="DN25" s="386">
        <f>IF(Q23="作業者4",K26-K23,0)</f>
        <v/>
      </c>
      <c r="DO25" s="387" t="n"/>
      <c r="DP25" s="387" t="n"/>
      <c r="DQ25" s="387" t="n"/>
      <c r="DR25" s="388" t="n"/>
      <c r="DT25" s="253" t="inlineStr">
        <is>
          <t>時間外</t>
        </is>
      </c>
      <c r="DU25" s="384" t="n"/>
      <c r="DV25" s="384" t="n"/>
      <c r="DW25" s="385" t="n"/>
      <c r="DX25" s="386">
        <f>IF(Q23="作業者5",K26-K23,0)</f>
        <v/>
      </c>
      <c r="DY25" s="387" t="n"/>
      <c r="DZ25" s="387" t="n"/>
      <c r="EA25" s="387" t="n"/>
      <c r="EB25" s="388" t="n"/>
    </row>
    <row r="26" ht="9" customHeight="1" s="337">
      <c r="B26" s="389" t="n"/>
      <c r="C26" s="390" t="n"/>
      <c r="D26" s="391" t="n"/>
      <c r="E26" s="392" t="n"/>
      <c r="F26" s="390" t="n"/>
      <c r="G26" s="391" t="n"/>
      <c r="H26" s="392" t="n"/>
      <c r="I26" s="390" t="n"/>
      <c r="J26" s="391" t="n"/>
      <c r="K26" s="392" t="n"/>
      <c r="L26" s="390" t="n"/>
      <c r="M26" s="391" t="n"/>
      <c r="N26" s="392" t="n"/>
      <c r="O26" s="390" t="n"/>
      <c r="P26" s="391" t="n"/>
      <c r="Q26" s="393" t="n"/>
      <c r="R26" s="390" t="n"/>
      <c r="S26" s="391" t="n"/>
      <c r="T26" s="393" t="n"/>
      <c r="U26" s="390" t="n"/>
      <c r="V26" s="391" t="n"/>
      <c r="W26" s="393" t="n"/>
      <c r="X26" s="390" t="n"/>
      <c r="Y26" s="390" t="n"/>
      <c r="Z26" s="390" t="n"/>
      <c r="AA26" s="390" t="n"/>
      <c r="AB26" s="390" t="n"/>
      <c r="AC26" s="390" t="n"/>
      <c r="AD26" s="390" t="n"/>
      <c r="AE26" s="390" t="n"/>
      <c r="AF26" s="390" t="n"/>
      <c r="AG26" s="390" t="n"/>
      <c r="AH26" s="390" t="n"/>
      <c r="AI26" s="390" t="n"/>
      <c r="AJ26" s="390" t="n"/>
      <c r="AK26" s="390" t="n"/>
      <c r="AL26" s="390" t="n"/>
      <c r="AM26" s="390" t="n"/>
      <c r="AN26" s="390" t="n"/>
      <c r="AO26" s="390" t="n"/>
      <c r="AP26" s="390" t="n"/>
      <c r="AQ26" s="390" t="n"/>
      <c r="AR26" s="390" t="n"/>
      <c r="AS26" s="390" t="n"/>
      <c r="AT26" s="390" t="n"/>
      <c r="AU26" s="390" t="n"/>
      <c r="AV26" s="390" t="n"/>
      <c r="AW26" s="390" t="n"/>
      <c r="AX26" s="390" t="n"/>
      <c r="AY26" s="390" t="n"/>
      <c r="AZ26" s="390" t="n"/>
      <c r="BA26" s="390" t="n"/>
      <c r="BB26" s="390" t="n"/>
      <c r="BC26" s="390" t="n"/>
      <c r="BD26" s="390" t="n"/>
      <c r="BE26" s="390" t="n"/>
      <c r="BF26" s="390" t="n"/>
      <c r="BG26" s="390" t="n"/>
      <c r="BH26" s="390" t="n"/>
      <c r="BI26" s="390" t="n"/>
      <c r="BJ26" s="390" t="n"/>
      <c r="BK26" s="390" t="n"/>
      <c r="BL26" s="390" t="n"/>
      <c r="BM26" s="390" t="n"/>
      <c r="BN26" s="390" t="n"/>
      <c r="BO26" s="390" t="n"/>
      <c r="BP26" s="390" t="n"/>
      <c r="BQ26" s="390" t="n"/>
      <c r="BR26" s="390" t="n"/>
      <c r="BS26" s="390" t="n"/>
      <c r="BT26" s="390" t="n"/>
      <c r="BU26" s="390" t="n"/>
      <c r="BV26" s="390" t="n"/>
      <c r="BW26" s="390" t="n"/>
      <c r="BX26" s="390" t="n"/>
      <c r="BY26" s="390" t="n"/>
      <c r="BZ26" s="390" t="n"/>
      <c r="CA26" s="390" t="n"/>
      <c r="CB26" s="390" t="n"/>
      <c r="CC26" s="394" t="n"/>
      <c r="CF26" s="254" t="inlineStr">
        <is>
          <t>休日</t>
        </is>
      </c>
      <c r="CG26" s="395" t="n"/>
      <c r="CH26" s="395" t="n"/>
      <c r="CI26" s="396" t="n"/>
      <c r="CJ26" s="397">
        <f>IF(Q23="作業者1",N26-N23,0)</f>
        <v/>
      </c>
      <c r="CK26" s="395" t="n"/>
      <c r="CL26" s="395" t="n"/>
      <c r="CM26" s="395" t="n"/>
      <c r="CN26" s="396" t="n"/>
      <c r="CP26" s="254" t="inlineStr">
        <is>
          <t>休日</t>
        </is>
      </c>
      <c r="CQ26" s="395" t="n"/>
      <c r="CR26" s="395" t="n"/>
      <c r="CS26" s="396" t="n"/>
      <c r="CT26" s="397">
        <f>IF(Q23="作業者2",N26-N23,0)</f>
        <v/>
      </c>
      <c r="CU26" s="395" t="n"/>
      <c r="CV26" s="395" t="n"/>
      <c r="CW26" s="395" t="n"/>
      <c r="CX26" s="396" t="n"/>
      <c r="CZ26" s="254" t="inlineStr">
        <is>
          <t>休日</t>
        </is>
      </c>
      <c r="DA26" s="395" t="n"/>
      <c r="DB26" s="395" t="n"/>
      <c r="DC26" s="396" t="n"/>
      <c r="DD26" s="397">
        <f>IF(Q23="作業者3",N26-N23,0)</f>
        <v/>
      </c>
      <c r="DE26" s="395" t="n"/>
      <c r="DF26" s="395" t="n"/>
      <c r="DG26" s="395" t="n"/>
      <c r="DH26" s="396" t="n"/>
      <c r="DJ26" s="254" t="inlineStr">
        <is>
          <t>休日</t>
        </is>
      </c>
      <c r="DK26" s="395" t="n"/>
      <c r="DL26" s="395" t="n"/>
      <c r="DM26" s="396" t="n"/>
      <c r="DN26" s="397">
        <f>IF(Q23="作業者4",N26-N23,0)</f>
        <v/>
      </c>
      <c r="DO26" s="395" t="n"/>
      <c r="DP26" s="395" t="n"/>
      <c r="DQ26" s="395" t="n"/>
      <c r="DR26" s="396" t="n"/>
      <c r="DT26" s="254" t="inlineStr">
        <is>
          <t>休日</t>
        </is>
      </c>
      <c r="DU26" s="395" t="n"/>
      <c r="DV26" s="395" t="n"/>
      <c r="DW26" s="396" t="n"/>
      <c r="DX26" s="397">
        <f>IF(Q23="作業者5",N26-N23,0)</f>
        <v/>
      </c>
      <c r="DY26" s="395" t="n"/>
      <c r="DZ26" s="395" t="n"/>
      <c r="EA26" s="395" t="n"/>
      <c r="EB26" s="396" t="n"/>
    </row>
    <row r="27" ht="9" customHeight="1" s="337">
      <c r="B27" s="398" t="n"/>
      <c r="C27" s="372" t="n"/>
      <c r="D27" s="373" t="n"/>
      <c r="E27" s="399" t="n"/>
      <c r="F27" s="372" t="n"/>
      <c r="G27" s="373" t="n"/>
      <c r="H27" s="399" t="n"/>
      <c r="I27" s="372" t="n"/>
      <c r="J27" s="373" t="n"/>
      <c r="K27" s="399" t="n"/>
      <c r="L27" s="372" t="n"/>
      <c r="M27" s="373" t="n"/>
      <c r="N27" s="399" t="n"/>
      <c r="O27" s="372" t="n"/>
      <c r="P27" s="373" t="n"/>
      <c r="Q27" s="371" t="n"/>
      <c r="R27" s="372" t="n"/>
      <c r="S27" s="373" t="n"/>
      <c r="T27" s="371" t="n"/>
      <c r="U27" s="372" t="n"/>
      <c r="V27" s="373" t="n"/>
      <c r="W27" s="401" t="n"/>
      <c r="X27" s="372" t="n"/>
      <c r="Y27" s="372" t="n"/>
      <c r="Z27" s="372" t="n"/>
      <c r="AA27" s="372" t="n"/>
      <c r="AB27" s="372" t="n"/>
      <c r="AC27" s="372" t="n"/>
      <c r="AD27" s="372" t="n"/>
      <c r="AE27" s="372" t="n"/>
      <c r="AF27" s="372" t="n"/>
      <c r="AG27" s="372" t="n"/>
      <c r="AH27" s="372" t="n"/>
      <c r="AI27" s="372" t="n"/>
      <c r="AJ27" s="372" t="n"/>
      <c r="AK27" s="372" t="n"/>
      <c r="AL27" s="372" t="n"/>
      <c r="AM27" s="372" t="n"/>
      <c r="AN27" s="372" t="n"/>
      <c r="AO27" s="372" t="n"/>
      <c r="AP27" s="372" t="n"/>
      <c r="AQ27" s="372" t="n"/>
      <c r="AR27" s="372" t="n"/>
      <c r="AS27" s="372" t="n"/>
      <c r="AT27" s="372" t="n"/>
      <c r="AU27" s="372" t="n"/>
      <c r="AV27" s="372" t="n"/>
      <c r="AW27" s="372" t="n"/>
      <c r="AX27" s="372" t="n"/>
      <c r="AY27" s="372" t="n"/>
      <c r="AZ27" s="372" t="n"/>
      <c r="BA27" s="372" t="n"/>
      <c r="BB27" s="372" t="n"/>
      <c r="BC27" s="372" t="n"/>
      <c r="BD27" s="372" t="n"/>
      <c r="BE27" s="372" t="n"/>
      <c r="BF27" s="372" t="n"/>
      <c r="BG27" s="372" t="n"/>
      <c r="BH27" s="372" t="n"/>
      <c r="BI27" s="372" t="n"/>
      <c r="BJ27" s="372" t="n"/>
      <c r="BK27" s="372" t="n"/>
      <c r="BL27" s="372" t="n"/>
      <c r="BM27" s="372" t="n"/>
      <c r="BN27" s="372" t="n"/>
      <c r="BO27" s="372" t="n"/>
      <c r="BP27" s="372" t="n"/>
      <c r="BQ27" s="372" t="n"/>
      <c r="BR27" s="372" t="n"/>
      <c r="BS27" s="372" t="n"/>
      <c r="BT27" s="372" t="n"/>
      <c r="BU27" s="372" t="n"/>
      <c r="BV27" s="372" t="n"/>
      <c r="BW27" s="372" t="n"/>
      <c r="BX27" s="372" t="n"/>
      <c r="BY27" s="372" t="n"/>
      <c r="BZ27" s="372" t="n"/>
      <c r="CA27" s="372" t="n"/>
      <c r="CB27" s="372" t="n"/>
      <c r="CC27" s="402" t="n"/>
      <c r="CF27" s="248" t="inlineStr">
        <is>
          <t>移動</t>
        </is>
      </c>
      <c r="CG27" s="377" t="n"/>
      <c r="CH27" s="377" t="n"/>
      <c r="CI27" s="378" t="n"/>
      <c r="CJ27" s="379">
        <f>IF(Q27="作業者1",E30-E27,0)</f>
        <v/>
      </c>
      <c r="CK27" s="377" t="n"/>
      <c r="CL27" s="377" t="n"/>
      <c r="CM27" s="377" t="n"/>
      <c r="CN27" s="378" t="n"/>
      <c r="CP27" s="248" t="inlineStr">
        <is>
          <t>移動</t>
        </is>
      </c>
      <c r="CQ27" s="377" t="n"/>
      <c r="CR27" s="377" t="n"/>
      <c r="CS27" s="378" t="n"/>
      <c r="CT27" s="379">
        <f>IF(Q27="作業者2",E30-E27,0)</f>
        <v/>
      </c>
      <c r="CU27" s="377" t="n"/>
      <c r="CV27" s="377" t="n"/>
      <c r="CW27" s="377" t="n"/>
      <c r="CX27" s="378" t="n"/>
      <c r="CZ27" s="259" t="inlineStr">
        <is>
          <t>移動</t>
        </is>
      </c>
      <c r="DA27" s="403" t="n"/>
      <c r="DB27" s="403" t="n"/>
      <c r="DC27" s="404" t="n"/>
      <c r="DD27" s="405">
        <f>IF(Q27="作業者3",E30-E27,0)</f>
        <v/>
      </c>
      <c r="DE27" s="406" t="n"/>
      <c r="DF27" s="406" t="n"/>
      <c r="DG27" s="406" t="n"/>
      <c r="DH27" s="407" t="n"/>
      <c r="DJ27" s="259" t="inlineStr">
        <is>
          <t>移動</t>
        </is>
      </c>
      <c r="DK27" s="403" t="n"/>
      <c r="DL27" s="403" t="n"/>
      <c r="DM27" s="404" t="n"/>
      <c r="DN27" s="379">
        <f>IF(Q27="作業者4",E30-E27,0)</f>
        <v/>
      </c>
      <c r="DO27" s="377" t="n"/>
      <c r="DP27" s="377" t="n"/>
      <c r="DQ27" s="377" t="n"/>
      <c r="DR27" s="378" t="n"/>
      <c r="DT27" s="259" t="inlineStr">
        <is>
          <t>移動</t>
        </is>
      </c>
      <c r="DU27" s="403" t="n"/>
      <c r="DV27" s="403" t="n"/>
      <c r="DW27" s="404" t="n"/>
      <c r="DX27" s="379">
        <f>IF(Q27="作業者5",E30-E27,0)</f>
        <v/>
      </c>
      <c r="DY27" s="377" t="n"/>
      <c r="DZ27" s="377" t="n"/>
      <c r="EA27" s="377" t="n"/>
      <c r="EB27" s="378" t="n"/>
    </row>
    <row r="28" ht="9" customHeight="1" s="337">
      <c r="B28" s="350" t="n"/>
      <c r="C28" s="338" t="n"/>
      <c r="D28" s="380" t="n"/>
      <c r="E28" s="381" t="n"/>
      <c r="F28" s="122" t="inlineStr">
        <is>
          <t>～</t>
        </is>
      </c>
      <c r="G28" s="22" t="n"/>
      <c r="H28" s="381" t="n"/>
      <c r="I28" s="122" t="inlineStr">
        <is>
          <t>～</t>
        </is>
      </c>
      <c r="J28" s="22" t="n"/>
      <c r="K28" s="381" t="n"/>
      <c r="L28" s="122" t="inlineStr">
        <is>
          <t>～</t>
        </is>
      </c>
      <c r="M28" s="22" t="n"/>
      <c r="N28" s="381" t="n"/>
      <c r="O28" s="122" t="inlineStr">
        <is>
          <t>～</t>
        </is>
      </c>
      <c r="P28" s="22" t="n"/>
      <c r="Q28" s="382" t="n"/>
      <c r="R28" s="338" t="n"/>
      <c r="S28" s="380" t="n"/>
      <c r="T28" s="382" t="n"/>
      <c r="U28" s="338" t="n"/>
      <c r="V28" s="380" t="n"/>
      <c r="W28" s="382" t="n"/>
      <c r="X28" s="338" t="n"/>
      <c r="Y28" s="338" t="n"/>
      <c r="Z28" s="338" t="n"/>
      <c r="AA28" s="338" t="n"/>
      <c r="AB28" s="338" t="n"/>
      <c r="AC28" s="338" t="n"/>
      <c r="AD28" s="338" t="n"/>
      <c r="AE28" s="338" t="n"/>
      <c r="AF28" s="338" t="n"/>
      <c r="AG28" s="338" t="n"/>
      <c r="AH28" s="338" t="n"/>
      <c r="AI28" s="338" t="n"/>
      <c r="AJ28" s="338" t="n"/>
      <c r="AK28" s="338" t="n"/>
      <c r="AL28" s="338" t="n"/>
      <c r="AM28" s="338" t="n"/>
      <c r="AN28" s="338" t="n"/>
      <c r="AO28" s="338" t="n"/>
      <c r="AP28" s="338" t="n"/>
      <c r="AQ28" s="338" t="n"/>
      <c r="AR28" s="338" t="n"/>
      <c r="AS28" s="338" t="n"/>
      <c r="AT28" s="338" t="n"/>
      <c r="AU28" s="338" t="n"/>
      <c r="AV28" s="338" t="n"/>
      <c r="AW28" s="338" t="n"/>
      <c r="AX28" s="338" t="n"/>
      <c r="AY28" s="338" t="n"/>
      <c r="AZ28" s="338" t="n"/>
      <c r="BA28" s="338" t="n"/>
      <c r="BB28" s="338" t="n"/>
      <c r="BC28" s="338" t="n"/>
      <c r="BD28" s="338" t="n"/>
      <c r="BE28" s="338" t="n"/>
      <c r="BF28" s="338" t="n"/>
      <c r="BG28" s="338" t="n"/>
      <c r="BH28" s="338" t="n"/>
      <c r="BI28" s="338" t="n"/>
      <c r="BJ28" s="338" t="n"/>
      <c r="BK28" s="338" t="n"/>
      <c r="BL28" s="338" t="n"/>
      <c r="BM28" s="338" t="n"/>
      <c r="BN28" s="338" t="n"/>
      <c r="BO28" s="338" t="n"/>
      <c r="BP28" s="338" t="n"/>
      <c r="BQ28" s="338" t="n"/>
      <c r="BR28" s="338" t="n"/>
      <c r="BS28" s="338" t="n"/>
      <c r="BT28" s="338" t="n"/>
      <c r="BU28" s="338" t="n"/>
      <c r="BV28" s="338" t="n"/>
      <c r="BW28" s="338" t="n"/>
      <c r="BX28" s="338" t="n"/>
      <c r="BY28" s="338" t="n"/>
      <c r="BZ28" s="338" t="n"/>
      <c r="CA28" s="338" t="n"/>
      <c r="CB28" s="338" t="n"/>
      <c r="CC28" s="383" t="n"/>
      <c r="CF28" s="253" t="inlineStr">
        <is>
          <t>時間内</t>
        </is>
      </c>
      <c r="CG28" s="384" t="n"/>
      <c r="CH28" s="384" t="n"/>
      <c r="CI28" s="385" t="n"/>
      <c r="CJ28" s="386">
        <f>IF(Q27="作業者1",H30-H27,0)</f>
        <v/>
      </c>
      <c r="CK28" s="387" t="n"/>
      <c r="CL28" s="387" t="n"/>
      <c r="CM28" s="387" t="n"/>
      <c r="CN28" s="388" t="n"/>
      <c r="CP28" s="253" t="inlineStr">
        <is>
          <t>時間内</t>
        </is>
      </c>
      <c r="CQ28" s="384" t="n"/>
      <c r="CR28" s="384" t="n"/>
      <c r="CS28" s="385" t="n"/>
      <c r="CT28" s="386">
        <f>IF(Q27="作業者2",H30-H27,0)</f>
        <v/>
      </c>
      <c r="CU28" s="387" t="n"/>
      <c r="CV28" s="387" t="n"/>
      <c r="CW28" s="387" t="n"/>
      <c r="CX28" s="388" t="n"/>
      <c r="CZ28" s="253" t="inlineStr">
        <is>
          <t>時間内</t>
        </is>
      </c>
      <c r="DA28" s="384" t="n"/>
      <c r="DB28" s="384" t="n"/>
      <c r="DC28" s="385" t="n"/>
      <c r="DD28" s="386">
        <f>IF(Q27="作業者3",H30-H27,0)</f>
        <v/>
      </c>
      <c r="DE28" s="387" t="n"/>
      <c r="DF28" s="387" t="n"/>
      <c r="DG28" s="387" t="n"/>
      <c r="DH28" s="388" t="n"/>
      <c r="DJ28" s="253" t="inlineStr">
        <is>
          <t>時間内</t>
        </is>
      </c>
      <c r="DK28" s="384" t="n"/>
      <c r="DL28" s="384" t="n"/>
      <c r="DM28" s="385" t="n"/>
      <c r="DN28" s="386">
        <f>IF(Q27="作業者4",H30-H27,0)</f>
        <v/>
      </c>
      <c r="DO28" s="387" t="n"/>
      <c r="DP28" s="387" t="n"/>
      <c r="DQ28" s="387" t="n"/>
      <c r="DR28" s="388" t="n"/>
      <c r="DT28" s="253" t="inlineStr">
        <is>
          <t>時間内</t>
        </is>
      </c>
      <c r="DU28" s="384" t="n"/>
      <c r="DV28" s="384" t="n"/>
      <c r="DW28" s="385" t="n"/>
      <c r="DX28" s="386">
        <f>IF(Q27="作業者5",H30-H27,0)</f>
        <v/>
      </c>
      <c r="DY28" s="387" t="n"/>
      <c r="DZ28" s="387" t="n"/>
      <c r="EA28" s="387" t="n"/>
      <c r="EB28" s="388" t="n"/>
    </row>
    <row r="29" ht="9" customHeight="1" s="337">
      <c r="B29" s="350" t="n"/>
      <c r="C29" s="338" t="n"/>
      <c r="D29" s="380" t="n"/>
      <c r="E29" s="23" t="n"/>
      <c r="F29" s="338" t="n"/>
      <c r="G29" s="24" t="n"/>
      <c r="H29" s="23" t="n"/>
      <c r="I29" s="338" t="n"/>
      <c r="J29" s="24" t="n"/>
      <c r="K29" s="23" t="n"/>
      <c r="L29" s="338" t="n"/>
      <c r="M29" s="24" t="n"/>
      <c r="N29" s="23" t="n"/>
      <c r="O29" s="338" t="n"/>
      <c r="P29" s="24" t="n"/>
      <c r="Q29" s="382" t="n"/>
      <c r="R29" s="338" t="n"/>
      <c r="S29" s="380" t="n"/>
      <c r="T29" s="382" t="n"/>
      <c r="U29" s="338" t="n"/>
      <c r="V29" s="380" t="n"/>
      <c r="W29" s="382" t="n"/>
      <c r="X29" s="338" t="n"/>
      <c r="Y29" s="338" t="n"/>
      <c r="Z29" s="338" t="n"/>
      <c r="AA29" s="338" t="n"/>
      <c r="AB29" s="338" t="n"/>
      <c r="AC29" s="338" t="n"/>
      <c r="AD29" s="338" t="n"/>
      <c r="AE29" s="338" t="n"/>
      <c r="AF29" s="338" t="n"/>
      <c r="AG29" s="338" t="n"/>
      <c r="AH29" s="338" t="n"/>
      <c r="AI29" s="338" t="n"/>
      <c r="AJ29" s="338" t="n"/>
      <c r="AK29" s="338" t="n"/>
      <c r="AL29" s="338" t="n"/>
      <c r="AM29" s="338" t="n"/>
      <c r="AN29" s="338" t="n"/>
      <c r="AO29" s="338" t="n"/>
      <c r="AP29" s="338" t="n"/>
      <c r="AQ29" s="338" t="n"/>
      <c r="AR29" s="338" t="n"/>
      <c r="AS29" s="338" t="n"/>
      <c r="AT29" s="338" t="n"/>
      <c r="AU29" s="338" t="n"/>
      <c r="AV29" s="338" t="n"/>
      <c r="AW29" s="338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8" t="n"/>
      <c r="BH29" s="338" t="n"/>
      <c r="BI29" s="338" t="n"/>
      <c r="BJ29" s="338" t="n"/>
      <c r="BK29" s="338" t="n"/>
      <c r="BL29" s="338" t="n"/>
      <c r="BM29" s="338" t="n"/>
      <c r="BN29" s="338" t="n"/>
      <c r="BO29" s="338" t="n"/>
      <c r="BP29" s="338" t="n"/>
      <c r="BQ29" s="338" t="n"/>
      <c r="BR29" s="338" t="n"/>
      <c r="BS29" s="338" t="n"/>
      <c r="BT29" s="338" t="n"/>
      <c r="BU29" s="338" t="n"/>
      <c r="BV29" s="338" t="n"/>
      <c r="BW29" s="338" t="n"/>
      <c r="BX29" s="338" t="n"/>
      <c r="BY29" s="338" t="n"/>
      <c r="BZ29" s="338" t="n"/>
      <c r="CA29" s="338" t="n"/>
      <c r="CB29" s="338" t="n"/>
      <c r="CC29" s="383" t="n"/>
      <c r="CF29" s="253" t="inlineStr">
        <is>
          <t>時間外</t>
        </is>
      </c>
      <c r="CG29" s="384" t="n"/>
      <c r="CH29" s="384" t="n"/>
      <c r="CI29" s="385" t="n"/>
      <c r="CJ29" s="386">
        <f>IF(Q27="作業者1",K30-K27,0)</f>
        <v/>
      </c>
      <c r="CK29" s="387" t="n"/>
      <c r="CL29" s="387" t="n"/>
      <c r="CM29" s="387" t="n"/>
      <c r="CN29" s="388" t="n"/>
      <c r="CP29" s="253" t="inlineStr">
        <is>
          <t>時間外</t>
        </is>
      </c>
      <c r="CQ29" s="384" t="n"/>
      <c r="CR29" s="384" t="n"/>
      <c r="CS29" s="385" t="n"/>
      <c r="CT29" s="386">
        <f>IF(Q27="作業者2",K30-K27,0)</f>
        <v/>
      </c>
      <c r="CU29" s="387" t="n"/>
      <c r="CV29" s="387" t="n"/>
      <c r="CW29" s="387" t="n"/>
      <c r="CX29" s="388" t="n"/>
      <c r="CZ29" s="253" t="inlineStr">
        <is>
          <t>時間外</t>
        </is>
      </c>
      <c r="DA29" s="384" t="n"/>
      <c r="DB29" s="384" t="n"/>
      <c r="DC29" s="385" t="n"/>
      <c r="DD29" s="386">
        <f>IF(Q27="作業者3",K30-K27,0)</f>
        <v/>
      </c>
      <c r="DE29" s="387" t="n"/>
      <c r="DF29" s="387" t="n"/>
      <c r="DG29" s="387" t="n"/>
      <c r="DH29" s="388" t="n"/>
      <c r="DJ29" s="253" t="inlineStr">
        <is>
          <t>時間外</t>
        </is>
      </c>
      <c r="DK29" s="384" t="n"/>
      <c r="DL29" s="384" t="n"/>
      <c r="DM29" s="385" t="n"/>
      <c r="DN29" s="386">
        <f>IF(Q27="作業者4",K30-K27,0)</f>
        <v/>
      </c>
      <c r="DO29" s="387" t="n"/>
      <c r="DP29" s="387" t="n"/>
      <c r="DQ29" s="387" t="n"/>
      <c r="DR29" s="388" t="n"/>
      <c r="DT29" s="253" t="inlineStr">
        <is>
          <t>時間外</t>
        </is>
      </c>
      <c r="DU29" s="384" t="n"/>
      <c r="DV29" s="384" t="n"/>
      <c r="DW29" s="385" t="n"/>
      <c r="DX29" s="386">
        <f>IF(Q27="作業者5",K30-K27,0)</f>
        <v/>
      </c>
      <c r="DY29" s="387" t="n"/>
      <c r="DZ29" s="387" t="n"/>
      <c r="EA29" s="387" t="n"/>
      <c r="EB29" s="388" t="n"/>
    </row>
    <row r="30" ht="9" customHeight="1" s="337">
      <c r="B30" s="389" t="n"/>
      <c r="C30" s="390" t="n"/>
      <c r="D30" s="391" t="n"/>
      <c r="E30" s="392" t="n"/>
      <c r="F30" s="390" t="n"/>
      <c r="G30" s="391" t="n"/>
      <c r="H30" s="392" t="n"/>
      <c r="I30" s="390" t="n"/>
      <c r="J30" s="391" t="n"/>
      <c r="K30" s="392" t="n"/>
      <c r="L30" s="390" t="n"/>
      <c r="M30" s="391" t="n"/>
      <c r="N30" s="392" t="n"/>
      <c r="O30" s="390" t="n"/>
      <c r="P30" s="391" t="n"/>
      <c r="Q30" s="393" t="n"/>
      <c r="R30" s="390" t="n"/>
      <c r="S30" s="391" t="n"/>
      <c r="T30" s="393" t="n"/>
      <c r="U30" s="390" t="n"/>
      <c r="V30" s="391" t="n"/>
      <c r="W30" s="393" t="n"/>
      <c r="X30" s="390" t="n"/>
      <c r="Y30" s="390" t="n"/>
      <c r="Z30" s="390" t="n"/>
      <c r="AA30" s="390" t="n"/>
      <c r="AB30" s="390" t="n"/>
      <c r="AC30" s="390" t="n"/>
      <c r="AD30" s="390" t="n"/>
      <c r="AE30" s="390" t="n"/>
      <c r="AF30" s="390" t="n"/>
      <c r="AG30" s="390" t="n"/>
      <c r="AH30" s="390" t="n"/>
      <c r="AI30" s="390" t="n"/>
      <c r="AJ30" s="390" t="n"/>
      <c r="AK30" s="390" t="n"/>
      <c r="AL30" s="390" t="n"/>
      <c r="AM30" s="390" t="n"/>
      <c r="AN30" s="390" t="n"/>
      <c r="AO30" s="390" t="n"/>
      <c r="AP30" s="390" t="n"/>
      <c r="AQ30" s="390" t="n"/>
      <c r="AR30" s="390" t="n"/>
      <c r="AS30" s="390" t="n"/>
      <c r="AT30" s="390" t="n"/>
      <c r="AU30" s="390" t="n"/>
      <c r="AV30" s="390" t="n"/>
      <c r="AW30" s="390" t="n"/>
      <c r="AX30" s="390" t="n"/>
      <c r="AY30" s="390" t="n"/>
      <c r="AZ30" s="390" t="n"/>
      <c r="BA30" s="390" t="n"/>
      <c r="BB30" s="390" t="n"/>
      <c r="BC30" s="390" t="n"/>
      <c r="BD30" s="390" t="n"/>
      <c r="BE30" s="390" t="n"/>
      <c r="BF30" s="390" t="n"/>
      <c r="BG30" s="390" t="n"/>
      <c r="BH30" s="390" t="n"/>
      <c r="BI30" s="390" t="n"/>
      <c r="BJ30" s="390" t="n"/>
      <c r="BK30" s="390" t="n"/>
      <c r="BL30" s="390" t="n"/>
      <c r="BM30" s="390" t="n"/>
      <c r="BN30" s="390" t="n"/>
      <c r="BO30" s="390" t="n"/>
      <c r="BP30" s="390" t="n"/>
      <c r="BQ30" s="390" t="n"/>
      <c r="BR30" s="390" t="n"/>
      <c r="BS30" s="390" t="n"/>
      <c r="BT30" s="390" t="n"/>
      <c r="BU30" s="390" t="n"/>
      <c r="BV30" s="390" t="n"/>
      <c r="BW30" s="390" t="n"/>
      <c r="BX30" s="390" t="n"/>
      <c r="BY30" s="390" t="n"/>
      <c r="BZ30" s="390" t="n"/>
      <c r="CA30" s="390" t="n"/>
      <c r="CB30" s="390" t="n"/>
      <c r="CC30" s="394" t="n"/>
      <c r="CF30" s="254" t="inlineStr">
        <is>
          <t>休日</t>
        </is>
      </c>
      <c r="CG30" s="395" t="n"/>
      <c r="CH30" s="395" t="n"/>
      <c r="CI30" s="396" t="n"/>
      <c r="CJ30" s="397">
        <f>IF(Q27="作業者1",N30-N27,0)</f>
        <v/>
      </c>
      <c r="CK30" s="395" t="n"/>
      <c r="CL30" s="395" t="n"/>
      <c r="CM30" s="395" t="n"/>
      <c r="CN30" s="396" t="n"/>
      <c r="CP30" s="254" t="inlineStr">
        <is>
          <t>休日</t>
        </is>
      </c>
      <c r="CQ30" s="395" t="n"/>
      <c r="CR30" s="395" t="n"/>
      <c r="CS30" s="396" t="n"/>
      <c r="CT30" s="397">
        <f>IF(Q27="作業者2",N30-N27,0)</f>
        <v/>
      </c>
      <c r="CU30" s="395" t="n"/>
      <c r="CV30" s="395" t="n"/>
      <c r="CW30" s="395" t="n"/>
      <c r="CX30" s="396" t="n"/>
      <c r="CZ30" s="254" t="inlineStr">
        <is>
          <t>休日</t>
        </is>
      </c>
      <c r="DA30" s="395" t="n"/>
      <c r="DB30" s="395" t="n"/>
      <c r="DC30" s="396" t="n"/>
      <c r="DD30" s="397">
        <f>IF(Q27="作業者3",N30-N27,0)</f>
        <v/>
      </c>
      <c r="DE30" s="395" t="n"/>
      <c r="DF30" s="395" t="n"/>
      <c r="DG30" s="395" t="n"/>
      <c r="DH30" s="396" t="n"/>
      <c r="DJ30" s="254" t="inlineStr">
        <is>
          <t>休日</t>
        </is>
      </c>
      <c r="DK30" s="395" t="n"/>
      <c r="DL30" s="395" t="n"/>
      <c r="DM30" s="396" t="n"/>
      <c r="DN30" s="397">
        <f>IF(Q27="作業者4",N30-N27,0)</f>
        <v/>
      </c>
      <c r="DO30" s="395" t="n"/>
      <c r="DP30" s="395" t="n"/>
      <c r="DQ30" s="395" t="n"/>
      <c r="DR30" s="396" t="n"/>
      <c r="DT30" s="254" t="inlineStr">
        <is>
          <t>休日</t>
        </is>
      </c>
      <c r="DU30" s="395" t="n"/>
      <c r="DV30" s="395" t="n"/>
      <c r="DW30" s="396" t="n"/>
      <c r="DX30" s="397">
        <f>IF(Q27="作業者5",N30-N27,0)</f>
        <v/>
      </c>
      <c r="DY30" s="395" t="n"/>
      <c r="DZ30" s="395" t="n"/>
      <c r="EA30" s="395" t="n"/>
      <c r="EB30" s="396" t="n"/>
    </row>
    <row r="31" ht="9" customHeight="1" s="337">
      <c r="B31" s="398" t="n"/>
      <c r="C31" s="372" t="n"/>
      <c r="D31" s="373" t="n"/>
      <c r="E31" s="399" t="n"/>
      <c r="F31" s="372" t="n"/>
      <c r="G31" s="373" t="n"/>
      <c r="H31" s="399" t="n"/>
      <c r="I31" s="372" t="n"/>
      <c r="J31" s="373" t="n"/>
      <c r="K31" s="399" t="n"/>
      <c r="L31" s="372" t="n"/>
      <c r="M31" s="373" t="n"/>
      <c r="N31" s="399" t="n"/>
      <c r="O31" s="372" t="n"/>
      <c r="P31" s="373" t="n"/>
      <c r="Q31" s="371" t="n"/>
      <c r="R31" s="372" t="n"/>
      <c r="S31" s="373" t="n"/>
      <c r="T31" s="371" t="n"/>
      <c r="U31" s="372" t="n"/>
      <c r="V31" s="373" t="n"/>
      <c r="W31" s="401" t="n"/>
      <c r="X31" s="372" t="n"/>
      <c r="Y31" s="372" t="n"/>
      <c r="Z31" s="372" t="n"/>
      <c r="AA31" s="372" t="n"/>
      <c r="AB31" s="372" t="n"/>
      <c r="AC31" s="372" t="n"/>
      <c r="AD31" s="372" t="n"/>
      <c r="AE31" s="372" t="n"/>
      <c r="AF31" s="372" t="n"/>
      <c r="AG31" s="372" t="n"/>
      <c r="AH31" s="372" t="n"/>
      <c r="AI31" s="372" t="n"/>
      <c r="AJ31" s="372" t="n"/>
      <c r="AK31" s="372" t="n"/>
      <c r="AL31" s="372" t="n"/>
      <c r="AM31" s="372" t="n"/>
      <c r="AN31" s="372" t="n"/>
      <c r="AO31" s="372" t="n"/>
      <c r="AP31" s="372" t="n"/>
      <c r="AQ31" s="372" t="n"/>
      <c r="AR31" s="372" t="n"/>
      <c r="AS31" s="372" t="n"/>
      <c r="AT31" s="372" t="n"/>
      <c r="AU31" s="372" t="n"/>
      <c r="AV31" s="372" t="n"/>
      <c r="AW31" s="372" t="n"/>
      <c r="AX31" s="372" t="n"/>
      <c r="AY31" s="372" t="n"/>
      <c r="AZ31" s="372" t="n"/>
      <c r="BA31" s="372" t="n"/>
      <c r="BB31" s="372" t="n"/>
      <c r="BC31" s="372" t="n"/>
      <c r="BD31" s="372" t="n"/>
      <c r="BE31" s="372" t="n"/>
      <c r="BF31" s="372" t="n"/>
      <c r="BG31" s="372" t="n"/>
      <c r="BH31" s="372" t="n"/>
      <c r="BI31" s="372" t="n"/>
      <c r="BJ31" s="372" t="n"/>
      <c r="BK31" s="372" t="n"/>
      <c r="BL31" s="372" t="n"/>
      <c r="BM31" s="372" t="n"/>
      <c r="BN31" s="372" t="n"/>
      <c r="BO31" s="372" t="n"/>
      <c r="BP31" s="372" t="n"/>
      <c r="BQ31" s="372" t="n"/>
      <c r="BR31" s="372" t="n"/>
      <c r="BS31" s="372" t="n"/>
      <c r="BT31" s="372" t="n"/>
      <c r="BU31" s="372" t="n"/>
      <c r="BV31" s="372" t="n"/>
      <c r="BW31" s="372" t="n"/>
      <c r="BX31" s="372" t="n"/>
      <c r="BY31" s="372" t="n"/>
      <c r="BZ31" s="372" t="n"/>
      <c r="CA31" s="372" t="n"/>
      <c r="CB31" s="372" t="n"/>
      <c r="CC31" s="402" t="n"/>
      <c r="CF31" s="248" t="inlineStr">
        <is>
          <t>移動</t>
        </is>
      </c>
      <c r="CG31" s="377" t="n"/>
      <c r="CH31" s="377" t="n"/>
      <c r="CI31" s="378" t="n"/>
      <c r="CJ31" s="379">
        <f>IF(Q31="作業者1",E34-E31,0)</f>
        <v/>
      </c>
      <c r="CK31" s="377" t="n"/>
      <c r="CL31" s="377" t="n"/>
      <c r="CM31" s="377" t="n"/>
      <c r="CN31" s="378" t="n"/>
      <c r="CP31" s="248" t="inlineStr">
        <is>
          <t>移動</t>
        </is>
      </c>
      <c r="CQ31" s="377" t="n"/>
      <c r="CR31" s="377" t="n"/>
      <c r="CS31" s="378" t="n"/>
      <c r="CT31" s="379">
        <f>IF(Q31="作業者2",E34-E31,0)</f>
        <v/>
      </c>
      <c r="CU31" s="377" t="n"/>
      <c r="CV31" s="377" t="n"/>
      <c r="CW31" s="377" t="n"/>
      <c r="CX31" s="378" t="n"/>
      <c r="CZ31" s="259" t="inlineStr">
        <is>
          <t>移動</t>
        </is>
      </c>
      <c r="DA31" s="403" t="n"/>
      <c r="DB31" s="403" t="n"/>
      <c r="DC31" s="404" t="n"/>
      <c r="DD31" s="405">
        <f>IF(Q31="作業者3",E34-E31,0)</f>
        <v/>
      </c>
      <c r="DE31" s="406" t="n"/>
      <c r="DF31" s="406" t="n"/>
      <c r="DG31" s="406" t="n"/>
      <c r="DH31" s="407" t="n"/>
      <c r="DJ31" s="259" t="inlineStr">
        <is>
          <t>移動</t>
        </is>
      </c>
      <c r="DK31" s="403" t="n"/>
      <c r="DL31" s="403" t="n"/>
      <c r="DM31" s="404" t="n"/>
      <c r="DN31" s="379">
        <f>IF(Q31="作業者4",E34-E31,0)</f>
        <v/>
      </c>
      <c r="DO31" s="377" t="n"/>
      <c r="DP31" s="377" t="n"/>
      <c r="DQ31" s="377" t="n"/>
      <c r="DR31" s="378" t="n"/>
      <c r="DT31" s="259" t="inlineStr">
        <is>
          <t>移動</t>
        </is>
      </c>
      <c r="DU31" s="403" t="n"/>
      <c r="DV31" s="403" t="n"/>
      <c r="DW31" s="404" t="n"/>
      <c r="DX31" s="379">
        <f>IF(Q31="作業者5",E34-E31,0)</f>
        <v/>
      </c>
      <c r="DY31" s="377" t="n"/>
      <c r="DZ31" s="377" t="n"/>
      <c r="EA31" s="377" t="n"/>
      <c r="EB31" s="378" t="n"/>
    </row>
    <row r="32" ht="9" customHeight="1" s="337">
      <c r="B32" s="350" t="n"/>
      <c r="C32" s="338" t="n"/>
      <c r="D32" s="380" t="n"/>
      <c r="E32" s="381" t="n"/>
      <c r="F32" s="122" t="inlineStr">
        <is>
          <t>～</t>
        </is>
      </c>
      <c r="G32" s="22" t="n"/>
      <c r="H32" s="381" t="n"/>
      <c r="I32" s="122" t="inlineStr">
        <is>
          <t>～</t>
        </is>
      </c>
      <c r="J32" s="22" t="n"/>
      <c r="K32" s="381" t="n"/>
      <c r="L32" s="122" t="inlineStr">
        <is>
          <t>～</t>
        </is>
      </c>
      <c r="M32" s="22" t="n"/>
      <c r="N32" s="381" t="n"/>
      <c r="O32" s="122" t="inlineStr">
        <is>
          <t>～</t>
        </is>
      </c>
      <c r="P32" s="22" t="n"/>
      <c r="Q32" s="382" t="n"/>
      <c r="R32" s="338" t="n"/>
      <c r="S32" s="380" t="n"/>
      <c r="T32" s="382" t="n"/>
      <c r="U32" s="338" t="n"/>
      <c r="V32" s="380" t="n"/>
      <c r="W32" s="382" t="n"/>
      <c r="X32" s="338" t="n"/>
      <c r="Y32" s="338" t="n"/>
      <c r="Z32" s="338" t="n"/>
      <c r="AA32" s="338" t="n"/>
      <c r="AB32" s="338" t="n"/>
      <c r="AC32" s="338" t="n"/>
      <c r="AD32" s="338" t="n"/>
      <c r="AE32" s="338" t="n"/>
      <c r="AF32" s="338" t="n"/>
      <c r="AG32" s="338" t="n"/>
      <c r="AH32" s="338" t="n"/>
      <c r="AI32" s="338" t="n"/>
      <c r="AJ32" s="338" t="n"/>
      <c r="AK32" s="338" t="n"/>
      <c r="AL32" s="338" t="n"/>
      <c r="AM32" s="338" t="n"/>
      <c r="AN32" s="338" t="n"/>
      <c r="AO32" s="338" t="n"/>
      <c r="AP32" s="338" t="n"/>
      <c r="AQ32" s="338" t="n"/>
      <c r="AR32" s="338" t="n"/>
      <c r="AS32" s="338" t="n"/>
      <c r="AT32" s="338" t="n"/>
      <c r="AU32" s="338" t="n"/>
      <c r="AV32" s="338" t="n"/>
      <c r="AW32" s="338" t="n"/>
      <c r="AX32" s="338" t="n"/>
      <c r="AY32" s="338" t="n"/>
      <c r="AZ32" s="338" t="n"/>
      <c r="BA32" s="338" t="n"/>
      <c r="BB32" s="338" t="n"/>
      <c r="BC32" s="338" t="n"/>
      <c r="BD32" s="338" t="n"/>
      <c r="BE32" s="338" t="n"/>
      <c r="BF32" s="338" t="n"/>
      <c r="BG32" s="338" t="n"/>
      <c r="BH32" s="338" t="n"/>
      <c r="BI32" s="338" t="n"/>
      <c r="BJ32" s="338" t="n"/>
      <c r="BK32" s="338" t="n"/>
      <c r="BL32" s="338" t="n"/>
      <c r="BM32" s="338" t="n"/>
      <c r="BN32" s="338" t="n"/>
      <c r="BO32" s="338" t="n"/>
      <c r="BP32" s="338" t="n"/>
      <c r="BQ32" s="338" t="n"/>
      <c r="BR32" s="338" t="n"/>
      <c r="BS32" s="338" t="n"/>
      <c r="BT32" s="338" t="n"/>
      <c r="BU32" s="338" t="n"/>
      <c r="BV32" s="338" t="n"/>
      <c r="BW32" s="338" t="n"/>
      <c r="BX32" s="338" t="n"/>
      <c r="BY32" s="338" t="n"/>
      <c r="BZ32" s="338" t="n"/>
      <c r="CA32" s="338" t="n"/>
      <c r="CB32" s="338" t="n"/>
      <c r="CC32" s="383" t="n"/>
      <c r="CF32" s="253" t="inlineStr">
        <is>
          <t>時間内</t>
        </is>
      </c>
      <c r="CG32" s="384" t="n"/>
      <c r="CH32" s="384" t="n"/>
      <c r="CI32" s="385" t="n"/>
      <c r="CJ32" s="386">
        <f>IF(Q31="作業者1",H34-H31,0)</f>
        <v/>
      </c>
      <c r="CK32" s="387" t="n"/>
      <c r="CL32" s="387" t="n"/>
      <c r="CM32" s="387" t="n"/>
      <c r="CN32" s="388" t="n"/>
      <c r="CP32" s="253" t="inlineStr">
        <is>
          <t>時間内</t>
        </is>
      </c>
      <c r="CQ32" s="384" t="n"/>
      <c r="CR32" s="384" t="n"/>
      <c r="CS32" s="385" t="n"/>
      <c r="CT32" s="386">
        <f>IF(Q31="作業者2",H34-H31,0)</f>
        <v/>
      </c>
      <c r="CU32" s="387" t="n"/>
      <c r="CV32" s="387" t="n"/>
      <c r="CW32" s="387" t="n"/>
      <c r="CX32" s="388" t="n"/>
      <c r="CZ32" s="253" t="inlineStr">
        <is>
          <t>時間内</t>
        </is>
      </c>
      <c r="DA32" s="384" t="n"/>
      <c r="DB32" s="384" t="n"/>
      <c r="DC32" s="385" t="n"/>
      <c r="DD32" s="386">
        <f>IF(Q31="作業者3",H34-H31,0)</f>
        <v/>
      </c>
      <c r="DE32" s="387" t="n"/>
      <c r="DF32" s="387" t="n"/>
      <c r="DG32" s="387" t="n"/>
      <c r="DH32" s="388" t="n"/>
      <c r="DJ32" s="253" t="inlineStr">
        <is>
          <t>時間内</t>
        </is>
      </c>
      <c r="DK32" s="384" t="n"/>
      <c r="DL32" s="384" t="n"/>
      <c r="DM32" s="385" t="n"/>
      <c r="DN32" s="386">
        <f>IF(Q31="作業者4",H34-H31,0)</f>
        <v/>
      </c>
      <c r="DO32" s="387" t="n"/>
      <c r="DP32" s="387" t="n"/>
      <c r="DQ32" s="387" t="n"/>
      <c r="DR32" s="388" t="n"/>
      <c r="DT32" s="253" t="inlineStr">
        <is>
          <t>時間内</t>
        </is>
      </c>
      <c r="DU32" s="384" t="n"/>
      <c r="DV32" s="384" t="n"/>
      <c r="DW32" s="385" t="n"/>
      <c r="DX32" s="386">
        <f>IF(Q31="作業者5",H34-H31,0)</f>
        <v/>
      </c>
      <c r="DY32" s="387" t="n"/>
      <c r="DZ32" s="387" t="n"/>
      <c r="EA32" s="387" t="n"/>
      <c r="EB32" s="388" t="n"/>
    </row>
    <row r="33" ht="9" customHeight="1" s="337">
      <c r="B33" s="350" t="n"/>
      <c r="C33" s="338" t="n"/>
      <c r="D33" s="380" t="n"/>
      <c r="E33" s="23" t="n"/>
      <c r="F33" s="338" t="n"/>
      <c r="G33" s="24" t="n"/>
      <c r="H33" s="23" t="n"/>
      <c r="I33" s="338" t="n"/>
      <c r="J33" s="24" t="n"/>
      <c r="K33" s="23" t="n"/>
      <c r="L33" s="338" t="n"/>
      <c r="M33" s="24" t="n"/>
      <c r="N33" s="23" t="n"/>
      <c r="O33" s="338" t="n"/>
      <c r="P33" s="24" t="n"/>
      <c r="Q33" s="382" t="n"/>
      <c r="R33" s="338" t="n"/>
      <c r="S33" s="380" t="n"/>
      <c r="T33" s="382" t="n"/>
      <c r="U33" s="338" t="n"/>
      <c r="V33" s="380" t="n"/>
      <c r="W33" s="382" t="n"/>
      <c r="X33" s="338" t="n"/>
      <c r="Y33" s="338" t="n"/>
      <c r="Z33" s="338" t="n"/>
      <c r="AA33" s="338" t="n"/>
      <c r="AB33" s="338" t="n"/>
      <c r="AC33" s="338" t="n"/>
      <c r="AD33" s="338" t="n"/>
      <c r="AE33" s="338" t="n"/>
      <c r="AF33" s="338" t="n"/>
      <c r="AG33" s="338" t="n"/>
      <c r="AH33" s="338" t="n"/>
      <c r="AI33" s="338" t="n"/>
      <c r="AJ33" s="338" t="n"/>
      <c r="AK33" s="338" t="n"/>
      <c r="AL33" s="338" t="n"/>
      <c r="AM33" s="338" t="n"/>
      <c r="AN33" s="338" t="n"/>
      <c r="AO33" s="338" t="n"/>
      <c r="AP33" s="338" t="n"/>
      <c r="AQ33" s="338" t="n"/>
      <c r="AR33" s="338" t="n"/>
      <c r="AS33" s="338" t="n"/>
      <c r="AT33" s="338" t="n"/>
      <c r="AU33" s="338" t="n"/>
      <c r="AV33" s="338" t="n"/>
      <c r="AW33" s="338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8" t="n"/>
      <c r="BH33" s="338" t="n"/>
      <c r="BI33" s="338" t="n"/>
      <c r="BJ33" s="338" t="n"/>
      <c r="BK33" s="338" t="n"/>
      <c r="BL33" s="338" t="n"/>
      <c r="BM33" s="338" t="n"/>
      <c r="BN33" s="338" t="n"/>
      <c r="BO33" s="338" t="n"/>
      <c r="BP33" s="338" t="n"/>
      <c r="BQ33" s="338" t="n"/>
      <c r="BR33" s="338" t="n"/>
      <c r="BS33" s="338" t="n"/>
      <c r="BT33" s="338" t="n"/>
      <c r="BU33" s="338" t="n"/>
      <c r="BV33" s="338" t="n"/>
      <c r="BW33" s="338" t="n"/>
      <c r="BX33" s="338" t="n"/>
      <c r="BY33" s="338" t="n"/>
      <c r="BZ33" s="338" t="n"/>
      <c r="CA33" s="338" t="n"/>
      <c r="CB33" s="338" t="n"/>
      <c r="CC33" s="383" t="n"/>
      <c r="CF33" s="253" t="inlineStr">
        <is>
          <t>時間外</t>
        </is>
      </c>
      <c r="CG33" s="384" t="n"/>
      <c r="CH33" s="384" t="n"/>
      <c r="CI33" s="385" t="n"/>
      <c r="CJ33" s="386">
        <f>IF(Q31="作業者1",K34-K31,0)</f>
        <v/>
      </c>
      <c r="CK33" s="387" t="n"/>
      <c r="CL33" s="387" t="n"/>
      <c r="CM33" s="387" t="n"/>
      <c r="CN33" s="388" t="n"/>
      <c r="CP33" s="253" t="inlineStr">
        <is>
          <t>時間外</t>
        </is>
      </c>
      <c r="CQ33" s="384" t="n"/>
      <c r="CR33" s="384" t="n"/>
      <c r="CS33" s="385" t="n"/>
      <c r="CT33" s="386">
        <f>IF(Q31="作業者2",K34-K31,0)</f>
        <v/>
      </c>
      <c r="CU33" s="387" t="n"/>
      <c r="CV33" s="387" t="n"/>
      <c r="CW33" s="387" t="n"/>
      <c r="CX33" s="388" t="n"/>
      <c r="CZ33" s="253" t="inlineStr">
        <is>
          <t>時間外</t>
        </is>
      </c>
      <c r="DA33" s="384" t="n"/>
      <c r="DB33" s="384" t="n"/>
      <c r="DC33" s="385" t="n"/>
      <c r="DD33" s="386">
        <f>IF(Q31="作業者3",K34-K31,0)</f>
        <v/>
      </c>
      <c r="DE33" s="387" t="n"/>
      <c r="DF33" s="387" t="n"/>
      <c r="DG33" s="387" t="n"/>
      <c r="DH33" s="388" t="n"/>
      <c r="DJ33" s="253" t="inlineStr">
        <is>
          <t>時間外</t>
        </is>
      </c>
      <c r="DK33" s="384" t="n"/>
      <c r="DL33" s="384" t="n"/>
      <c r="DM33" s="385" t="n"/>
      <c r="DN33" s="386">
        <f>IF(Q31="作業者4",K34-K31,0)</f>
        <v/>
      </c>
      <c r="DO33" s="387" t="n"/>
      <c r="DP33" s="387" t="n"/>
      <c r="DQ33" s="387" t="n"/>
      <c r="DR33" s="388" t="n"/>
      <c r="DT33" s="253" t="inlineStr">
        <is>
          <t>時間外</t>
        </is>
      </c>
      <c r="DU33" s="384" t="n"/>
      <c r="DV33" s="384" t="n"/>
      <c r="DW33" s="385" t="n"/>
      <c r="DX33" s="386">
        <f>IF(Q31="作業者5",K34-K31,0)</f>
        <v/>
      </c>
      <c r="DY33" s="387" t="n"/>
      <c r="DZ33" s="387" t="n"/>
      <c r="EA33" s="387" t="n"/>
      <c r="EB33" s="388" t="n"/>
    </row>
    <row r="34" ht="9" customHeight="1" s="337">
      <c r="B34" s="389" t="n"/>
      <c r="C34" s="390" t="n"/>
      <c r="D34" s="391" t="n"/>
      <c r="E34" s="392" t="n"/>
      <c r="F34" s="390" t="n"/>
      <c r="G34" s="391" t="n"/>
      <c r="H34" s="392" t="n"/>
      <c r="I34" s="390" t="n"/>
      <c r="J34" s="391" t="n"/>
      <c r="K34" s="392" t="n"/>
      <c r="L34" s="390" t="n"/>
      <c r="M34" s="391" t="n"/>
      <c r="N34" s="392" t="n"/>
      <c r="O34" s="390" t="n"/>
      <c r="P34" s="391" t="n"/>
      <c r="Q34" s="393" t="n"/>
      <c r="R34" s="390" t="n"/>
      <c r="S34" s="391" t="n"/>
      <c r="T34" s="393" t="n"/>
      <c r="U34" s="390" t="n"/>
      <c r="V34" s="391" t="n"/>
      <c r="W34" s="393" t="n"/>
      <c r="X34" s="390" t="n"/>
      <c r="Y34" s="390" t="n"/>
      <c r="Z34" s="390" t="n"/>
      <c r="AA34" s="390" t="n"/>
      <c r="AB34" s="390" t="n"/>
      <c r="AC34" s="390" t="n"/>
      <c r="AD34" s="390" t="n"/>
      <c r="AE34" s="390" t="n"/>
      <c r="AF34" s="390" t="n"/>
      <c r="AG34" s="390" t="n"/>
      <c r="AH34" s="390" t="n"/>
      <c r="AI34" s="390" t="n"/>
      <c r="AJ34" s="390" t="n"/>
      <c r="AK34" s="390" t="n"/>
      <c r="AL34" s="390" t="n"/>
      <c r="AM34" s="390" t="n"/>
      <c r="AN34" s="390" t="n"/>
      <c r="AO34" s="390" t="n"/>
      <c r="AP34" s="390" t="n"/>
      <c r="AQ34" s="390" t="n"/>
      <c r="AR34" s="390" t="n"/>
      <c r="AS34" s="390" t="n"/>
      <c r="AT34" s="390" t="n"/>
      <c r="AU34" s="390" t="n"/>
      <c r="AV34" s="390" t="n"/>
      <c r="AW34" s="390" t="n"/>
      <c r="AX34" s="390" t="n"/>
      <c r="AY34" s="390" t="n"/>
      <c r="AZ34" s="390" t="n"/>
      <c r="BA34" s="390" t="n"/>
      <c r="BB34" s="390" t="n"/>
      <c r="BC34" s="390" t="n"/>
      <c r="BD34" s="390" t="n"/>
      <c r="BE34" s="390" t="n"/>
      <c r="BF34" s="390" t="n"/>
      <c r="BG34" s="390" t="n"/>
      <c r="BH34" s="390" t="n"/>
      <c r="BI34" s="390" t="n"/>
      <c r="BJ34" s="390" t="n"/>
      <c r="BK34" s="390" t="n"/>
      <c r="BL34" s="390" t="n"/>
      <c r="BM34" s="390" t="n"/>
      <c r="BN34" s="390" t="n"/>
      <c r="BO34" s="390" t="n"/>
      <c r="BP34" s="390" t="n"/>
      <c r="BQ34" s="390" t="n"/>
      <c r="BR34" s="390" t="n"/>
      <c r="BS34" s="390" t="n"/>
      <c r="BT34" s="390" t="n"/>
      <c r="BU34" s="390" t="n"/>
      <c r="BV34" s="390" t="n"/>
      <c r="BW34" s="390" t="n"/>
      <c r="BX34" s="390" t="n"/>
      <c r="BY34" s="390" t="n"/>
      <c r="BZ34" s="390" t="n"/>
      <c r="CA34" s="390" t="n"/>
      <c r="CB34" s="390" t="n"/>
      <c r="CC34" s="394" t="n"/>
      <c r="CF34" s="254" t="inlineStr">
        <is>
          <t>休日</t>
        </is>
      </c>
      <c r="CG34" s="395" t="n"/>
      <c r="CH34" s="395" t="n"/>
      <c r="CI34" s="396" t="n"/>
      <c r="CJ34" s="397">
        <f>IF(Q31="作業者1",N34-N31,0)</f>
        <v/>
      </c>
      <c r="CK34" s="395" t="n"/>
      <c r="CL34" s="395" t="n"/>
      <c r="CM34" s="395" t="n"/>
      <c r="CN34" s="396" t="n"/>
      <c r="CP34" s="254" t="inlineStr">
        <is>
          <t>休日</t>
        </is>
      </c>
      <c r="CQ34" s="395" t="n"/>
      <c r="CR34" s="395" t="n"/>
      <c r="CS34" s="396" t="n"/>
      <c r="CT34" s="397">
        <f>IF(Q31="作業者2",N34-N31,0)</f>
        <v/>
      </c>
      <c r="CU34" s="395" t="n"/>
      <c r="CV34" s="395" t="n"/>
      <c r="CW34" s="395" t="n"/>
      <c r="CX34" s="396" t="n"/>
      <c r="CZ34" s="254" t="inlineStr">
        <is>
          <t>休日</t>
        </is>
      </c>
      <c r="DA34" s="395" t="n"/>
      <c r="DB34" s="395" t="n"/>
      <c r="DC34" s="396" t="n"/>
      <c r="DD34" s="397">
        <f>IF(Q31="作業者3",N34-N31,0)</f>
        <v/>
      </c>
      <c r="DE34" s="395" t="n"/>
      <c r="DF34" s="395" t="n"/>
      <c r="DG34" s="395" t="n"/>
      <c r="DH34" s="396" t="n"/>
      <c r="DJ34" s="254" t="inlineStr">
        <is>
          <t>休日</t>
        </is>
      </c>
      <c r="DK34" s="395" t="n"/>
      <c r="DL34" s="395" t="n"/>
      <c r="DM34" s="396" t="n"/>
      <c r="DN34" s="397">
        <f>IF(Q31="作業者4",N34-N31,0)</f>
        <v/>
      </c>
      <c r="DO34" s="395" t="n"/>
      <c r="DP34" s="395" t="n"/>
      <c r="DQ34" s="395" t="n"/>
      <c r="DR34" s="396" t="n"/>
      <c r="DT34" s="254" t="inlineStr">
        <is>
          <t>休日</t>
        </is>
      </c>
      <c r="DU34" s="395" t="n"/>
      <c r="DV34" s="395" t="n"/>
      <c r="DW34" s="396" t="n"/>
      <c r="DX34" s="397">
        <f>IF(Q31="作業者5",N34-N31,0)</f>
        <v/>
      </c>
      <c r="DY34" s="395" t="n"/>
      <c r="DZ34" s="395" t="n"/>
      <c r="EA34" s="395" t="n"/>
      <c r="EB34" s="396" t="n"/>
    </row>
    <row r="35" ht="9" customHeight="1" s="337">
      <c r="B35" s="398" t="n"/>
      <c r="C35" s="372" t="n"/>
      <c r="D35" s="373" t="n"/>
      <c r="E35" s="399" t="n"/>
      <c r="F35" s="372" t="n"/>
      <c r="G35" s="373" t="n"/>
      <c r="H35" s="399" t="n"/>
      <c r="I35" s="372" t="n"/>
      <c r="J35" s="373" t="n"/>
      <c r="K35" s="399" t="n"/>
      <c r="L35" s="372" t="n"/>
      <c r="M35" s="373" t="n"/>
      <c r="N35" s="399" t="n"/>
      <c r="O35" s="372" t="n"/>
      <c r="P35" s="373" t="n"/>
      <c r="Q35" s="371" t="n"/>
      <c r="R35" s="372" t="n"/>
      <c r="S35" s="373" t="n"/>
      <c r="T35" s="371" t="n"/>
      <c r="U35" s="372" t="n"/>
      <c r="V35" s="373" t="n"/>
      <c r="W35" s="401" t="n"/>
      <c r="X35" s="372" t="n"/>
      <c r="Y35" s="372" t="n"/>
      <c r="Z35" s="372" t="n"/>
      <c r="AA35" s="372" t="n"/>
      <c r="AB35" s="372" t="n"/>
      <c r="AC35" s="372" t="n"/>
      <c r="AD35" s="372" t="n"/>
      <c r="AE35" s="372" t="n"/>
      <c r="AF35" s="372" t="n"/>
      <c r="AG35" s="372" t="n"/>
      <c r="AH35" s="372" t="n"/>
      <c r="AI35" s="372" t="n"/>
      <c r="AJ35" s="372" t="n"/>
      <c r="AK35" s="372" t="n"/>
      <c r="AL35" s="372" t="n"/>
      <c r="AM35" s="372" t="n"/>
      <c r="AN35" s="372" t="n"/>
      <c r="AO35" s="372" t="n"/>
      <c r="AP35" s="372" t="n"/>
      <c r="AQ35" s="372" t="n"/>
      <c r="AR35" s="372" t="n"/>
      <c r="AS35" s="372" t="n"/>
      <c r="AT35" s="372" t="n"/>
      <c r="AU35" s="372" t="n"/>
      <c r="AV35" s="372" t="n"/>
      <c r="AW35" s="372" t="n"/>
      <c r="AX35" s="372" t="n"/>
      <c r="AY35" s="372" t="n"/>
      <c r="AZ35" s="372" t="n"/>
      <c r="BA35" s="372" t="n"/>
      <c r="BB35" s="372" t="n"/>
      <c r="BC35" s="372" t="n"/>
      <c r="BD35" s="372" t="n"/>
      <c r="BE35" s="372" t="n"/>
      <c r="BF35" s="372" t="n"/>
      <c r="BG35" s="372" t="n"/>
      <c r="BH35" s="372" t="n"/>
      <c r="BI35" s="372" t="n"/>
      <c r="BJ35" s="372" t="n"/>
      <c r="BK35" s="372" t="n"/>
      <c r="BL35" s="372" t="n"/>
      <c r="BM35" s="372" t="n"/>
      <c r="BN35" s="372" t="n"/>
      <c r="BO35" s="372" t="n"/>
      <c r="BP35" s="372" t="n"/>
      <c r="BQ35" s="372" t="n"/>
      <c r="BR35" s="372" t="n"/>
      <c r="BS35" s="372" t="n"/>
      <c r="BT35" s="372" t="n"/>
      <c r="BU35" s="372" t="n"/>
      <c r="BV35" s="372" t="n"/>
      <c r="BW35" s="372" t="n"/>
      <c r="BX35" s="372" t="n"/>
      <c r="BY35" s="372" t="n"/>
      <c r="BZ35" s="372" t="n"/>
      <c r="CA35" s="372" t="n"/>
      <c r="CB35" s="372" t="n"/>
      <c r="CC35" s="402" t="n"/>
      <c r="CF35" s="248" t="inlineStr">
        <is>
          <t>移動</t>
        </is>
      </c>
      <c r="CG35" s="377" t="n"/>
      <c r="CH35" s="377" t="n"/>
      <c r="CI35" s="378" t="n"/>
      <c r="CJ35" s="379">
        <f>IF(Q35="作業者1",E38-E35,0)</f>
        <v/>
      </c>
      <c r="CK35" s="377" t="n"/>
      <c r="CL35" s="377" t="n"/>
      <c r="CM35" s="377" t="n"/>
      <c r="CN35" s="378" t="n"/>
      <c r="CP35" s="248" t="inlineStr">
        <is>
          <t>移動</t>
        </is>
      </c>
      <c r="CQ35" s="377" t="n"/>
      <c r="CR35" s="377" t="n"/>
      <c r="CS35" s="378" t="n"/>
      <c r="CT35" s="379">
        <f>IF(Q35="作業者2",E38-E35,0)</f>
        <v/>
      </c>
      <c r="CU35" s="377" t="n"/>
      <c r="CV35" s="377" t="n"/>
      <c r="CW35" s="377" t="n"/>
      <c r="CX35" s="378" t="n"/>
      <c r="CZ35" s="259" t="inlineStr">
        <is>
          <t>移動</t>
        </is>
      </c>
      <c r="DA35" s="403" t="n"/>
      <c r="DB35" s="403" t="n"/>
      <c r="DC35" s="404" t="n"/>
      <c r="DD35" s="405">
        <f>IF(Q35="作業者3",E38-E35,0)</f>
        <v/>
      </c>
      <c r="DE35" s="406" t="n"/>
      <c r="DF35" s="406" t="n"/>
      <c r="DG35" s="406" t="n"/>
      <c r="DH35" s="407" t="n"/>
      <c r="DJ35" s="259" t="inlineStr">
        <is>
          <t>移動</t>
        </is>
      </c>
      <c r="DK35" s="403" t="n"/>
      <c r="DL35" s="403" t="n"/>
      <c r="DM35" s="404" t="n"/>
      <c r="DN35" s="379">
        <f>IF(Q35="作業者4",E38-E35,0)</f>
        <v/>
      </c>
      <c r="DO35" s="377" t="n"/>
      <c r="DP35" s="377" t="n"/>
      <c r="DQ35" s="377" t="n"/>
      <c r="DR35" s="378" t="n"/>
      <c r="DT35" s="259" t="inlineStr">
        <is>
          <t>移動</t>
        </is>
      </c>
      <c r="DU35" s="403" t="n"/>
      <c r="DV35" s="403" t="n"/>
      <c r="DW35" s="404" t="n"/>
      <c r="DX35" s="379">
        <f>IF(Q35="作業者5",E38-E35,0)</f>
        <v/>
      </c>
      <c r="DY35" s="377" t="n"/>
      <c r="DZ35" s="377" t="n"/>
      <c r="EA35" s="377" t="n"/>
      <c r="EB35" s="378" t="n"/>
    </row>
    <row r="36" ht="9" customHeight="1" s="337">
      <c r="B36" s="350" t="n"/>
      <c r="C36" s="338" t="n"/>
      <c r="D36" s="380" t="n"/>
      <c r="E36" s="381" t="n"/>
      <c r="F36" s="122" t="inlineStr">
        <is>
          <t>～</t>
        </is>
      </c>
      <c r="G36" s="22" t="n"/>
      <c r="H36" s="381" t="n"/>
      <c r="I36" s="122" t="inlineStr">
        <is>
          <t>～</t>
        </is>
      </c>
      <c r="J36" s="22" t="n"/>
      <c r="K36" s="381" t="n"/>
      <c r="L36" s="122" t="inlineStr">
        <is>
          <t>～</t>
        </is>
      </c>
      <c r="M36" s="22" t="n"/>
      <c r="N36" s="381" t="n"/>
      <c r="O36" s="122" t="inlineStr">
        <is>
          <t>～</t>
        </is>
      </c>
      <c r="P36" s="22" t="n"/>
      <c r="Q36" s="382" t="n"/>
      <c r="R36" s="338" t="n"/>
      <c r="S36" s="380" t="n"/>
      <c r="T36" s="382" t="n"/>
      <c r="U36" s="338" t="n"/>
      <c r="V36" s="380" t="n"/>
      <c r="W36" s="382" t="n"/>
      <c r="X36" s="338" t="n"/>
      <c r="Y36" s="338" t="n"/>
      <c r="Z36" s="338" t="n"/>
      <c r="AA36" s="338" t="n"/>
      <c r="AB36" s="338" t="n"/>
      <c r="AC36" s="338" t="n"/>
      <c r="AD36" s="338" t="n"/>
      <c r="AE36" s="338" t="n"/>
      <c r="AF36" s="338" t="n"/>
      <c r="AG36" s="338" t="n"/>
      <c r="AH36" s="338" t="n"/>
      <c r="AI36" s="338" t="n"/>
      <c r="AJ36" s="338" t="n"/>
      <c r="AK36" s="338" t="n"/>
      <c r="AL36" s="338" t="n"/>
      <c r="AM36" s="338" t="n"/>
      <c r="AN36" s="338" t="n"/>
      <c r="AO36" s="338" t="n"/>
      <c r="AP36" s="338" t="n"/>
      <c r="AQ36" s="338" t="n"/>
      <c r="AR36" s="338" t="n"/>
      <c r="AS36" s="338" t="n"/>
      <c r="AT36" s="338" t="n"/>
      <c r="AU36" s="338" t="n"/>
      <c r="AV36" s="338" t="n"/>
      <c r="AW36" s="338" t="n"/>
      <c r="AX36" s="338" t="n"/>
      <c r="AY36" s="338" t="n"/>
      <c r="AZ36" s="338" t="n"/>
      <c r="BA36" s="338" t="n"/>
      <c r="BB36" s="338" t="n"/>
      <c r="BC36" s="338" t="n"/>
      <c r="BD36" s="338" t="n"/>
      <c r="BE36" s="338" t="n"/>
      <c r="BF36" s="338" t="n"/>
      <c r="BG36" s="338" t="n"/>
      <c r="BH36" s="338" t="n"/>
      <c r="BI36" s="338" t="n"/>
      <c r="BJ36" s="338" t="n"/>
      <c r="BK36" s="338" t="n"/>
      <c r="BL36" s="338" t="n"/>
      <c r="BM36" s="338" t="n"/>
      <c r="BN36" s="338" t="n"/>
      <c r="BO36" s="338" t="n"/>
      <c r="BP36" s="338" t="n"/>
      <c r="BQ36" s="338" t="n"/>
      <c r="BR36" s="338" t="n"/>
      <c r="BS36" s="338" t="n"/>
      <c r="BT36" s="338" t="n"/>
      <c r="BU36" s="338" t="n"/>
      <c r="BV36" s="338" t="n"/>
      <c r="BW36" s="338" t="n"/>
      <c r="BX36" s="338" t="n"/>
      <c r="BY36" s="338" t="n"/>
      <c r="BZ36" s="338" t="n"/>
      <c r="CA36" s="338" t="n"/>
      <c r="CB36" s="338" t="n"/>
      <c r="CC36" s="383" t="n"/>
      <c r="CF36" s="253" t="inlineStr">
        <is>
          <t>時間内</t>
        </is>
      </c>
      <c r="CG36" s="384" t="n"/>
      <c r="CH36" s="384" t="n"/>
      <c r="CI36" s="385" t="n"/>
      <c r="CJ36" s="386">
        <f>IF(Q35="作業者1",H38-H35,0)</f>
        <v/>
      </c>
      <c r="CK36" s="387" t="n"/>
      <c r="CL36" s="387" t="n"/>
      <c r="CM36" s="387" t="n"/>
      <c r="CN36" s="388" t="n"/>
      <c r="CP36" s="253" t="inlineStr">
        <is>
          <t>時間内</t>
        </is>
      </c>
      <c r="CQ36" s="384" t="n"/>
      <c r="CR36" s="384" t="n"/>
      <c r="CS36" s="385" t="n"/>
      <c r="CT36" s="386">
        <f>IF(Q35="作業者2",H38-H35,0)</f>
        <v/>
      </c>
      <c r="CU36" s="387" t="n"/>
      <c r="CV36" s="387" t="n"/>
      <c r="CW36" s="387" t="n"/>
      <c r="CX36" s="388" t="n"/>
      <c r="CZ36" s="253" t="inlineStr">
        <is>
          <t>時間内</t>
        </is>
      </c>
      <c r="DA36" s="384" t="n"/>
      <c r="DB36" s="384" t="n"/>
      <c r="DC36" s="385" t="n"/>
      <c r="DD36" s="386">
        <f>IF(Q35="作業者3",H38-H35,0)</f>
        <v/>
      </c>
      <c r="DE36" s="387" t="n"/>
      <c r="DF36" s="387" t="n"/>
      <c r="DG36" s="387" t="n"/>
      <c r="DH36" s="388" t="n"/>
      <c r="DJ36" s="253" t="inlineStr">
        <is>
          <t>時間内</t>
        </is>
      </c>
      <c r="DK36" s="384" t="n"/>
      <c r="DL36" s="384" t="n"/>
      <c r="DM36" s="385" t="n"/>
      <c r="DN36" s="386">
        <f>IF(Q35="作業者4",H38-H35,0)</f>
        <v/>
      </c>
      <c r="DO36" s="387" t="n"/>
      <c r="DP36" s="387" t="n"/>
      <c r="DQ36" s="387" t="n"/>
      <c r="DR36" s="388" t="n"/>
      <c r="DT36" s="253" t="inlineStr">
        <is>
          <t>時間内</t>
        </is>
      </c>
      <c r="DU36" s="384" t="n"/>
      <c r="DV36" s="384" t="n"/>
      <c r="DW36" s="385" t="n"/>
      <c r="DX36" s="386">
        <f>IF(Q35="作業者5",H38-H35,0)</f>
        <v/>
      </c>
      <c r="DY36" s="387" t="n"/>
      <c r="DZ36" s="387" t="n"/>
      <c r="EA36" s="387" t="n"/>
      <c r="EB36" s="388" t="n"/>
    </row>
    <row r="37" ht="9" customHeight="1" s="337">
      <c r="B37" s="350" t="n"/>
      <c r="C37" s="338" t="n"/>
      <c r="D37" s="380" t="n"/>
      <c r="E37" s="23" t="n"/>
      <c r="F37" s="338" t="n"/>
      <c r="G37" s="24" t="n"/>
      <c r="H37" s="23" t="n"/>
      <c r="I37" s="338" t="n"/>
      <c r="J37" s="24" t="n"/>
      <c r="K37" s="23" t="n"/>
      <c r="L37" s="338" t="n"/>
      <c r="M37" s="24" t="n"/>
      <c r="N37" s="23" t="n"/>
      <c r="O37" s="338" t="n"/>
      <c r="P37" s="24" t="n"/>
      <c r="Q37" s="382" t="n"/>
      <c r="R37" s="338" t="n"/>
      <c r="S37" s="380" t="n"/>
      <c r="T37" s="382" t="n"/>
      <c r="U37" s="338" t="n"/>
      <c r="V37" s="380" t="n"/>
      <c r="W37" s="382" t="n"/>
      <c r="X37" s="338" t="n"/>
      <c r="Y37" s="338" t="n"/>
      <c r="Z37" s="338" t="n"/>
      <c r="AA37" s="338" t="n"/>
      <c r="AB37" s="338" t="n"/>
      <c r="AC37" s="338" t="n"/>
      <c r="AD37" s="338" t="n"/>
      <c r="AE37" s="338" t="n"/>
      <c r="AF37" s="338" t="n"/>
      <c r="AG37" s="338" t="n"/>
      <c r="AH37" s="338" t="n"/>
      <c r="AI37" s="338" t="n"/>
      <c r="AJ37" s="338" t="n"/>
      <c r="AK37" s="338" t="n"/>
      <c r="AL37" s="338" t="n"/>
      <c r="AM37" s="338" t="n"/>
      <c r="AN37" s="338" t="n"/>
      <c r="AO37" s="338" t="n"/>
      <c r="AP37" s="338" t="n"/>
      <c r="AQ37" s="338" t="n"/>
      <c r="AR37" s="338" t="n"/>
      <c r="AS37" s="338" t="n"/>
      <c r="AT37" s="338" t="n"/>
      <c r="AU37" s="338" t="n"/>
      <c r="AV37" s="338" t="n"/>
      <c r="AW37" s="338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8" t="n"/>
      <c r="BH37" s="338" t="n"/>
      <c r="BI37" s="338" t="n"/>
      <c r="BJ37" s="338" t="n"/>
      <c r="BK37" s="338" t="n"/>
      <c r="BL37" s="338" t="n"/>
      <c r="BM37" s="338" t="n"/>
      <c r="BN37" s="338" t="n"/>
      <c r="BO37" s="338" t="n"/>
      <c r="BP37" s="338" t="n"/>
      <c r="BQ37" s="338" t="n"/>
      <c r="BR37" s="338" t="n"/>
      <c r="BS37" s="338" t="n"/>
      <c r="BT37" s="338" t="n"/>
      <c r="BU37" s="338" t="n"/>
      <c r="BV37" s="338" t="n"/>
      <c r="BW37" s="338" t="n"/>
      <c r="BX37" s="338" t="n"/>
      <c r="BY37" s="338" t="n"/>
      <c r="BZ37" s="338" t="n"/>
      <c r="CA37" s="338" t="n"/>
      <c r="CB37" s="338" t="n"/>
      <c r="CC37" s="383" t="n"/>
      <c r="CF37" s="253" t="inlineStr">
        <is>
          <t>時間外</t>
        </is>
      </c>
      <c r="CG37" s="384" t="n"/>
      <c r="CH37" s="384" t="n"/>
      <c r="CI37" s="385" t="n"/>
      <c r="CJ37" s="386">
        <f>IF(Q35="作業者1",K38-K35,0)</f>
        <v/>
      </c>
      <c r="CK37" s="387" t="n"/>
      <c r="CL37" s="387" t="n"/>
      <c r="CM37" s="387" t="n"/>
      <c r="CN37" s="388" t="n"/>
      <c r="CP37" s="253" t="inlineStr">
        <is>
          <t>時間外</t>
        </is>
      </c>
      <c r="CQ37" s="384" t="n"/>
      <c r="CR37" s="384" t="n"/>
      <c r="CS37" s="385" t="n"/>
      <c r="CT37" s="386">
        <f>IF(Q35="作業者2",K38-K35,0)</f>
        <v/>
      </c>
      <c r="CU37" s="387" t="n"/>
      <c r="CV37" s="387" t="n"/>
      <c r="CW37" s="387" t="n"/>
      <c r="CX37" s="388" t="n"/>
      <c r="CZ37" s="253" t="inlineStr">
        <is>
          <t>時間外</t>
        </is>
      </c>
      <c r="DA37" s="384" t="n"/>
      <c r="DB37" s="384" t="n"/>
      <c r="DC37" s="385" t="n"/>
      <c r="DD37" s="386">
        <f>IF(Q35="作業者3",K38-K35,0)</f>
        <v/>
      </c>
      <c r="DE37" s="387" t="n"/>
      <c r="DF37" s="387" t="n"/>
      <c r="DG37" s="387" t="n"/>
      <c r="DH37" s="388" t="n"/>
      <c r="DJ37" s="253" t="inlineStr">
        <is>
          <t>時間外</t>
        </is>
      </c>
      <c r="DK37" s="384" t="n"/>
      <c r="DL37" s="384" t="n"/>
      <c r="DM37" s="385" t="n"/>
      <c r="DN37" s="386">
        <f>IF(Q35="作業者4",K38-K35,0)</f>
        <v/>
      </c>
      <c r="DO37" s="387" t="n"/>
      <c r="DP37" s="387" t="n"/>
      <c r="DQ37" s="387" t="n"/>
      <c r="DR37" s="388" t="n"/>
      <c r="DT37" s="253" t="inlineStr">
        <is>
          <t>時間外</t>
        </is>
      </c>
      <c r="DU37" s="384" t="n"/>
      <c r="DV37" s="384" t="n"/>
      <c r="DW37" s="385" t="n"/>
      <c r="DX37" s="386">
        <f>IF(Q35="作業者5",K38-K35,0)</f>
        <v/>
      </c>
      <c r="DY37" s="387" t="n"/>
      <c r="DZ37" s="387" t="n"/>
      <c r="EA37" s="387" t="n"/>
      <c r="EB37" s="388" t="n"/>
    </row>
    <row r="38" ht="9" customHeight="1" s="337">
      <c r="B38" s="389" t="n"/>
      <c r="C38" s="390" t="n"/>
      <c r="D38" s="391" t="n"/>
      <c r="E38" s="392" t="n"/>
      <c r="F38" s="390" t="n"/>
      <c r="G38" s="391" t="n"/>
      <c r="H38" s="392" t="n"/>
      <c r="I38" s="390" t="n"/>
      <c r="J38" s="391" t="n"/>
      <c r="K38" s="392" t="n"/>
      <c r="L38" s="390" t="n"/>
      <c r="M38" s="391" t="n"/>
      <c r="N38" s="392" t="n"/>
      <c r="O38" s="390" t="n"/>
      <c r="P38" s="391" t="n"/>
      <c r="Q38" s="393" t="n"/>
      <c r="R38" s="390" t="n"/>
      <c r="S38" s="391" t="n"/>
      <c r="T38" s="393" t="n"/>
      <c r="U38" s="390" t="n"/>
      <c r="V38" s="391" t="n"/>
      <c r="W38" s="393" t="n"/>
      <c r="X38" s="390" t="n"/>
      <c r="Y38" s="390" t="n"/>
      <c r="Z38" s="390" t="n"/>
      <c r="AA38" s="390" t="n"/>
      <c r="AB38" s="390" t="n"/>
      <c r="AC38" s="390" t="n"/>
      <c r="AD38" s="390" t="n"/>
      <c r="AE38" s="390" t="n"/>
      <c r="AF38" s="390" t="n"/>
      <c r="AG38" s="390" t="n"/>
      <c r="AH38" s="390" t="n"/>
      <c r="AI38" s="390" t="n"/>
      <c r="AJ38" s="390" t="n"/>
      <c r="AK38" s="390" t="n"/>
      <c r="AL38" s="390" t="n"/>
      <c r="AM38" s="390" t="n"/>
      <c r="AN38" s="390" t="n"/>
      <c r="AO38" s="390" t="n"/>
      <c r="AP38" s="390" t="n"/>
      <c r="AQ38" s="390" t="n"/>
      <c r="AR38" s="390" t="n"/>
      <c r="AS38" s="390" t="n"/>
      <c r="AT38" s="390" t="n"/>
      <c r="AU38" s="390" t="n"/>
      <c r="AV38" s="390" t="n"/>
      <c r="AW38" s="390" t="n"/>
      <c r="AX38" s="390" t="n"/>
      <c r="AY38" s="390" t="n"/>
      <c r="AZ38" s="390" t="n"/>
      <c r="BA38" s="390" t="n"/>
      <c r="BB38" s="390" t="n"/>
      <c r="BC38" s="390" t="n"/>
      <c r="BD38" s="390" t="n"/>
      <c r="BE38" s="390" t="n"/>
      <c r="BF38" s="390" t="n"/>
      <c r="BG38" s="390" t="n"/>
      <c r="BH38" s="390" t="n"/>
      <c r="BI38" s="390" t="n"/>
      <c r="BJ38" s="390" t="n"/>
      <c r="BK38" s="390" t="n"/>
      <c r="BL38" s="390" t="n"/>
      <c r="BM38" s="390" t="n"/>
      <c r="BN38" s="390" t="n"/>
      <c r="BO38" s="390" t="n"/>
      <c r="BP38" s="390" t="n"/>
      <c r="BQ38" s="390" t="n"/>
      <c r="BR38" s="390" t="n"/>
      <c r="BS38" s="390" t="n"/>
      <c r="BT38" s="390" t="n"/>
      <c r="BU38" s="390" t="n"/>
      <c r="BV38" s="390" t="n"/>
      <c r="BW38" s="390" t="n"/>
      <c r="BX38" s="390" t="n"/>
      <c r="BY38" s="390" t="n"/>
      <c r="BZ38" s="390" t="n"/>
      <c r="CA38" s="390" t="n"/>
      <c r="CB38" s="390" t="n"/>
      <c r="CC38" s="394" t="n"/>
      <c r="CF38" s="254" t="inlineStr">
        <is>
          <t>休日</t>
        </is>
      </c>
      <c r="CG38" s="395" t="n"/>
      <c r="CH38" s="395" t="n"/>
      <c r="CI38" s="396" t="n"/>
      <c r="CJ38" s="397">
        <f>IF(Q35="作業者1",N38-N35,0)</f>
        <v/>
      </c>
      <c r="CK38" s="395" t="n"/>
      <c r="CL38" s="395" t="n"/>
      <c r="CM38" s="395" t="n"/>
      <c r="CN38" s="396" t="n"/>
      <c r="CP38" s="254" t="inlineStr">
        <is>
          <t>休日</t>
        </is>
      </c>
      <c r="CQ38" s="395" t="n"/>
      <c r="CR38" s="395" t="n"/>
      <c r="CS38" s="396" t="n"/>
      <c r="CT38" s="397">
        <f>IF(Q35="作業者2",N38-N35,0)</f>
        <v/>
      </c>
      <c r="CU38" s="395" t="n"/>
      <c r="CV38" s="395" t="n"/>
      <c r="CW38" s="395" t="n"/>
      <c r="CX38" s="396" t="n"/>
      <c r="CZ38" s="254" t="inlineStr">
        <is>
          <t>休日</t>
        </is>
      </c>
      <c r="DA38" s="395" t="n"/>
      <c r="DB38" s="395" t="n"/>
      <c r="DC38" s="396" t="n"/>
      <c r="DD38" s="397">
        <f>IF(Q35="作業者3",N38-N35,0)</f>
        <v/>
      </c>
      <c r="DE38" s="395" t="n"/>
      <c r="DF38" s="395" t="n"/>
      <c r="DG38" s="395" t="n"/>
      <c r="DH38" s="396" t="n"/>
      <c r="DJ38" s="254" t="inlineStr">
        <is>
          <t>休日</t>
        </is>
      </c>
      <c r="DK38" s="395" t="n"/>
      <c r="DL38" s="395" t="n"/>
      <c r="DM38" s="396" t="n"/>
      <c r="DN38" s="397">
        <f>IF(Q35="作業者4",N38-N35,0)</f>
        <v/>
      </c>
      <c r="DO38" s="395" t="n"/>
      <c r="DP38" s="395" t="n"/>
      <c r="DQ38" s="395" t="n"/>
      <c r="DR38" s="396" t="n"/>
      <c r="DT38" s="254" t="inlineStr">
        <is>
          <t>休日</t>
        </is>
      </c>
      <c r="DU38" s="395" t="n"/>
      <c r="DV38" s="395" t="n"/>
      <c r="DW38" s="396" t="n"/>
      <c r="DX38" s="397">
        <f>IF(Q35="作業者5",N38-N35,0)</f>
        <v/>
      </c>
      <c r="DY38" s="395" t="n"/>
      <c r="DZ38" s="395" t="n"/>
      <c r="EA38" s="395" t="n"/>
      <c r="EB38" s="396" t="n"/>
    </row>
    <row r="39" ht="9" customHeight="1" s="337">
      <c r="B39" s="398" t="n"/>
      <c r="C39" s="372" t="n"/>
      <c r="D39" s="373" t="n"/>
      <c r="E39" s="399" t="n"/>
      <c r="F39" s="372" t="n"/>
      <c r="G39" s="373" t="n"/>
      <c r="H39" s="399" t="n"/>
      <c r="I39" s="372" t="n"/>
      <c r="J39" s="373" t="n"/>
      <c r="K39" s="399" t="n"/>
      <c r="L39" s="372" t="n"/>
      <c r="M39" s="373" t="n"/>
      <c r="N39" s="399" t="n"/>
      <c r="O39" s="372" t="n"/>
      <c r="P39" s="373" t="n"/>
      <c r="Q39" s="371" t="n"/>
      <c r="R39" s="372" t="n"/>
      <c r="S39" s="373" t="n"/>
      <c r="T39" s="371" t="n"/>
      <c r="U39" s="372" t="n"/>
      <c r="V39" s="373" t="n"/>
      <c r="W39" s="401" t="n"/>
      <c r="X39" s="372" t="n"/>
      <c r="Y39" s="372" t="n"/>
      <c r="Z39" s="372" t="n"/>
      <c r="AA39" s="372" t="n"/>
      <c r="AB39" s="372" t="n"/>
      <c r="AC39" s="372" t="n"/>
      <c r="AD39" s="372" t="n"/>
      <c r="AE39" s="372" t="n"/>
      <c r="AF39" s="372" t="n"/>
      <c r="AG39" s="372" t="n"/>
      <c r="AH39" s="372" t="n"/>
      <c r="AI39" s="372" t="n"/>
      <c r="AJ39" s="372" t="n"/>
      <c r="AK39" s="372" t="n"/>
      <c r="AL39" s="372" t="n"/>
      <c r="AM39" s="372" t="n"/>
      <c r="AN39" s="372" t="n"/>
      <c r="AO39" s="372" t="n"/>
      <c r="AP39" s="372" t="n"/>
      <c r="AQ39" s="372" t="n"/>
      <c r="AR39" s="372" t="n"/>
      <c r="AS39" s="372" t="n"/>
      <c r="AT39" s="372" t="n"/>
      <c r="AU39" s="372" t="n"/>
      <c r="AV39" s="372" t="n"/>
      <c r="AW39" s="372" t="n"/>
      <c r="AX39" s="372" t="n"/>
      <c r="AY39" s="372" t="n"/>
      <c r="AZ39" s="372" t="n"/>
      <c r="BA39" s="372" t="n"/>
      <c r="BB39" s="372" t="n"/>
      <c r="BC39" s="372" t="n"/>
      <c r="BD39" s="372" t="n"/>
      <c r="BE39" s="372" t="n"/>
      <c r="BF39" s="372" t="n"/>
      <c r="BG39" s="372" t="n"/>
      <c r="BH39" s="372" t="n"/>
      <c r="BI39" s="372" t="n"/>
      <c r="BJ39" s="372" t="n"/>
      <c r="BK39" s="372" t="n"/>
      <c r="BL39" s="372" t="n"/>
      <c r="BM39" s="372" t="n"/>
      <c r="BN39" s="372" t="n"/>
      <c r="BO39" s="372" t="n"/>
      <c r="BP39" s="372" t="n"/>
      <c r="BQ39" s="372" t="n"/>
      <c r="BR39" s="372" t="n"/>
      <c r="BS39" s="372" t="n"/>
      <c r="BT39" s="372" t="n"/>
      <c r="BU39" s="372" t="n"/>
      <c r="BV39" s="372" t="n"/>
      <c r="BW39" s="372" t="n"/>
      <c r="BX39" s="372" t="n"/>
      <c r="BY39" s="372" t="n"/>
      <c r="BZ39" s="372" t="n"/>
      <c r="CA39" s="372" t="n"/>
      <c r="CB39" s="372" t="n"/>
      <c r="CC39" s="402" t="n"/>
      <c r="CF39" s="248" t="inlineStr">
        <is>
          <t>移動</t>
        </is>
      </c>
      <c r="CG39" s="377" t="n"/>
      <c r="CH39" s="377" t="n"/>
      <c r="CI39" s="378" t="n"/>
      <c r="CJ39" s="379">
        <f>IF(Q39="作業者1",E42-E39,0)</f>
        <v/>
      </c>
      <c r="CK39" s="377" t="n"/>
      <c r="CL39" s="377" t="n"/>
      <c r="CM39" s="377" t="n"/>
      <c r="CN39" s="378" t="n"/>
      <c r="CP39" s="248" t="inlineStr">
        <is>
          <t>移動</t>
        </is>
      </c>
      <c r="CQ39" s="377" t="n"/>
      <c r="CR39" s="377" t="n"/>
      <c r="CS39" s="378" t="n"/>
      <c r="CT39" s="379">
        <f>IF(Q39="作業者2",E42-E39,0)</f>
        <v/>
      </c>
      <c r="CU39" s="377" t="n"/>
      <c r="CV39" s="377" t="n"/>
      <c r="CW39" s="377" t="n"/>
      <c r="CX39" s="378" t="n"/>
      <c r="CZ39" s="259" t="inlineStr">
        <is>
          <t>移動</t>
        </is>
      </c>
      <c r="DA39" s="403" t="n"/>
      <c r="DB39" s="403" t="n"/>
      <c r="DC39" s="404" t="n"/>
      <c r="DD39" s="405">
        <f>IF(Q39="作業者3",E42-E39,0)</f>
        <v/>
      </c>
      <c r="DE39" s="406" t="n"/>
      <c r="DF39" s="406" t="n"/>
      <c r="DG39" s="406" t="n"/>
      <c r="DH39" s="407" t="n"/>
      <c r="DJ39" s="259" t="inlineStr">
        <is>
          <t>移動</t>
        </is>
      </c>
      <c r="DK39" s="403" t="n"/>
      <c r="DL39" s="403" t="n"/>
      <c r="DM39" s="404" t="n"/>
      <c r="DN39" s="379">
        <f>IF(Q39="作業者4",E42-E39,0)</f>
        <v/>
      </c>
      <c r="DO39" s="377" t="n"/>
      <c r="DP39" s="377" t="n"/>
      <c r="DQ39" s="377" t="n"/>
      <c r="DR39" s="378" t="n"/>
      <c r="DT39" s="259" t="inlineStr">
        <is>
          <t>移動</t>
        </is>
      </c>
      <c r="DU39" s="403" t="n"/>
      <c r="DV39" s="403" t="n"/>
      <c r="DW39" s="404" t="n"/>
      <c r="DX39" s="379">
        <f>IF(Q39="作業者5",E42-E39,0)</f>
        <v/>
      </c>
      <c r="DY39" s="377" t="n"/>
      <c r="DZ39" s="377" t="n"/>
      <c r="EA39" s="377" t="n"/>
      <c r="EB39" s="378" t="n"/>
    </row>
    <row r="40" ht="9" customHeight="1" s="337">
      <c r="B40" s="350" t="n"/>
      <c r="C40" s="338" t="n"/>
      <c r="D40" s="380" t="n"/>
      <c r="E40" s="381" t="n"/>
      <c r="F40" s="122" t="inlineStr">
        <is>
          <t>～</t>
        </is>
      </c>
      <c r="G40" s="22" t="n"/>
      <c r="H40" s="381" t="n"/>
      <c r="I40" s="122" t="inlineStr">
        <is>
          <t>～</t>
        </is>
      </c>
      <c r="J40" s="22" t="n"/>
      <c r="K40" s="381" t="n"/>
      <c r="L40" s="122" t="inlineStr">
        <is>
          <t>～</t>
        </is>
      </c>
      <c r="M40" s="22" t="n"/>
      <c r="N40" s="381" t="n"/>
      <c r="O40" s="122" t="inlineStr">
        <is>
          <t>～</t>
        </is>
      </c>
      <c r="P40" s="22" t="n"/>
      <c r="Q40" s="382" t="n"/>
      <c r="R40" s="338" t="n"/>
      <c r="S40" s="380" t="n"/>
      <c r="T40" s="382" t="n"/>
      <c r="U40" s="338" t="n"/>
      <c r="V40" s="380" t="n"/>
      <c r="W40" s="382" t="n"/>
      <c r="X40" s="338" t="n"/>
      <c r="Y40" s="338" t="n"/>
      <c r="Z40" s="338" t="n"/>
      <c r="AA40" s="338" t="n"/>
      <c r="AB40" s="338" t="n"/>
      <c r="AC40" s="338" t="n"/>
      <c r="AD40" s="338" t="n"/>
      <c r="AE40" s="338" t="n"/>
      <c r="AF40" s="338" t="n"/>
      <c r="AG40" s="338" t="n"/>
      <c r="AH40" s="338" t="n"/>
      <c r="AI40" s="338" t="n"/>
      <c r="AJ40" s="338" t="n"/>
      <c r="AK40" s="338" t="n"/>
      <c r="AL40" s="338" t="n"/>
      <c r="AM40" s="338" t="n"/>
      <c r="AN40" s="338" t="n"/>
      <c r="AO40" s="338" t="n"/>
      <c r="AP40" s="338" t="n"/>
      <c r="AQ40" s="338" t="n"/>
      <c r="AR40" s="338" t="n"/>
      <c r="AS40" s="338" t="n"/>
      <c r="AT40" s="338" t="n"/>
      <c r="AU40" s="338" t="n"/>
      <c r="AV40" s="338" t="n"/>
      <c r="AW40" s="338" t="n"/>
      <c r="AX40" s="338" t="n"/>
      <c r="AY40" s="338" t="n"/>
      <c r="AZ40" s="338" t="n"/>
      <c r="BA40" s="338" t="n"/>
      <c r="BB40" s="338" t="n"/>
      <c r="BC40" s="338" t="n"/>
      <c r="BD40" s="338" t="n"/>
      <c r="BE40" s="338" t="n"/>
      <c r="BF40" s="338" t="n"/>
      <c r="BG40" s="338" t="n"/>
      <c r="BH40" s="338" t="n"/>
      <c r="BI40" s="338" t="n"/>
      <c r="BJ40" s="338" t="n"/>
      <c r="BK40" s="338" t="n"/>
      <c r="BL40" s="338" t="n"/>
      <c r="BM40" s="338" t="n"/>
      <c r="BN40" s="338" t="n"/>
      <c r="BO40" s="338" t="n"/>
      <c r="BP40" s="338" t="n"/>
      <c r="BQ40" s="338" t="n"/>
      <c r="BR40" s="338" t="n"/>
      <c r="BS40" s="338" t="n"/>
      <c r="BT40" s="338" t="n"/>
      <c r="BU40" s="338" t="n"/>
      <c r="BV40" s="338" t="n"/>
      <c r="BW40" s="338" t="n"/>
      <c r="BX40" s="338" t="n"/>
      <c r="BY40" s="338" t="n"/>
      <c r="BZ40" s="338" t="n"/>
      <c r="CA40" s="338" t="n"/>
      <c r="CB40" s="338" t="n"/>
      <c r="CC40" s="383" t="n"/>
      <c r="CF40" s="253" t="inlineStr">
        <is>
          <t>時間内</t>
        </is>
      </c>
      <c r="CG40" s="384" t="n"/>
      <c r="CH40" s="384" t="n"/>
      <c r="CI40" s="385" t="n"/>
      <c r="CJ40" s="386">
        <f>IF(Q39="作業者1",H42-H39,0)</f>
        <v/>
      </c>
      <c r="CK40" s="387" t="n"/>
      <c r="CL40" s="387" t="n"/>
      <c r="CM40" s="387" t="n"/>
      <c r="CN40" s="388" t="n"/>
      <c r="CP40" s="253" t="inlineStr">
        <is>
          <t>時間内</t>
        </is>
      </c>
      <c r="CQ40" s="384" t="n"/>
      <c r="CR40" s="384" t="n"/>
      <c r="CS40" s="385" t="n"/>
      <c r="CT40" s="386">
        <f>IF(Q39="作業者2",H42-H39,0)</f>
        <v/>
      </c>
      <c r="CU40" s="387" t="n"/>
      <c r="CV40" s="387" t="n"/>
      <c r="CW40" s="387" t="n"/>
      <c r="CX40" s="388" t="n"/>
      <c r="CZ40" s="253" t="inlineStr">
        <is>
          <t>時間内</t>
        </is>
      </c>
      <c r="DA40" s="384" t="n"/>
      <c r="DB40" s="384" t="n"/>
      <c r="DC40" s="385" t="n"/>
      <c r="DD40" s="386">
        <f>IF(Q39="作業者3",H42-H39,0)</f>
        <v/>
      </c>
      <c r="DE40" s="387" t="n"/>
      <c r="DF40" s="387" t="n"/>
      <c r="DG40" s="387" t="n"/>
      <c r="DH40" s="388" t="n"/>
      <c r="DJ40" s="253" t="inlineStr">
        <is>
          <t>時間内</t>
        </is>
      </c>
      <c r="DK40" s="384" t="n"/>
      <c r="DL40" s="384" t="n"/>
      <c r="DM40" s="385" t="n"/>
      <c r="DN40" s="386">
        <f>IF(Q39="作業者4",H42-H39,0)</f>
        <v/>
      </c>
      <c r="DO40" s="387" t="n"/>
      <c r="DP40" s="387" t="n"/>
      <c r="DQ40" s="387" t="n"/>
      <c r="DR40" s="388" t="n"/>
      <c r="DT40" s="253" t="inlineStr">
        <is>
          <t>時間内</t>
        </is>
      </c>
      <c r="DU40" s="384" t="n"/>
      <c r="DV40" s="384" t="n"/>
      <c r="DW40" s="385" t="n"/>
      <c r="DX40" s="386">
        <f>IF(Q39="作業者5",H42-H39,0)</f>
        <v/>
      </c>
      <c r="DY40" s="387" t="n"/>
      <c r="DZ40" s="387" t="n"/>
      <c r="EA40" s="387" t="n"/>
      <c r="EB40" s="388" t="n"/>
    </row>
    <row r="41" ht="9" customHeight="1" s="337">
      <c r="B41" s="350" t="n"/>
      <c r="C41" s="338" t="n"/>
      <c r="D41" s="380" t="n"/>
      <c r="E41" s="23" t="n"/>
      <c r="F41" s="338" t="n"/>
      <c r="G41" s="24" t="n"/>
      <c r="H41" s="23" t="n"/>
      <c r="I41" s="338" t="n"/>
      <c r="J41" s="24" t="n"/>
      <c r="K41" s="23" t="n"/>
      <c r="L41" s="338" t="n"/>
      <c r="M41" s="24" t="n"/>
      <c r="N41" s="23" t="n"/>
      <c r="O41" s="338" t="n"/>
      <c r="P41" s="24" t="n"/>
      <c r="Q41" s="382" t="n"/>
      <c r="R41" s="338" t="n"/>
      <c r="S41" s="380" t="n"/>
      <c r="T41" s="382" t="n"/>
      <c r="U41" s="338" t="n"/>
      <c r="V41" s="380" t="n"/>
      <c r="W41" s="382" t="n"/>
      <c r="X41" s="338" t="n"/>
      <c r="Y41" s="338" t="n"/>
      <c r="Z41" s="338" t="n"/>
      <c r="AA41" s="338" t="n"/>
      <c r="AB41" s="338" t="n"/>
      <c r="AC41" s="338" t="n"/>
      <c r="AD41" s="338" t="n"/>
      <c r="AE41" s="338" t="n"/>
      <c r="AF41" s="338" t="n"/>
      <c r="AG41" s="338" t="n"/>
      <c r="AH41" s="338" t="n"/>
      <c r="AI41" s="338" t="n"/>
      <c r="AJ41" s="338" t="n"/>
      <c r="AK41" s="338" t="n"/>
      <c r="AL41" s="338" t="n"/>
      <c r="AM41" s="338" t="n"/>
      <c r="AN41" s="338" t="n"/>
      <c r="AO41" s="338" t="n"/>
      <c r="AP41" s="338" t="n"/>
      <c r="AQ41" s="338" t="n"/>
      <c r="AR41" s="338" t="n"/>
      <c r="AS41" s="338" t="n"/>
      <c r="AT41" s="338" t="n"/>
      <c r="AU41" s="338" t="n"/>
      <c r="AV41" s="338" t="n"/>
      <c r="AW41" s="338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8" t="n"/>
      <c r="BH41" s="338" t="n"/>
      <c r="BI41" s="338" t="n"/>
      <c r="BJ41" s="338" t="n"/>
      <c r="BK41" s="338" t="n"/>
      <c r="BL41" s="338" t="n"/>
      <c r="BM41" s="338" t="n"/>
      <c r="BN41" s="338" t="n"/>
      <c r="BO41" s="338" t="n"/>
      <c r="BP41" s="338" t="n"/>
      <c r="BQ41" s="338" t="n"/>
      <c r="BR41" s="338" t="n"/>
      <c r="BS41" s="338" t="n"/>
      <c r="BT41" s="338" t="n"/>
      <c r="BU41" s="338" t="n"/>
      <c r="BV41" s="338" t="n"/>
      <c r="BW41" s="338" t="n"/>
      <c r="BX41" s="338" t="n"/>
      <c r="BY41" s="338" t="n"/>
      <c r="BZ41" s="338" t="n"/>
      <c r="CA41" s="338" t="n"/>
      <c r="CB41" s="338" t="n"/>
      <c r="CC41" s="383" t="n"/>
      <c r="CF41" s="253" t="inlineStr">
        <is>
          <t>時間外</t>
        </is>
      </c>
      <c r="CG41" s="384" t="n"/>
      <c r="CH41" s="384" t="n"/>
      <c r="CI41" s="385" t="n"/>
      <c r="CJ41" s="386">
        <f>IF(Q39="作業者1",K42-K39,0)</f>
        <v/>
      </c>
      <c r="CK41" s="387" t="n"/>
      <c r="CL41" s="387" t="n"/>
      <c r="CM41" s="387" t="n"/>
      <c r="CN41" s="388" t="n"/>
      <c r="CP41" s="253" t="inlineStr">
        <is>
          <t>時間外</t>
        </is>
      </c>
      <c r="CQ41" s="384" t="n"/>
      <c r="CR41" s="384" t="n"/>
      <c r="CS41" s="385" t="n"/>
      <c r="CT41" s="386">
        <f>IF(Q39="作業者2",K42-K39,0)</f>
        <v/>
      </c>
      <c r="CU41" s="387" t="n"/>
      <c r="CV41" s="387" t="n"/>
      <c r="CW41" s="387" t="n"/>
      <c r="CX41" s="388" t="n"/>
      <c r="CZ41" s="253" t="inlineStr">
        <is>
          <t>時間外</t>
        </is>
      </c>
      <c r="DA41" s="384" t="n"/>
      <c r="DB41" s="384" t="n"/>
      <c r="DC41" s="385" t="n"/>
      <c r="DD41" s="386">
        <f>IF(Q39="作業者3",K42-K39,0)</f>
        <v/>
      </c>
      <c r="DE41" s="387" t="n"/>
      <c r="DF41" s="387" t="n"/>
      <c r="DG41" s="387" t="n"/>
      <c r="DH41" s="388" t="n"/>
      <c r="DJ41" s="253" t="inlineStr">
        <is>
          <t>時間外</t>
        </is>
      </c>
      <c r="DK41" s="384" t="n"/>
      <c r="DL41" s="384" t="n"/>
      <c r="DM41" s="385" t="n"/>
      <c r="DN41" s="386">
        <f>IF(Q39="作業者4",K42-K39,0)</f>
        <v/>
      </c>
      <c r="DO41" s="387" t="n"/>
      <c r="DP41" s="387" t="n"/>
      <c r="DQ41" s="387" t="n"/>
      <c r="DR41" s="388" t="n"/>
      <c r="DT41" s="253" t="inlineStr">
        <is>
          <t>時間外</t>
        </is>
      </c>
      <c r="DU41" s="384" t="n"/>
      <c r="DV41" s="384" t="n"/>
      <c r="DW41" s="385" t="n"/>
      <c r="DX41" s="386">
        <f>IF(Q39="作業者5",K42-K39,0)</f>
        <v/>
      </c>
      <c r="DY41" s="387" t="n"/>
      <c r="DZ41" s="387" t="n"/>
      <c r="EA41" s="387" t="n"/>
      <c r="EB41" s="388" t="n"/>
    </row>
    <row r="42" ht="9" customHeight="1" s="337">
      <c r="B42" s="389" t="n"/>
      <c r="C42" s="390" t="n"/>
      <c r="D42" s="391" t="n"/>
      <c r="E42" s="392" t="n"/>
      <c r="F42" s="390" t="n"/>
      <c r="G42" s="391" t="n"/>
      <c r="H42" s="392" t="n"/>
      <c r="I42" s="390" t="n"/>
      <c r="J42" s="391" t="n"/>
      <c r="K42" s="392" t="n"/>
      <c r="L42" s="390" t="n"/>
      <c r="M42" s="391" t="n"/>
      <c r="N42" s="392" t="n"/>
      <c r="O42" s="390" t="n"/>
      <c r="P42" s="391" t="n"/>
      <c r="Q42" s="393" t="n"/>
      <c r="R42" s="390" t="n"/>
      <c r="S42" s="391" t="n"/>
      <c r="T42" s="393" t="n"/>
      <c r="U42" s="390" t="n"/>
      <c r="V42" s="391" t="n"/>
      <c r="W42" s="393" t="n"/>
      <c r="X42" s="390" t="n"/>
      <c r="Y42" s="390" t="n"/>
      <c r="Z42" s="390" t="n"/>
      <c r="AA42" s="390" t="n"/>
      <c r="AB42" s="390" t="n"/>
      <c r="AC42" s="390" t="n"/>
      <c r="AD42" s="390" t="n"/>
      <c r="AE42" s="390" t="n"/>
      <c r="AF42" s="390" t="n"/>
      <c r="AG42" s="390" t="n"/>
      <c r="AH42" s="390" t="n"/>
      <c r="AI42" s="390" t="n"/>
      <c r="AJ42" s="390" t="n"/>
      <c r="AK42" s="390" t="n"/>
      <c r="AL42" s="390" t="n"/>
      <c r="AM42" s="390" t="n"/>
      <c r="AN42" s="390" t="n"/>
      <c r="AO42" s="390" t="n"/>
      <c r="AP42" s="390" t="n"/>
      <c r="AQ42" s="390" t="n"/>
      <c r="AR42" s="390" t="n"/>
      <c r="AS42" s="390" t="n"/>
      <c r="AT42" s="390" t="n"/>
      <c r="AU42" s="390" t="n"/>
      <c r="AV42" s="390" t="n"/>
      <c r="AW42" s="390" t="n"/>
      <c r="AX42" s="390" t="n"/>
      <c r="AY42" s="390" t="n"/>
      <c r="AZ42" s="390" t="n"/>
      <c r="BA42" s="390" t="n"/>
      <c r="BB42" s="390" t="n"/>
      <c r="BC42" s="390" t="n"/>
      <c r="BD42" s="390" t="n"/>
      <c r="BE42" s="390" t="n"/>
      <c r="BF42" s="390" t="n"/>
      <c r="BG42" s="390" t="n"/>
      <c r="BH42" s="390" t="n"/>
      <c r="BI42" s="390" t="n"/>
      <c r="BJ42" s="390" t="n"/>
      <c r="BK42" s="390" t="n"/>
      <c r="BL42" s="390" t="n"/>
      <c r="BM42" s="390" t="n"/>
      <c r="BN42" s="390" t="n"/>
      <c r="BO42" s="390" t="n"/>
      <c r="BP42" s="390" t="n"/>
      <c r="BQ42" s="390" t="n"/>
      <c r="BR42" s="390" t="n"/>
      <c r="BS42" s="390" t="n"/>
      <c r="BT42" s="390" t="n"/>
      <c r="BU42" s="390" t="n"/>
      <c r="BV42" s="390" t="n"/>
      <c r="BW42" s="390" t="n"/>
      <c r="BX42" s="390" t="n"/>
      <c r="BY42" s="390" t="n"/>
      <c r="BZ42" s="390" t="n"/>
      <c r="CA42" s="390" t="n"/>
      <c r="CB42" s="390" t="n"/>
      <c r="CC42" s="394" t="n"/>
      <c r="CF42" s="254" t="inlineStr">
        <is>
          <t>休日</t>
        </is>
      </c>
      <c r="CG42" s="395" t="n"/>
      <c r="CH42" s="395" t="n"/>
      <c r="CI42" s="396" t="n"/>
      <c r="CJ42" s="397">
        <f>IF(Q39="作業者1",N42-N39,0)</f>
        <v/>
      </c>
      <c r="CK42" s="395" t="n"/>
      <c r="CL42" s="395" t="n"/>
      <c r="CM42" s="395" t="n"/>
      <c r="CN42" s="396" t="n"/>
      <c r="CP42" s="254" t="inlineStr">
        <is>
          <t>休日</t>
        </is>
      </c>
      <c r="CQ42" s="395" t="n"/>
      <c r="CR42" s="395" t="n"/>
      <c r="CS42" s="396" t="n"/>
      <c r="CT42" s="397">
        <f>IF(Q39="作業者2",N42-N39,0)</f>
        <v/>
      </c>
      <c r="CU42" s="395" t="n"/>
      <c r="CV42" s="395" t="n"/>
      <c r="CW42" s="395" t="n"/>
      <c r="CX42" s="396" t="n"/>
      <c r="CZ42" s="254" t="inlineStr">
        <is>
          <t>休日</t>
        </is>
      </c>
      <c r="DA42" s="395" t="n"/>
      <c r="DB42" s="395" t="n"/>
      <c r="DC42" s="396" t="n"/>
      <c r="DD42" s="397">
        <f>IF(Q39="作業者3",N42-N39,0)</f>
        <v/>
      </c>
      <c r="DE42" s="395" t="n"/>
      <c r="DF42" s="395" t="n"/>
      <c r="DG42" s="395" t="n"/>
      <c r="DH42" s="396" t="n"/>
      <c r="DJ42" s="254" t="inlineStr">
        <is>
          <t>休日</t>
        </is>
      </c>
      <c r="DK42" s="395" t="n"/>
      <c r="DL42" s="395" t="n"/>
      <c r="DM42" s="396" t="n"/>
      <c r="DN42" s="397">
        <f>IF(Q39="作業者4",N42-N39,0)</f>
        <v/>
      </c>
      <c r="DO42" s="395" t="n"/>
      <c r="DP42" s="395" t="n"/>
      <c r="DQ42" s="395" t="n"/>
      <c r="DR42" s="396" t="n"/>
      <c r="DT42" s="254" t="inlineStr">
        <is>
          <t>休日</t>
        </is>
      </c>
      <c r="DU42" s="395" t="n"/>
      <c r="DV42" s="395" t="n"/>
      <c r="DW42" s="396" t="n"/>
      <c r="DX42" s="397">
        <f>IF(Q39="作業者5",N42-N39,0)</f>
        <v/>
      </c>
      <c r="DY42" s="395" t="n"/>
      <c r="DZ42" s="395" t="n"/>
      <c r="EA42" s="395" t="n"/>
      <c r="EB42" s="396" t="n"/>
    </row>
    <row r="43" ht="9" customHeight="1" s="337">
      <c r="B43" s="398" t="n"/>
      <c r="C43" s="372" t="n"/>
      <c r="D43" s="373" t="n"/>
      <c r="E43" s="399" t="n"/>
      <c r="F43" s="372" t="n"/>
      <c r="G43" s="373" t="n"/>
      <c r="H43" s="399" t="n"/>
      <c r="I43" s="372" t="n"/>
      <c r="J43" s="373" t="n"/>
      <c r="K43" s="399" t="n"/>
      <c r="L43" s="372" t="n"/>
      <c r="M43" s="373" t="n"/>
      <c r="N43" s="399" t="n"/>
      <c r="O43" s="372" t="n"/>
      <c r="P43" s="373" t="n"/>
      <c r="Q43" s="371" t="n"/>
      <c r="R43" s="372" t="n"/>
      <c r="S43" s="373" t="n"/>
      <c r="T43" s="371" t="n"/>
      <c r="U43" s="372" t="n"/>
      <c r="V43" s="373" t="n"/>
      <c r="W43" s="401" t="n"/>
      <c r="X43" s="372" t="n"/>
      <c r="Y43" s="372" t="n"/>
      <c r="Z43" s="372" t="n"/>
      <c r="AA43" s="372" t="n"/>
      <c r="AB43" s="372" t="n"/>
      <c r="AC43" s="372" t="n"/>
      <c r="AD43" s="372" t="n"/>
      <c r="AE43" s="372" t="n"/>
      <c r="AF43" s="372" t="n"/>
      <c r="AG43" s="372" t="n"/>
      <c r="AH43" s="372" t="n"/>
      <c r="AI43" s="372" t="n"/>
      <c r="AJ43" s="372" t="n"/>
      <c r="AK43" s="372" t="n"/>
      <c r="AL43" s="372" t="n"/>
      <c r="AM43" s="372" t="n"/>
      <c r="AN43" s="372" t="n"/>
      <c r="AO43" s="372" t="n"/>
      <c r="AP43" s="372" t="n"/>
      <c r="AQ43" s="372" t="n"/>
      <c r="AR43" s="372" t="n"/>
      <c r="AS43" s="372" t="n"/>
      <c r="AT43" s="372" t="n"/>
      <c r="AU43" s="372" t="n"/>
      <c r="AV43" s="372" t="n"/>
      <c r="AW43" s="372" t="n"/>
      <c r="AX43" s="372" t="n"/>
      <c r="AY43" s="372" t="n"/>
      <c r="AZ43" s="372" t="n"/>
      <c r="BA43" s="372" t="n"/>
      <c r="BB43" s="372" t="n"/>
      <c r="BC43" s="372" t="n"/>
      <c r="BD43" s="372" t="n"/>
      <c r="BE43" s="372" t="n"/>
      <c r="BF43" s="372" t="n"/>
      <c r="BG43" s="372" t="n"/>
      <c r="BH43" s="372" t="n"/>
      <c r="BI43" s="372" t="n"/>
      <c r="BJ43" s="372" t="n"/>
      <c r="BK43" s="372" t="n"/>
      <c r="BL43" s="372" t="n"/>
      <c r="BM43" s="372" t="n"/>
      <c r="BN43" s="372" t="n"/>
      <c r="BO43" s="372" t="n"/>
      <c r="BP43" s="372" t="n"/>
      <c r="BQ43" s="372" t="n"/>
      <c r="BR43" s="372" t="n"/>
      <c r="BS43" s="372" t="n"/>
      <c r="BT43" s="372" t="n"/>
      <c r="BU43" s="372" t="n"/>
      <c r="BV43" s="372" t="n"/>
      <c r="BW43" s="372" t="n"/>
      <c r="BX43" s="372" t="n"/>
      <c r="BY43" s="372" t="n"/>
      <c r="BZ43" s="372" t="n"/>
      <c r="CA43" s="372" t="n"/>
      <c r="CB43" s="372" t="n"/>
      <c r="CC43" s="402" t="n"/>
      <c r="CF43" s="248" t="inlineStr">
        <is>
          <t>移動</t>
        </is>
      </c>
      <c r="CG43" s="377" t="n"/>
      <c r="CH43" s="377" t="n"/>
      <c r="CI43" s="378" t="n"/>
      <c r="CJ43" s="379">
        <f>IF(Q43="作業者1",E46-E43,0)</f>
        <v/>
      </c>
      <c r="CK43" s="377" t="n"/>
      <c r="CL43" s="377" t="n"/>
      <c r="CM43" s="377" t="n"/>
      <c r="CN43" s="378" t="n"/>
      <c r="CP43" s="248" t="inlineStr">
        <is>
          <t>移動</t>
        </is>
      </c>
      <c r="CQ43" s="377" t="n"/>
      <c r="CR43" s="377" t="n"/>
      <c r="CS43" s="378" t="n"/>
      <c r="CT43" s="379">
        <f>IF(Q43="作業者2",E46-E43,0)</f>
        <v/>
      </c>
      <c r="CU43" s="377" t="n"/>
      <c r="CV43" s="377" t="n"/>
      <c r="CW43" s="377" t="n"/>
      <c r="CX43" s="378" t="n"/>
      <c r="CZ43" s="259" t="inlineStr">
        <is>
          <t>移動</t>
        </is>
      </c>
      <c r="DA43" s="403" t="n"/>
      <c r="DB43" s="403" t="n"/>
      <c r="DC43" s="404" t="n"/>
      <c r="DD43" s="405">
        <f>IF(Q43="作業者3",E46-E43,0)</f>
        <v/>
      </c>
      <c r="DE43" s="406" t="n"/>
      <c r="DF43" s="406" t="n"/>
      <c r="DG43" s="406" t="n"/>
      <c r="DH43" s="407" t="n"/>
      <c r="DJ43" s="259" t="inlineStr">
        <is>
          <t>移動</t>
        </is>
      </c>
      <c r="DK43" s="403" t="n"/>
      <c r="DL43" s="403" t="n"/>
      <c r="DM43" s="404" t="n"/>
      <c r="DN43" s="379">
        <f>IF(Q43="作業者4",E46-E43,0)</f>
        <v/>
      </c>
      <c r="DO43" s="377" t="n"/>
      <c r="DP43" s="377" t="n"/>
      <c r="DQ43" s="377" t="n"/>
      <c r="DR43" s="378" t="n"/>
      <c r="DT43" s="259" t="inlineStr">
        <is>
          <t>移動</t>
        </is>
      </c>
      <c r="DU43" s="403" t="n"/>
      <c r="DV43" s="403" t="n"/>
      <c r="DW43" s="404" t="n"/>
      <c r="DX43" s="379">
        <f>IF(Q43="作業者5",E46-E43,0)</f>
        <v/>
      </c>
      <c r="DY43" s="377" t="n"/>
      <c r="DZ43" s="377" t="n"/>
      <c r="EA43" s="377" t="n"/>
      <c r="EB43" s="378" t="n"/>
    </row>
    <row r="44" ht="9" customHeight="1" s="337">
      <c r="B44" s="350" t="n"/>
      <c r="C44" s="338" t="n"/>
      <c r="D44" s="380" t="n"/>
      <c r="E44" s="381" t="n"/>
      <c r="F44" s="122" t="inlineStr">
        <is>
          <t>～</t>
        </is>
      </c>
      <c r="G44" s="22" t="n"/>
      <c r="H44" s="381" t="n"/>
      <c r="I44" s="122" t="inlineStr">
        <is>
          <t>～</t>
        </is>
      </c>
      <c r="J44" s="22" t="n"/>
      <c r="K44" s="381" t="n"/>
      <c r="L44" s="122" t="inlineStr">
        <is>
          <t>～</t>
        </is>
      </c>
      <c r="M44" s="22" t="n"/>
      <c r="N44" s="381" t="n"/>
      <c r="O44" s="122" t="inlineStr">
        <is>
          <t>～</t>
        </is>
      </c>
      <c r="P44" s="22" t="n"/>
      <c r="Q44" s="382" t="n"/>
      <c r="R44" s="338" t="n"/>
      <c r="S44" s="380" t="n"/>
      <c r="T44" s="382" t="n"/>
      <c r="U44" s="338" t="n"/>
      <c r="V44" s="380" t="n"/>
      <c r="W44" s="382" t="n"/>
      <c r="X44" s="338" t="n"/>
      <c r="Y44" s="338" t="n"/>
      <c r="Z44" s="338" t="n"/>
      <c r="AA44" s="338" t="n"/>
      <c r="AB44" s="338" t="n"/>
      <c r="AC44" s="338" t="n"/>
      <c r="AD44" s="338" t="n"/>
      <c r="AE44" s="338" t="n"/>
      <c r="AF44" s="338" t="n"/>
      <c r="AG44" s="338" t="n"/>
      <c r="AH44" s="338" t="n"/>
      <c r="AI44" s="338" t="n"/>
      <c r="AJ44" s="338" t="n"/>
      <c r="AK44" s="338" t="n"/>
      <c r="AL44" s="338" t="n"/>
      <c r="AM44" s="338" t="n"/>
      <c r="AN44" s="338" t="n"/>
      <c r="AO44" s="338" t="n"/>
      <c r="AP44" s="338" t="n"/>
      <c r="AQ44" s="338" t="n"/>
      <c r="AR44" s="338" t="n"/>
      <c r="AS44" s="338" t="n"/>
      <c r="AT44" s="338" t="n"/>
      <c r="AU44" s="338" t="n"/>
      <c r="AV44" s="338" t="n"/>
      <c r="AW44" s="338" t="n"/>
      <c r="AX44" s="338" t="n"/>
      <c r="AY44" s="338" t="n"/>
      <c r="AZ44" s="338" t="n"/>
      <c r="BA44" s="338" t="n"/>
      <c r="BB44" s="338" t="n"/>
      <c r="BC44" s="338" t="n"/>
      <c r="BD44" s="338" t="n"/>
      <c r="BE44" s="338" t="n"/>
      <c r="BF44" s="338" t="n"/>
      <c r="BG44" s="338" t="n"/>
      <c r="BH44" s="338" t="n"/>
      <c r="BI44" s="338" t="n"/>
      <c r="BJ44" s="338" t="n"/>
      <c r="BK44" s="338" t="n"/>
      <c r="BL44" s="338" t="n"/>
      <c r="BM44" s="338" t="n"/>
      <c r="BN44" s="338" t="n"/>
      <c r="BO44" s="338" t="n"/>
      <c r="BP44" s="338" t="n"/>
      <c r="BQ44" s="338" t="n"/>
      <c r="BR44" s="338" t="n"/>
      <c r="BS44" s="338" t="n"/>
      <c r="BT44" s="338" t="n"/>
      <c r="BU44" s="338" t="n"/>
      <c r="BV44" s="338" t="n"/>
      <c r="BW44" s="338" t="n"/>
      <c r="BX44" s="338" t="n"/>
      <c r="BY44" s="338" t="n"/>
      <c r="BZ44" s="338" t="n"/>
      <c r="CA44" s="338" t="n"/>
      <c r="CB44" s="338" t="n"/>
      <c r="CC44" s="383" t="n"/>
      <c r="CF44" s="253" t="inlineStr">
        <is>
          <t>時間内</t>
        </is>
      </c>
      <c r="CG44" s="384" t="n"/>
      <c r="CH44" s="384" t="n"/>
      <c r="CI44" s="385" t="n"/>
      <c r="CJ44" s="386">
        <f>IF(Q43="作業者1",H46-H43,0)</f>
        <v/>
      </c>
      <c r="CK44" s="387" t="n"/>
      <c r="CL44" s="387" t="n"/>
      <c r="CM44" s="387" t="n"/>
      <c r="CN44" s="388" t="n"/>
      <c r="CP44" s="253" t="inlineStr">
        <is>
          <t>時間内</t>
        </is>
      </c>
      <c r="CQ44" s="384" t="n"/>
      <c r="CR44" s="384" t="n"/>
      <c r="CS44" s="385" t="n"/>
      <c r="CT44" s="386">
        <f>IF(Q43="作業者2",H46-H43,0)</f>
        <v/>
      </c>
      <c r="CU44" s="387" t="n"/>
      <c r="CV44" s="387" t="n"/>
      <c r="CW44" s="387" t="n"/>
      <c r="CX44" s="388" t="n"/>
      <c r="CZ44" s="253" t="inlineStr">
        <is>
          <t>時間内</t>
        </is>
      </c>
      <c r="DA44" s="384" t="n"/>
      <c r="DB44" s="384" t="n"/>
      <c r="DC44" s="385" t="n"/>
      <c r="DD44" s="386">
        <f>IF(Q43="作業者3",H46-H43,0)</f>
        <v/>
      </c>
      <c r="DE44" s="387" t="n"/>
      <c r="DF44" s="387" t="n"/>
      <c r="DG44" s="387" t="n"/>
      <c r="DH44" s="388" t="n"/>
      <c r="DJ44" s="253" t="inlineStr">
        <is>
          <t>時間内</t>
        </is>
      </c>
      <c r="DK44" s="384" t="n"/>
      <c r="DL44" s="384" t="n"/>
      <c r="DM44" s="385" t="n"/>
      <c r="DN44" s="386">
        <f>IF(Q43="作業者4",H46-H43,0)</f>
        <v/>
      </c>
      <c r="DO44" s="387" t="n"/>
      <c r="DP44" s="387" t="n"/>
      <c r="DQ44" s="387" t="n"/>
      <c r="DR44" s="388" t="n"/>
      <c r="DT44" s="253" t="inlineStr">
        <is>
          <t>時間内</t>
        </is>
      </c>
      <c r="DU44" s="384" t="n"/>
      <c r="DV44" s="384" t="n"/>
      <c r="DW44" s="385" t="n"/>
      <c r="DX44" s="386">
        <f>IF(Q43="作業者5",H46-H43,0)</f>
        <v/>
      </c>
      <c r="DY44" s="387" t="n"/>
      <c r="DZ44" s="387" t="n"/>
      <c r="EA44" s="387" t="n"/>
      <c r="EB44" s="388" t="n"/>
    </row>
    <row r="45" ht="9" customHeight="1" s="337">
      <c r="B45" s="350" t="n"/>
      <c r="C45" s="338" t="n"/>
      <c r="D45" s="380" t="n"/>
      <c r="E45" s="23" t="n"/>
      <c r="F45" s="338" t="n"/>
      <c r="G45" s="24" t="n"/>
      <c r="H45" s="23" t="n"/>
      <c r="I45" s="338" t="n"/>
      <c r="J45" s="24" t="n"/>
      <c r="K45" s="23" t="n"/>
      <c r="L45" s="338" t="n"/>
      <c r="M45" s="24" t="n"/>
      <c r="N45" s="23" t="n"/>
      <c r="O45" s="338" t="n"/>
      <c r="P45" s="24" t="n"/>
      <c r="Q45" s="382" t="n"/>
      <c r="R45" s="338" t="n"/>
      <c r="S45" s="380" t="n"/>
      <c r="T45" s="382" t="n"/>
      <c r="U45" s="338" t="n"/>
      <c r="V45" s="380" t="n"/>
      <c r="W45" s="382" t="n"/>
      <c r="X45" s="338" t="n"/>
      <c r="Y45" s="338" t="n"/>
      <c r="Z45" s="338" t="n"/>
      <c r="AA45" s="338" t="n"/>
      <c r="AB45" s="338" t="n"/>
      <c r="AC45" s="338" t="n"/>
      <c r="AD45" s="338" t="n"/>
      <c r="AE45" s="338" t="n"/>
      <c r="AF45" s="338" t="n"/>
      <c r="AG45" s="338" t="n"/>
      <c r="AH45" s="338" t="n"/>
      <c r="AI45" s="338" t="n"/>
      <c r="AJ45" s="338" t="n"/>
      <c r="AK45" s="338" t="n"/>
      <c r="AL45" s="338" t="n"/>
      <c r="AM45" s="338" t="n"/>
      <c r="AN45" s="338" t="n"/>
      <c r="AO45" s="338" t="n"/>
      <c r="AP45" s="338" t="n"/>
      <c r="AQ45" s="338" t="n"/>
      <c r="AR45" s="338" t="n"/>
      <c r="AS45" s="338" t="n"/>
      <c r="AT45" s="338" t="n"/>
      <c r="AU45" s="338" t="n"/>
      <c r="AV45" s="338" t="n"/>
      <c r="AW45" s="338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8" t="n"/>
      <c r="BH45" s="338" t="n"/>
      <c r="BI45" s="338" t="n"/>
      <c r="BJ45" s="338" t="n"/>
      <c r="BK45" s="338" t="n"/>
      <c r="BL45" s="338" t="n"/>
      <c r="BM45" s="338" t="n"/>
      <c r="BN45" s="338" t="n"/>
      <c r="BO45" s="338" t="n"/>
      <c r="BP45" s="338" t="n"/>
      <c r="BQ45" s="338" t="n"/>
      <c r="BR45" s="338" t="n"/>
      <c r="BS45" s="338" t="n"/>
      <c r="BT45" s="338" t="n"/>
      <c r="BU45" s="338" t="n"/>
      <c r="BV45" s="338" t="n"/>
      <c r="BW45" s="338" t="n"/>
      <c r="BX45" s="338" t="n"/>
      <c r="BY45" s="338" t="n"/>
      <c r="BZ45" s="338" t="n"/>
      <c r="CA45" s="338" t="n"/>
      <c r="CB45" s="338" t="n"/>
      <c r="CC45" s="383" t="n"/>
      <c r="CF45" s="253" t="inlineStr">
        <is>
          <t>時間外</t>
        </is>
      </c>
      <c r="CG45" s="384" t="n"/>
      <c r="CH45" s="384" t="n"/>
      <c r="CI45" s="385" t="n"/>
      <c r="CJ45" s="386">
        <f>IF(Q43="作業者1",K46-K43,0)</f>
        <v/>
      </c>
      <c r="CK45" s="387" t="n"/>
      <c r="CL45" s="387" t="n"/>
      <c r="CM45" s="387" t="n"/>
      <c r="CN45" s="388" t="n"/>
      <c r="CP45" s="253" t="inlineStr">
        <is>
          <t>時間外</t>
        </is>
      </c>
      <c r="CQ45" s="384" t="n"/>
      <c r="CR45" s="384" t="n"/>
      <c r="CS45" s="385" t="n"/>
      <c r="CT45" s="386">
        <f>IF(Q43="作業者2",K46-K43,0)</f>
        <v/>
      </c>
      <c r="CU45" s="387" t="n"/>
      <c r="CV45" s="387" t="n"/>
      <c r="CW45" s="387" t="n"/>
      <c r="CX45" s="388" t="n"/>
      <c r="CZ45" s="253" t="inlineStr">
        <is>
          <t>時間外</t>
        </is>
      </c>
      <c r="DA45" s="384" t="n"/>
      <c r="DB45" s="384" t="n"/>
      <c r="DC45" s="385" t="n"/>
      <c r="DD45" s="386">
        <f>IF(Q43="作業者3",K46-K43,0)</f>
        <v/>
      </c>
      <c r="DE45" s="387" t="n"/>
      <c r="DF45" s="387" t="n"/>
      <c r="DG45" s="387" t="n"/>
      <c r="DH45" s="388" t="n"/>
      <c r="DJ45" s="253" t="inlineStr">
        <is>
          <t>時間外</t>
        </is>
      </c>
      <c r="DK45" s="384" t="n"/>
      <c r="DL45" s="384" t="n"/>
      <c r="DM45" s="385" t="n"/>
      <c r="DN45" s="386">
        <f>IF(Q43="作業者4",K46-K43,0)</f>
        <v/>
      </c>
      <c r="DO45" s="387" t="n"/>
      <c r="DP45" s="387" t="n"/>
      <c r="DQ45" s="387" t="n"/>
      <c r="DR45" s="388" t="n"/>
      <c r="DT45" s="253" t="inlineStr">
        <is>
          <t>時間外</t>
        </is>
      </c>
      <c r="DU45" s="384" t="n"/>
      <c r="DV45" s="384" t="n"/>
      <c r="DW45" s="385" t="n"/>
      <c r="DX45" s="386">
        <f>IF(Q43="作業者5",K46-K43,0)</f>
        <v/>
      </c>
      <c r="DY45" s="387" t="n"/>
      <c r="DZ45" s="387" t="n"/>
      <c r="EA45" s="387" t="n"/>
      <c r="EB45" s="388" t="n"/>
    </row>
    <row r="46" ht="9" customHeight="1" s="337">
      <c r="B46" s="389" t="n"/>
      <c r="C46" s="390" t="n"/>
      <c r="D46" s="391" t="n"/>
      <c r="E46" s="392" t="n"/>
      <c r="F46" s="390" t="n"/>
      <c r="G46" s="391" t="n"/>
      <c r="H46" s="392" t="n"/>
      <c r="I46" s="390" t="n"/>
      <c r="J46" s="391" t="n"/>
      <c r="K46" s="392" t="n"/>
      <c r="L46" s="390" t="n"/>
      <c r="M46" s="391" t="n"/>
      <c r="N46" s="392" t="n"/>
      <c r="O46" s="390" t="n"/>
      <c r="P46" s="391" t="n"/>
      <c r="Q46" s="393" t="n"/>
      <c r="R46" s="390" t="n"/>
      <c r="S46" s="391" t="n"/>
      <c r="T46" s="393" t="n"/>
      <c r="U46" s="390" t="n"/>
      <c r="V46" s="391" t="n"/>
      <c r="W46" s="393" t="n"/>
      <c r="X46" s="390" t="n"/>
      <c r="Y46" s="390" t="n"/>
      <c r="Z46" s="390" t="n"/>
      <c r="AA46" s="390" t="n"/>
      <c r="AB46" s="390" t="n"/>
      <c r="AC46" s="390" t="n"/>
      <c r="AD46" s="390" t="n"/>
      <c r="AE46" s="390" t="n"/>
      <c r="AF46" s="390" t="n"/>
      <c r="AG46" s="390" t="n"/>
      <c r="AH46" s="390" t="n"/>
      <c r="AI46" s="390" t="n"/>
      <c r="AJ46" s="390" t="n"/>
      <c r="AK46" s="390" t="n"/>
      <c r="AL46" s="390" t="n"/>
      <c r="AM46" s="390" t="n"/>
      <c r="AN46" s="390" t="n"/>
      <c r="AO46" s="390" t="n"/>
      <c r="AP46" s="390" t="n"/>
      <c r="AQ46" s="390" t="n"/>
      <c r="AR46" s="390" t="n"/>
      <c r="AS46" s="390" t="n"/>
      <c r="AT46" s="390" t="n"/>
      <c r="AU46" s="390" t="n"/>
      <c r="AV46" s="390" t="n"/>
      <c r="AW46" s="390" t="n"/>
      <c r="AX46" s="390" t="n"/>
      <c r="AY46" s="390" t="n"/>
      <c r="AZ46" s="390" t="n"/>
      <c r="BA46" s="390" t="n"/>
      <c r="BB46" s="390" t="n"/>
      <c r="BC46" s="390" t="n"/>
      <c r="BD46" s="390" t="n"/>
      <c r="BE46" s="390" t="n"/>
      <c r="BF46" s="390" t="n"/>
      <c r="BG46" s="390" t="n"/>
      <c r="BH46" s="390" t="n"/>
      <c r="BI46" s="390" t="n"/>
      <c r="BJ46" s="390" t="n"/>
      <c r="BK46" s="390" t="n"/>
      <c r="BL46" s="390" t="n"/>
      <c r="BM46" s="390" t="n"/>
      <c r="BN46" s="390" t="n"/>
      <c r="BO46" s="390" t="n"/>
      <c r="BP46" s="390" t="n"/>
      <c r="BQ46" s="390" t="n"/>
      <c r="BR46" s="390" t="n"/>
      <c r="BS46" s="390" t="n"/>
      <c r="BT46" s="390" t="n"/>
      <c r="BU46" s="390" t="n"/>
      <c r="BV46" s="390" t="n"/>
      <c r="BW46" s="390" t="n"/>
      <c r="BX46" s="390" t="n"/>
      <c r="BY46" s="390" t="n"/>
      <c r="BZ46" s="390" t="n"/>
      <c r="CA46" s="390" t="n"/>
      <c r="CB46" s="390" t="n"/>
      <c r="CC46" s="394" t="n"/>
      <c r="CF46" s="254" t="inlineStr">
        <is>
          <t>休日</t>
        </is>
      </c>
      <c r="CG46" s="395" t="n"/>
      <c r="CH46" s="395" t="n"/>
      <c r="CI46" s="396" t="n"/>
      <c r="CJ46" s="397">
        <f>IF(Q43="作業者1",N46-N43,0)</f>
        <v/>
      </c>
      <c r="CK46" s="395" t="n"/>
      <c r="CL46" s="395" t="n"/>
      <c r="CM46" s="395" t="n"/>
      <c r="CN46" s="396" t="n"/>
      <c r="CP46" s="254" t="inlineStr">
        <is>
          <t>休日</t>
        </is>
      </c>
      <c r="CQ46" s="395" t="n"/>
      <c r="CR46" s="395" t="n"/>
      <c r="CS46" s="396" t="n"/>
      <c r="CT46" s="397">
        <f>IF(Q43="作業者2",N46-N43,0)</f>
        <v/>
      </c>
      <c r="CU46" s="395" t="n"/>
      <c r="CV46" s="395" t="n"/>
      <c r="CW46" s="395" t="n"/>
      <c r="CX46" s="396" t="n"/>
      <c r="CZ46" s="254" t="inlineStr">
        <is>
          <t>休日</t>
        </is>
      </c>
      <c r="DA46" s="395" t="n"/>
      <c r="DB46" s="395" t="n"/>
      <c r="DC46" s="396" t="n"/>
      <c r="DD46" s="397">
        <f>IF(Q43="作業者3",N46-N43,0)</f>
        <v/>
      </c>
      <c r="DE46" s="395" t="n"/>
      <c r="DF46" s="395" t="n"/>
      <c r="DG46" s="395" t="n"/>
      <c r="DH46" s="396" t="n"/>
      <c r="DJ46" s="254" t="inlineStr">
        <is>
          <t>休日</t>
        </is>
      </c>
      <c r="DK46" s="395" t="n"/>
      <c r="DL46" s="395" t="n"/>
      <c r="DM46" s="396" t="n"/>
      <c r="DN46" s="397">
        <f>IF(Q43="作業者4",N46-N43,0)</f>
        <v/>
      </c>
      <c r="DO46" s="395" t="n"/>
      <c r="DP46" s="395" t="n"/>
      <c r="DQ46" s="395" t="n"/>
      <c r="DR46" s="396" t="n"/>
      <c r="DT46" s="254" t="inlineStr">
        <is>
          <t>休日</t>
        </is>
      </c>
      <c r="DU46" s="395" t="n"/>
      <c r="DV46" s="395" t="n"/>
      <c r="DW46" s="396" t="n"/>
      <c r="DX46" s="397">
        <f>IF(Q43="作業者5",N46-N43,0)</f>
        <v/>
      </c>
      <c r="DY46" s="395" t="n"/>
      <c r="DZ46" s="395" t="n"/>
      <c r="EA46" s="395" t="n"/>
      <c r="EB46" s="396" t="n"/>
    </row>
    <row r="47" ht="9" customHeight="1" s="337">
      <c r="B47" s="398" t="n"/>
      <c r="C47" s="372" t="n"/>
      <c r="D47" s="373" t="n"/>
      <c r="E47" s="399" t="n"/>
      <c r="F47" s="372" t="n"/>
      <c r="G47" s="373" t="n"/>
      <c r="H47" s="399" t="n"/>
      <c r="I47" s="372" t="n"/>
      <c r="J47" s="373" t="n"/>
      <c r="K47" s="399" t="n"/>
      <c r="L47" s="372" t="n"/>
      <c r="M47" s="373" t="n"/>
      <c r="N47" s="399" t="n"/>
      <c r="O47" s="372" t="n"/>
      <c r="P47" s="373" t="n"/>
      <c r="Q47" s="371" t="n"/>
      <c r="R47" s="372" t="n"/>
      <c r="S47" s="373" t="n"/>
      <c r="T47" s="371" t="n"/>
      <c r="U47" s="372" t="n"/>
      <c r="V47" s="373" t="n"/>
      <c r="W47" s="401" t="n"/>
      <c r="X47" s="372" t="n"/>
      <c r="Y47" s="372" t="n"/>
      <c r="Z47" s="372" t="n"/>
      <c r="AA47" s="372" t="n"/>
      <c r="AB47" s="372" t="n"/>
      <c r="AC47" s="372" t="n"/>
      <c r="AD47" s="372" t="n"/>
      <c r="AE47" s="372" t="n"/>
      <c r="AF47" s="372" t="n"/>
      <c r="AG47" s="372" t="n"/>
      <c r="AH47" s="372" t="n"/>
      <c r="AI47" s="372" t="n"/>
      <c r="AJ47" s="372" t="n"/>
      <c r="AK47" s="372" t="n"/>
      <c r="AL47" s="372" t="n"/>
      <c r="AM47" s="372" t="n"/>
      <c r="AN47" s="372" t="n"/>
      <c r="AO47" s="372" t="n"/>
      <c r="AP47" s="372" t="n"/>
      <c r="AQ47" s="372" t="n"/>
      <c r="AR47" s="372" t="n"/>
      <c r="AS47" s="372" t="n"/>
      <c r="AT47" s="372" t="n"/>
      <c r="AU47" s="372" t="n"/>
      <c r="AV47" s="372" t="n"/>
      <c r="AW47" s="372" t="n"/>
      <c r="AX47" s="372" t="n"/>
      <c r="AY47" s="372" t="n"/>
      <c r="AZ47" s="372" t="n"/>
      <c r="BA47" s="372" t="n"/>
      <c r="BB47" s="372" t="n"/>
      <c r="BC47" s="372" t="n"/>
      <c r="BD47" s="372" t="n"/>
      <c r="BE47" s="372" t="n"/>
      <c r="BF47" s="372" t="n"/>
      <c r="BG47" s="372" t="n"/>
      <c r="BH47" s="372" t="n"/>
      <c r="BI47" s="372" t="n"/>
      <c r="BJ47" s="372" t="n"/>
      <c r="BK47" s="372" t="n"/>
      <c r="BL47" s="372" t="n"/>
      <c r="BM47" s="372" t="n"/>
      <c r="BN47" s="372" t="n"/>
      <c r="BO47" s="372" t="n"/>
      <c r="BP47" s="372" t="n"/>
      <c r="BQ47" s="372" t="n"/>
      <c r="BR47" s="372" t="n"/>
      <c r="BS47" s="372" t="n"/>
      <c r="BT47" s="372" t="n"/>
      <c r="BU47" s="372" t="n"/>
      <c r="BV47" s="372" t="n"/>
      <c r="BW47" s="372" t="n"/>
      <c r="BX47" s="372" t="n"/>
      <c r="BY47" s="372" t="n"/>
      <c r="BZ47" s="372" t="n"/>
      <c r="CA47" s="372" t="n"/>
      <c r="CB47" s="372" t="n"/>
      <c r="CC47" s="402" t="n"/>
      <c r="CF47" s="248" t="inlineStr">
        <is>
          <t>移動</t>
        </is>
      </c>
      <c r="CG47" s="377" t="n"/>
      <c r="CH47" s="377" t="n"/>
      <c r="CI47" s="378" t="n"/>
      <c r="CJ47" s="379">
        <f>IF(Q47="作業者1",E50-E47,0)</f>
        <v/>
      </c>
      <c r="CK47" s="377" t="n"/>
      <c r="CL47" s="377" t="n"/>
      <c r="CM47" s="377" t="n"/>
      <c r="CN47" s="378" t="n"/>
      <c r="CP47" s="248" t="inlineStr">
        <is>
          <t>移動</t>
        </is>
      </c>
      <c r="CQ47" s="377" t="n"/>
      <c r="CR47" s="377" t="n"/>
      <c r="CS47" s="378" t="n"/>
      <c r="CT47" s="379">
        <f>IF(Q47="作業者2",E50-E47,0)</f>
        <v/>
      </c>
      <c r="CU47" s="377" t="n"/>
      <c r="CV47" s="377" t="n"/>
      <c r="CW47" s="377" t="n"/>
      <c r="CX47" s="378" t="n"/>
      <c r="CZ47" s="259" t="inlineStr">
        <is>
          <t>移動</t>
        </is>
      </c>
      <c r="DA47" s="403" t="n"/>
      <c r="DB47" s="403" t="n"/>
      <c r="DC47" s="404" t="n"/>
      <c r="DD47" s="405">
        <f>IF(Q47="作業者3",E50-E47,0)</f>
        <v/>
      </c>
      <c r="DE47" s="406" t="n"/>
      <c r="DF47" s="406" t="n"/>
      <c r="DG47" s="406" t="n"/>
      <c r="DH47" s="407" t="n"/>
      <c r="DJ47" s="259" t="inlineStr">
        <is>
          <t>移動</t>
        </is>
      </c>
      <c r="DK47" s="403" t="n"/>
      <c r="DL47" s="403" t="n"/>
      <c r="DM47" s="404" t="n"/>
      <c r="DN47" s="379">
        <f>IF(Q47="作業者4",E50-E47,0)</f>
        <v/>
      </c>
      <c r="DO47" s="377" t="n"/>
      <c r="DP47" s="377" t="n"/>
      <c r="DQ47" s="377" t="n"/>
      <c r="DR47" s="378" t="n"/>
      <c r="DT47" s="259" t="inlineStr">
        <is>
          <t>移動</t>
        </is>
      </c>
      <c r="DU47" s="403" t="n"/>
      <c r="DV47" s="403" t="n"/>
      <c r="DW47" s="404" t="n"/>
      <c r="DX47" s="379">
        <f>IF(Q47="作業者5",E50-E47,0)</f>
        <v/>
      </c>
      <c r="DY47" s="377" t="n"/>
      <c r="DZ47" s="377" t="n"/>
      <c r="EA47" s="377" t="n"/>
      <c r="EB47" s="378" t="n"/>
    </row>
    <row r="48" ht="9" customHeight="1" s="337">
      <c r="B48" s="350" t="n"/>
      <c r="C48" s="338" t="n"/>
      <c r="D48" s="380" t="n"/>
      <c r="E48" s="381" t="n"/>
      <c r="F48" s="122" t="inlineStr">
        <is>
          <t>～</t>
        </is>
      </c>
      <c r="G48" s="22" t="n"/>
      <c r="H48" s="381" t="n"/>
      <c r="I48" s="122" t="inlineStr">
        <is>
          <t>～</t>
        </is>
      </c>
      <c r="J48" s="22" t="n"/>
      <c r="K48" s="381" t="n"/>
      <c r="L48" s="122" t="inlineStr">
        <is>
          <t>～</t>
        </is>
      </c>
      <c r="M48" s="22" t="n"/>
      <c r="N48" s="381" t="n"/>
      <c r="O48" s="122" t="inlineStr">
        <is>
          <t>～</t>
        </is>
      </c>
      <c r="P48" s="22" t="n"/>
      <c r="Q48" s="382" t="n"/>
      <c r="R48" s="338" t="n"/>
      <c r="S48" s="380" t="n"/>
      <c r="T48" s="382" t="n"/>
      <c r="U48" s="338" t="n"/>
      <c r="V48" s="380" t="n"/>
      <c r="W48" s="382" t="n"/>
      <c r="X48" s="338" t="n"/>
      <c r="Y48" s="338" t="n"/>
      <c r="Z48" s="338" t="n"/>
      <c r="AA48" s="338" t="n"/>
      <c r="AB48" s="338" t="n"/>
      <c r="AC48" s="338" t="n"/>
      <c r="AD48" s="338" t="n"/>
      <c r="AE48" s="338" t="n"/>
      <c r="AF48" s="338" t="n"/>
      <c r="AG48" s="338" t="n"/>
      <c r="AH48" s="338" t="n"/>
      <c r="AI48" s="338" t="n"/>
      <c r="AJ48" s="338" t="n"/>
      <c r="AK48" s="338" t="n"/>
      <c r="AL48" s="338" t="n"/>
      <c r="AM48" s="338" t="n"/>
      <c r="AN48" s="338" t="n"/>
      <c r="AO48" s="338" t="n"/>
      <c r="AP48" s="338" t="n"/>
      <c r="AQ48" s="338" t="n"/>
      <c r="AR48" s="338" t="n"/>
      <c r="AS48" s="338" t="n"/>
      <c r="AT48" s="338" t="n"/>
      <c r="AU48" s="338" t="n"/>
      <c r="AV48" s="338" t="n"/>
      <c r="AW48" s="338" t="n"/>
      <c r="AX48" s="338" t="n"/>
      <c r="AY48" s="338" t="n"/>
      <c r="AZ48" s="338" t="n"/>
      <c r="BA48" s="338" t="n"/>
      <c r="BB48" s="338" t="n"/>
      <c r="BC48" s="338" t="n"/>
      <c r="BD48" s="338" t="n"/>
      <c r="BE48" s="338" t="n"/>
      <c r="BF48" s="338" t="n"/>
      <c r="BG48" s="338" t="n"/>
      <c r="BH48" s="338" t="n"/>
      <c r="BI48" s="338" t="n"/>
      <c r="BJ48" s="338" t="n"/>
      <c r="BK48" s="338" t="n"/>
      <c r="BL48" s="338" t="n"/>
      <c r="BM48" s="338" t="n"/>
      <c r="BN48" s="338" t="n"/>
      <c r="BO48" s="338" t="n"/>
      <c r="BP48" s="338" t="n"/>
      <c r="BQ48" s="338" t="n"/>
      <c r="BR48" s="338" t="n"/>
      <c r="BS48" s="338" t="n"/>
      <c r="BT48" s="338" t="n"/>
      <c r="BU48" s="338" t="n"/>
      <c r="BV48" s="338" t="n"/>
      <c r="BW48" s="338" t="n"/>
      <c r="BX48" s="338" t="n"/>
      <c r="BY48" s="338" t="n"/>
      <c r="BZ48" s="338" t="n"/>
      <c r="CA48" s="338" t="n"/>
      <c r="CB48" s="338" t="n"/>
      <c r="CC48" s="383" t="n"/>
      <c r="CF48" s="253" t="inlineStr">
        <is>
          <t>時間内</t>
        </is>
      </c>
      <c r="CG48" s="384" t="n"/>
      <c r="CH48" s="384" t="n"/>
      <c r="CI48" s="385" t="n"/>
      <c r="CJ48" s="386">
        <f>IF(Q47="作業者1",H50-H47,0)</f>
        <v/>
      </c>
      <c r="CK48" s="387" t="n"/>
      <c r="CL48" s="387" t="n"/>
      <c r="CM48" s="387" t="n"/>
      <c r="CN48" s="388" t="n"/>
      <c r="CP48" s="253" t="inlineStr">
        <is>
          <t>時間内</t>
        </is>
      </c>
      <c r="CQ48" s="384" t="n"/>
      <c r="CR48" s="384" t="n"/>
      <c r="CS48" s="385" t="n"/>
      <c r="CT48" s="386">
        <f>IF(Q47="作業者2",H50-H47,0)</f>
        <v/>
      </c>
      <c r="CU48" s="387" t="n"/>
      <c r="CV48" s="387" t="n"/>
      <c r="CW48" s="387" t="n"/>
      <c r="CX48" s="388" t="n"/>
      <c r="CZ48" s="253" t="inlineStr">
        <is>
          <t>時間内</t>
        </is>
      </c>
      <c r="DA48" s="384" t="n"/>
      <c r="DB48" s="384" t="n"/>
      <c r="DC48" s="385" t="n"/>
      <c r="DD48" s="386">
        <f>IF(Q47="作業者3",H50-H47,0)</f>
        <v/>
      </c>
      <c r="DE48" s="387" t="n"/>
      <c r="DF48" s="387" t="n"/>
      <c r="DG48" s="387" t="n"/>
      <c r="DH48" s="388" t="n"/>
      <c r="DJ48" s="253" t="inlineStr">
        <is>
          <t>時間内</t>
        </is>
      </c>
      <c r="DK48" s="384" t="n"/>
      <c r="DL48" s="384" t="n"/>
      <c r="DM48" s="385" t="n"/>
      <c r="DN48" s="386">
        <f>IF(Q47="作業者4",H50-H47,0)</f>
        <v/>
      </c>
      <c r="DO48" s="387" t="n"/>
      <c r="DP48" s="387" t="n"/>
      <c r="DQ48" s="387" t="n"/>
      <c r="DR48" s="388" t="n"/>
      <c r="DT48" s="253" t="inlineStr">
        <is>
          <t>時間内</t>
        </is>
      </c>
      <c r="DU48" s="384" t="n"/>
      <c r="DV48" s="384" t="n"/>
      <c r="DW48" s="385" t="n"/>
      <c r="DX48" s="386">
        <f>IF(Q47="作業者5",H50-H47,0)</f>
        <v/>
      </c>
      <c r="DY48" s="387" t="n"/>
      <c r="DZ48" s="387" t="n"/>
      <c r="EA48" s="387" t="n"/>
      <c r="EB48" s="388" t="n"/>
    </row>
    <row r="49" ht="9" customHeight="1" s="337">
      <c r="B49" s="350" t="n"/>
      <c r="C49" s="338" t="n"/>
      <c r="D49" s="380" t="n"/>
      <c r="E49" s="23" t="n"/>
      <c r="F49" s="338" t="n"/>
      <c r="G49" s="24" t="n"/>
      <c r="H49" s="23" t="n"/>
      <c r="I49" s="338" t="n"/>
      <c r="J49" s="24" t="n"/>
      <c r="K49" s="23" t="n"/>
      <c r="L49" s="338" t="n"/>
      <c r="M49" s="24" t="n"/>
      <c r="N49" s="23" t="n"/>
      <c r="O49" s="338" t="n"/>
      <c r="P49" s="24" t="n"/>
      <c r="Q49" s="382" t="n"/>
      <c r="R49" s="338" t="n"/>
      <c r="S49" s="380" t="n"/>
      <c r="T49" s="382" t="n"/>
      <c r="U49" s="338" t="n"/>
      <c r="V49" s="380" t="n"/>
      <c r="W49" s="382" t="n"/>
      <c r="X49" s="338" t="n"/>
      <c r="Y49" s="338" t="n"/>
      <c r="Z49" s="338" t="n"/>
      <c r="AA49" s="338" t="n"/>
      <c r="AB49" s="338" t="n"/>
      <c r="AC49" s="338" t="n"/>
      <c r="AD49" s="338" t="n"/>
      <c r="AE49" s="338" t="n"/>
      <c r="AF49" s="338" t="n"/>
      <c r="AG49" s="338" t="n"/>
      <c r="AH49" s="338" t="n"/>
      <c r="AI49" s="338" t="n"/>
      <c r="AJ49" s="338" t="n"/>
      <c r="AK49" s="338" t="n"/>
      <c r="AL49" s="338" t="n"/>
      <c r="AM49" s="338" t="n"/>
      <c r="AN49" s="338" t="n"/>
      <c r="AO49" s="338" t="n"/>
      <c r="AP49" s="338" t="n"/>
      <c r="AQ49" s="338" t="n"/>
      <c r="AR49" s="338" t="n"/>
      <c r="AS49" s="338" t="n"/>
      <c r="AT49" s="338" t="n"/>
      <c r="AU49" s="338" t="n"/>
      <c r="AV49" s="338" t="n"/>
      <c r="AW49" s="338" t="n"/>
      <c r="AX49" s="338" t="n"/>
      <c r="AY49" s="338" t="n"/>
      <c r="AZ49" s="338" t="n"/>
      <c r="BA49" s="338" t="n"/>
      <c r="BB49" s="338" t="n"/>
      <c r="BC49" s="338" t="n"/>
      <c r="BD49" s="338" t="n"/>
      <c r="BE49" s="338" t="n"/>
      <c r="BF49" s="338" t="n"/>
      <c r="BG49" s="338" t="n"/>
      <c r="BH49" s="338" t="n"/>
      <c r="BI49" s="338" t="n"/>
      <c r="BJ49" s="338" t="n"/>
      <c r="BK49" s="338" t="n"/>
      <c r="BL49" s="338" t="n"/>
      <c r="BM49" s="338" t="n"/>
      <c r="BN49" s="338" t="n"/>
      <c r="BO49" s="338" t="n"/>
      <c r="BP49" s="338" t="n"/>
      <c r="BQ49" s="338" t="n"/>
      <c r="BR49" s="338" t="n"/>
      <c r="BS49" s="338" t="n"/>
      <c r="BT49" s="338" t="n"/>
      <c r="BU49" s="338" t="n"/>
      <c r="BV49" s="338" t="n"/>
      <c r="BW49" s="338" t="n"/>
      <c r="BX49" s="338" t="n"/>
      <c r="BY49" s="338" t="n"/>
      <c r="BZ49" s="338" t="n"/>
      <c r="CA49" s="338" t="n"/>
      <c r="CB49" s="338" t="n"/>
      <c r="CC49" s="383" t="n"/>
      <c r="CF49" s="253" t="inlineStr">
        <is>
          <t>時間外</t>
        </is>
      </c>
      <c r="CG49" s="384" t="n"/>
      <c r="CH49" s="384" t="n"/>
      <c r="CI49" s="385" t="n"/>
      <c r="CJ49" s="386">
        <f>IF(Q47="作業者1",K50-K47,0)</f>
        <v/>
      </c>
      <c r="CK49" s="387" t="n"/>
      <c r="CL49" s="387" t="n"/>
      <c r="CM49" s="387" t="n"/>
      <c r="CN49" s="388" t="n"/>
      <c r="CP49" s="253" t="inlineStr">
        <is>
          <t>時間外</t>
        </is>
      </c>
      <c r="CQ49" s="384" t="n"/>
      <c r="CR49" s="384" t="n"/>
      <c r="CS49" s="385" t="n"/>
      <c r="CT49" s="386">
        <f>IF(Q47="作業者2",K50-K47,0)</f>
        <v/>
      </c>
      <c r="CU49" s="387" t="n"/>
      <c r="CV49" s="387" t="n"/>
      <c r="CW49" s="387" t="n"/>
      <c r="CX49" s="388" t="n"/>
      <c r="CZ49" s="253" t="inlineStr">
        <is>
          <t>時間外</t>
        </is>
      </c>
      <c r="DA49" s="384" t="n"/>
      <c r="DB49" s="384" t="n"/>
      <c r="DC49" s="385" t="n"/>
      <c r="DD49" s="386">
        <f>IF(Q47="作業者3",K50-K47,0)</f>
        <v/>
      </c>
      <c r="DE49" s="387" t="n"/>
      <c r="DF49" s="387" t="n"/>
      <c r="DG49" s="387" t="n"/>
      <c r="DH49" s="388" t="n"/>
      <c r="DJ49" s="253" t="inlineStr">
        <is>
          <t>時間外</t>
        </is>
      </c>
      <c r="DK49" s="384" t="n"/>
      <c r="DL49" s="384" t="n"/>
      <c r="DM49" s="385" t="n"/>
      <c r="DN49" s="386">
        <f>IF(Q47="作業者4",K50-K47,0)</f>
        <v/>
      </c>
      <c r="DO49" s="387" t="n"/>
      <c r="DP49" s="387" t="n"/>
      <c r="DQ49" s="387" t="n"/>
      <c r="DR49" s="388" t="n"/>
      <c r="DT49" s="253" t="inlineStr">
        <is>
          <t>時間外</t>
        </is>
      </c>
      <c r="DU49" s="384" t="n"/>
      <c r="DV49" s="384" t="n"/>
      <c r="DW49" s="385" t="n"/>
      <c r="DX49" s="386">
        <f>IF(Q47="作業者5",K50-K47,0)</f>
        <v/>
      </c>
      <c r="DY49" s="387" t="n"/>
      <c r="DZ49" s="387" t="n"/>
      <c r="EA49" s="387" t="n"/>
      <c r="EB49" s="388" t="n"/>
    </row>
    <row r="50" ht="9" customHeight="1" s="337">
      <c r="B50" s="389" t="n"/>
      <c r="C50" s="390" t="n"/>
      <c r="D50" s="391" t="n"/>
      <c r="E50" s="392" t="n"/>
      <c r="F50" s="390" t="n"/>
      <c r="G50" s="391" t="n"/>
      <c r="H50" s="392" t="n"/>
      <c r="I50" s="390" t="n"/>
      <c r="J50" s="391" t="n"/>
      <c r="K50" s="392" t="n"/>
      <c r="L50" s="390" t="n"/>
      <c r="M50" s="391" t="n"/>
      <c r="N50" s="392" t="n"/>
      <c r="O50" s="390" t="n"/>
      <c r="P50" s="391" t="n"/>
      <c r="Q50" s="393" t="n"/>
      <c r="R50" s="390" t="n"/>
      <c r="S50" s="391" t="n"/>
      <c r="T50" s="393" t="n"/>
      <c r="U50" s="390" t="n"/>
      <c r="V50" s="391" t="n"/>
      <c r="W50" s="393" t="n"/>
      <c r="X50" s="390" t="n"/>
      <c r="Y50" s="390" t="n"/>
      <c r="Z50" s="390" t="n"/>
      <c r="AA50" s="390" t="n"/>
      <c r="AB50" s="390" t="n"/>
      <c r="AC50" s="390" t="n"/>
      <c r="AD50" s="390" t="n"/>
      <c r="AE50" s="390" t="n"/>
      <c r="AF50" s="390" t="n"/>
      <c r="AG50" s="390" t="n"/>
      <c r="AH50" s="390" t="n"/>
      <c r="AI50" s="390" t="n"/>
      <c r="AJ50" s="390" t="n"/>
      <c r="AK50" s="390" t="n"/>
      <c r="AL50" s="390" t="n"/>
      <c r="AM50" s="390" t="n"/>
      <c r="AN50" s="390" t="n"/>
      <c r="AO50" s="390" t="n"/>
      <c r="AP50" s="390" t="n"/>
      <c r="AQ50" s="390" t="n"/>
      <c r="AR50" s="390" t="n"/>
      <c r="AS50" s="390" t="n"/>
      <c r="AT50" s="390" t="n"/>
      <c r="AU50" s="390" t="n"/>
      <c r="AV50" s="390" t="n"/>
      <c r="AW50" s="390" t="n"/>
      <c r="AX50" s="390" t="n"/>
      <c r="AY50" s="390" t="n"/>
      <c r="AZ50" s="390" t="n"/>
      <c r="BA50" s="390" t="n"/>
      <c r="BB50" s="390" t="n"/>
      <c r="BC50" s="390" t="n"/>
      <c r="BD50" s="390" t="n"/>
      <c r="BE50" s="390" t="n"/>
      <c r="BF50" s="390" t="n"/>
      <c r="BG50" s="390" t="n"/>
      <c r="BH50" s="390" t="n"/>
      <c r="BI50" s="390" t="n"/>
      <c r="BJ50" s="390" t="n"/>
      <c r="BK50" s="390" t="n"/>
      <c r="BL50" s="390" t="n"/>
      <c r="BM50" s="390" t="n"/>
      <c r="BN50" s="390" t="n"/>
      <c r="BO50" s="390" t="n"/>
      <c r="BP50" s="390" t="n"/>
      <c r="BQ50" s="390" t="n"/>
      <c r="BR50" s="390" t="n"/>
      <c r="BS50" s="390" t="n"/>
      <c r="BT50" s="390" t="n"/>
      <c r="BU50" s="390" t="n"/>
      <c r="BV50" s="390" t="n"/>
      <c r="BW50" s="390" t="n"/>
      <c r="BX50" s="390" t="n"/>
      <c r="BY50" s="390" t="n"/>
      <c r="BZ50" s="390" t="n"/>
      <c r="CA50" s="390" t="n"/>
      <c r="CB50" s="390" t="n"/>
      <c r="CC50" s="394" t="n"/>
      <c r="CF50" s="254" t="inlineStr">
        <is>
          <t>休日</t>
        </is>
      </c>
      <c r="CG50" s="395" t="n"/>
      <c r="CH50" s="395" t="n"/>
      <c r="CI50" s="396" t="n"/>
      <c r="CJ50" s="397">
        <f>IF(Q47="作業者1",N50-N47,0)</f>
        <v/>
      </c>
      <c r="CK50" s="395" t="n"/>
      <c r="CL50" s="395" t="n"/>
      <c r="CM50" s="395" t="n"/>
      <c r="CN50" s="396" t="n"/>
      <c r="CP50" s="254" t="inlineStr">
        <is>
          <t>休日</t>
        </is>
      </c>
      <c r="CQ50" s="395" t="n"/>
      <c r="CR50" s="395" t="n"/>
      <c r="CS50" s="396" t="n"/>
      <c r="CT50" s="397">
        <f>IF(Q47="作業者2",N50-N47,0)</f>
        <v/>
      </c>
      <c r="CU50" s="395" t="n"/>
      <c r="CV50" s="395" t="n"/>
      <c r="CW50" s="395" t="n"/>
      <c r="CX50" s="396" t="n"/>
      <c r="CZ50" s="254" t="inlineStr">
        <is>
          <t>休日</t>
        </is>
      </c>
      <c r="DA50" s="395" t="n"/>
      <c r="DB50" s="395" t="n"/>
      <c r="DC50" s="396" t="n"/>
      <c r="DD50" s="397">
        <f>IF(Q47="作業者3",N50-N47,0)</f>
        <v/>
      </c>
      <c r="DE50" s="395" t="n"/>
      <c r="DF50" s="395" t="n"/>
      <c r="DG50" s="395" t="n"/>
      <c r="DH50" s="396" t="n"/>
      <c r="DJ50" s="254" t="inlineStr">
        <is>
          <t>休日</t>
        </is>
      </c>
      <c r="DK50" s="395" t="n"/>
      <c r="DL50" s="395" t="n"/>
      <c r="DM50" s="396" t="n"/>
      <c r="DN50" s="397">
        <f>IF(Q47="作業者4",N50-N47,0)</f>
        <v/>
      </c>
      <c r="DO50" s="395" t="n"/>
      <c r="DP50" s="395" t="n"/>
      <c r="DQ50" s="395" t="n"/>
      <c r="DR50" s="396" t="n"/>
      <c r="DT50" s="254" t="inlineStr">
        <is>
          <t>休日</t>
        </is>
      </c>
      <c r="DU50" s="395" t="n"/>
      <c r="DV50" s="395" t="n"/>
      <c r="DW50" s="396" t="n"/>
      <c r="DX50" s="397">
        <f>IF(Q47="作業者5",N50-N47,0)</f>
        <v/>
      </c>
      <c r="DY50" s="395" t="n"/>
      <c r="DZ50" s="395" t="n"/>
      <c r="EA50" s="395" t="n"/>
      <c r="EB50" s="396" t="n"/>
    </row>
    <row r="51" ht="9" customHeight="1" s="337">
      <c r="B51" s="398" t="n"/>
      <c r="C51" s="372" t="n"/>
      <c r="D51" s="373" t="n"/>
      <c r="E51" s="399" t="n"/>
      <c r="F51" s="372" t="n"/>
      <c r="G51" s="373" t="n"/>
      <c r="H51" s="399" t="n"/>
      <c r="I51" s="372" t="n"/>
      <c r="J51" s="373" t="n"/>
      <c r="K51" s="399" t="n"/>
      <c r="L51" s="372" t="n"/>
      <c r="M51" s="373" t="n"/>
      <c r="N51" s="399" t="n"/>
      <c r="O51" s="372" t="n"/>
      <c r="P51" s="373" t="n"/>
      <c r="Q51" s="371" t="n"/>
      <c r="R51" s="372" t="n"/>
      <c r="S51" s="373" t="n"/>
      <c r="T51" s="371" t="n"/>
      <c r="U51" s="372" t="n"/>
      <c r="V51" s="373" t="n"/>
      <c r="W51" s="401" t="n"/>
      <c r="X51" s="372" t="n"/>
      <c r="Y51" s="372" t="n"/>
      <c r="Z51" s="372" t="n"/>
      <c r="AA51" s="372" t="n"/>
      <c r="AB51" s="372" t="n"/>
      <c r="AC51" s="372" t="n"/>
      <c r="AD51" s="372" t="n"/>
      <c r="AE51" s="372" t="n"/>
      <c r="AF51" s="372" t="n"/>
      <c r="AG51" s="372" t="n"/>
      <c r="AH51" s="372" t="n"/>
      <c r="AI51" s="372" t="n"/>
      <c r="AJ51" s="372" t="n"/>
      <c r="AK51" s="372" t="n"/>
      <c r="AL51" s="372" t="n"/>
      <c r="AM51" s="372" t="n"/>
      <c r="AN51" s="372" t="n"/>
      <c r="AO51" s="372" t="n"/>
      <c r="AP51" s="372" t="n"/>
      <c r="AQ51" s="372" t="n"/>
      <c r="AR51" s="372" t="n"/>
      <c r="AS51" s="372" t="n"/>
      <c r="AT51" s="372" t="n"/>
      <c r="AU51" s="372" t="n"/>
      <c r="AV51" s="372" t="n"/>
      <c r="AW51" s="372" t="n"/>
      <c r="AX51" s="372" t="n"/>
      <c r="AY51" s="372" t="n"/>
      <c r="AZ51" s="372" t="n"/>
      <c r="BA51" s="372" t="n"/>
      <c r="BB51" s="372" t="n"/>
      <c r="BC51" s="372" t="n"/>
      <c r="BD51" s="372" t="n"/>
      <c r="BE51" s="372" t="n"/>
      <c r="BF51" s="372" t="n"/>
      <c r="BG51" s="372" t="n"/>
      <c r="BH51" s="372" t="n"/>
      <c r="BI51" s="372" t="n"/>
      <c r="BJ51" s="372" t="n"/>
      <c r="BK51" s="372" t="n"/>
      <c r="BL51" s="372" t="n"/>
      <c r="BM51" s="372" t="n"/>
      <c r="BN51" s="372" t="n"/>
      <c r="BO51" s="372" t="n"/>
      <c r="BP51" s="372" t="n"/>
      <c r="BQ51" s="372" t="n"/>
      <c r="BR51" s="372" t="n"/>
      <c r="BS51" s="372" t="n"/>
      <c r="BT51" s="372" t="n"/>
      <c r="BU51" s="372" t="n"/>
      <c r="BV51" s="372" t="n"/>
      <c r="BW51" s="372" t="n"/>
      <c r="BX51" s="372" t="n"/>
      <c r="BY51" s="372" t="n"/>
      <c r="BZ51" s="372" t="n"/>
      <c r="CA51" s="372" t="n"/>
      <c r="CB51" s="372" t="n"/>
      <c r="CC51" s="402" t="n"/>
      <c r="CF51" s="248" t="inlineStr">
        <is>
          <t>移動</t>
        </is>
      </c>
      <c r="CG51" s="377" t="n"/>
      <c r="CH51" s="377" t="n"/>
      <c r="CI51" s="378" t="n"/>
      <c r="CJ51" s="379">
        <f>IF(Q51="作業者1",E54-E51,0)</f>
        <v/>
      </c>
      <c r="CK51" s="377" t="n"/>
      <c r="CL51" s="377" t="n"/>
      <c r="CM51" s="377" t="n"/>
      <c r="CN51" s="378" t="n"/>
      <c r="CP51" s="248" t="inlineStr">
        <is>
          <t>移動</t>
        </is>
      </c>
      <c r="CQ51" s="377" t="n"/>
      <c r="CR51" s="377" t="n"/>
      <c r="CS51" s="378" t="n"/>
      <c r="CT51" s="379">
        <f>IF(Q51="作業者2",E54-E51,0)</f>
        <v/>
      </c>
      <c r="CU51" s="377" t="n"/>
      <c r="CV51" s="377" t="n"/>
      <c r="CW51" s="377" t="n"/>
      <c r="CX51" s="378" t="n"/>
      <c r="CZ51" s="259" t="inlineStr">
        <is>
          <t>移動</t>
        </is>
      </c>
      <c r="DA51" s="403" t="n"/>
      <c r="DB51" s="403" t="n"/>
      <c r="DC51" s="404" t="n"/>
      <c r="DD51" s="405">
        <f>IF(Q51="作業者3",E54-E51,0)</f>
        <v/>
      </c>
      <c r="DE51" s="406" t="n"/>
      <c r="DF51" s="406" t="n"/>
      <c r="DG51" s="406" t="n"/>
      <c r="DH51" s="407" t="n"/>
      <c r="DJ51" s="259" t="inlineStr">
        <is>
          <t>移動</t>
        </is>
      </c>
      <c r="DK51" s="403" t="n"/>
      <c r="DL51" s="403" t="n"/>
      <c r="DM51" s="404" t="n"/>
      <c r="DN51" s="379">
        <f>IF(Q51="作業者4",E54-E51,0)</f>
        <v/>
      </c>
      <c r="DO51" s="377" t="n"/>
      <c r="DP51" s="377" t="n"/>
      <c r="DQ51" s="377" t="n"/>
      <c r="DR51" s="378" t="n"/>
      <c r="DT51" s="259" t="inlineStr">
        <is>
          <t>移動</t>
        </is>
      </c>
      <c r="DU51" s="403" t="n"/>
      <c r="DV51" s="403" t="n"/>
      <c r="DW51" s="404" t="n"/>
      <c r="DX51" s="379">
        <f>IF(Q51="作業者5",E54-E51,0)</f>
        <v/>
      </c>
      <c r="DY51" s="377" t="n"/>
      <c r="DZ51" s="377" t="n"/>
      <c r="EA51" s="377" t="n"/>
      <c r="EB51" s="378" t="n"/>
    </row>
    <row r="52" ht="9" customHeight="1" s="337">
      <c r="B52" s="350" t="n"/>
      <c r="C52" s="338" t="n"/>
      <c r="D52" s="380" t="n"/>
      <c r="E52" s="381" t="n"/>
      <c r="F52" s="122" t="inlineStr">
        <is>
          <t>～</t>
        </is>
      </c>
      <c r="G52" s="22" t="n"/>
      <c r="H52" s="381" t="n"/>
      <c r="I52" s="122" t="inlineStr">
        <is>
          <t>～</t>
        </is>
      </c>
      <c r="J52" s="22" t="n"/>
      <c r="K52" s="381" t="n"/>
      <c r="L52" s="122" t="inlineStr">
        <is>
          <t>～</t>
        </is>
      </c>
      <c r="M52" s="22" t="n"/>
      <c r="N52" s="381" t="n"/>
      <c r="O52" s="122" t="inlineStr">
        <is>
          <t>～</t>
        </is>
      </c>
      <c r="P52" s="22" t="n"/>
      <c r="Q52" s="382" t="n"/>
      <c r="R52" s="338" t="n"/>
      <c r="S52" s="380" t="n"/>
      <c r="T52" s="382" t="n"/>
      <c r="U52" s="338" t="n"/>
      <c r="V52" s="380" t="n"/>
      <c r="W52" s="382" t="n"/>
      <c r="X52" s="338" t="n"/>
      <c r="Y52" s="338" t="n"/>
      <c r="Z52" s="338" t="n"/>
      <c r="AA52" s="338" t="n"/>
      <c r="AB52" s="338" t="n"/>
      <c r="AC52" s="338" t="n"/>
      <c r="AD52" s="338" t="n"/>
      <c r="AE52" s="338" t="n"/>
      <c r="AF52" s="338" t="n"/>
      <c r="AG52" s="338" t="n"/>
      <c r="AH52" s="338" t="n"/>
      <c r="AI52" s="338" t="n"/>
      <c r="AJ52" s="338" t="n"/>
      <c r="AK52" s="338" t="n"/>
      <c r="AL52" s="338" t="n"/>
      <c r="AM52" s="338" t="n"/>
      <c r="AN52" s="338" t="n"/>
      <c r="AO52" s="338" t="n"/>
      <c r="AP52" s="338" t="n"/>
      <c r="AQ52" s="338" t="n"/>
      <c r="AR52" s="338" t="n"/>
      <c r="AS52" s="338" t="n"/>
      <c r="AT52" s="338" t="n"/>
      <c r="AU52" s="338" t="n"/>
      <c r="AV52" s="338" t="n"/>
      <c r="AW52" s="338" t="n"/>
      <c r="AX52" s="338" t="n"/>
      <c r="AY52" s="338" t="n"/>
      <c r="AZ52" s="338" t="n"/>
      <c r="BA52" s="338" t="n"/>
      <c r="BB52" s="338" t="n"/>
      <c r="BC52" s="338" t="n"/>
      <c r="BD52" s="338" t="n"/>
      <c r="BE52" s="338" t="n"/>
      <c r="BF52" s="338" t="n"/>
      <c r="BG52" s="338" t="n"/>
      <c r="BH52" s="338" t="n"/>
      <c r="BI52" s="338" t="n"/>
      <c r="BJ52" s="338" t="n"/>
      <c r="BK52" s="338" t="n"/>
      <c r="BL52" s="338" t="n"/>
      <c r="BM52" s="338" t="n"/>
      <c r="BN52" s="338" t="n"/>
      <c r="BO52" s="338" t="n"/>
      <c r="BP52" s="338" t="n"/>
      <c r="BQ52" s="338" t="n"/>
      <c r="BR52" s="338" t="n"/>
      <c r="BS52" s="338" t="n"/>
      <c r="BT52" s="338" t="n"/>
      <c r="BU52" s="338" t="n"/>
      <c r="BV52" s="338" t="n"/>
      <c r="BW52" s="338" t="n"/>
      <c r="BX52" s="338" t="n"/>
      <c r="BY52" s="338" t="n"/>
      <c r="BZ52" s="338" t="n"/>
      <c r="CA52" s="338" t="n"/>
      <c r="CB52" s="338" t="n"/>
      <c r="CC52" s="383" t="n"/>
      <c r="CF52" s="253" t="inlineStr">
        <is>
          <t>時間内</t>
        </is>
      </c>
      <c r="CG52" s="384" t="n"/>
      <c r="CH52" s="384" t="n"/>
      <c r="CI52" s="385" t="n"/>
      <c r="CJ52" s="386">
        <f>IF(Q51="作業者1",H54-H51,0)</f>
        <v/>
      </c>
      <c r="CK52" s="387" t="n"/>
      <c r="CL52" s="387" t="n"/>
      <c r="CM52" s="387" t="n"/>
      <c r="CN52" s="388" t="n"/>
      <c r="CP52" s="253" t="inlineStr">
        <is>
          <t>時間内</t>
        </is>
      </c>
      <c r="CQ52" s="384" t="n"/>
      <c r="CR52" s="384" t="n"/>
      <c r="CS52" s="385" t="n"/>
      <c r="CT52" s="386">
        <f>IF(Q51="作業者2",H54-H51,0)</f>
        <v/>
      </c>
      <c r="CU52" s="387" t="n"/>
      <c r="CV52" s="387" t="n"/>
      <c r="CW52" s="387" t="n"/>
      <c r="CX52" s="388" t="n"/>
      <c r="CZ52" s="253" t="inlineStr">
        <is>
          <t>時間内</t>
        </is>
      </c>
      <c r="DA52" s="384" t="n"/>
      <c r="DB52" s="384" t="n"/>
      <c r="DC52" s="385" t="n"/>
      <c r="DD52" s="386">
        <f>IF(Q51="作業者3",H54-H51,0)</f>
        <v/>
      </c>
      <c r="DE52" s="387" t="n"/>
      <c r="DF52" s="387" t="n"/>
      <c r="DG52" s="387" t="n"/>
      <c r="DH52" s="388" t="n"/>
      <c r="DJ52" s="253" t="inlineStr">
        <is>
          <t>時間内</t>
        </is>
      </c>
      <c r="DK52" s="384" t="n"/>
      <c r="DL52" s="384" t="n"/>
      <c r="DM52" s="385" t="n"/>
      <c r="DN52" s="386">
        <f>IF(Q51="作業者4",H54-H51,0)</f>
        <v/>
      </c>
      <c r="DO52" s="387" t="n"/>
      <c r="DP52" s="387" t="n"/>
      <c r="DQ52" s="387" t="n"/>
      <c r="DR52" s="388" t="n"/>
      <c r="DT52" s="253" t="inlineStr">
        <is>
          <t>時間内</t>
        </is>
      </c>
      <c r="DU52" s="384" t="n"/>
      <c r="DV52" s="384" t="n"/>
      <c r="DW52" s="385" t="n"/>
      <c r="DX52" s="386">
        <f>IF(Q51="作業者5",H54-H51,0)</f>
        <v/>
      </c>
      <c r="DY52" s="387" t="n"/>
      <c r="DZ52" s="387" t="n"/>
      <c r="EA52" s="387" t="n"/>
      <c r="EB52" s="388" t="n"/>
    </row>
    <row r="53" ht="9" customHeight="1" s="337">
      <c r="B53" s="350" t="n"/>
      <c r="C53" s="338" t="n"/>
      <c r="D53" s="380" t="n"/>
      <c r="E53" s="23" t="n"/>
      <c r="F53" s="338" t="n"/>
      <c r="G53" s="24" t="n"/>
      <c r="H53" s="23" t="n"/>
      <c r="I53" s="338" t="n"/>
      <c r="J53" s="24" t="n"/>
      <c r="K53" s="23" t="n"/>
      <c r="L53" s="338" t="n"/>
      <c r="M53" s="24" t="n"/>
      <c r="N53" s="23" t="n"/>
      <c r="O53" s="338" t="n"/>
      <c r="P53" s="24" t="n"/>
      <c r="Q53" s="382" t="n"/>
      <c r="R53" s="338" t="n"/>
      <c r="S53" s="380" t="n"/>
      <c r="T53" s="382" t="n"/>
      <c r="U53" s="338" t="n"/>
      <c r="V53" s="380" t="n"/>
      <c r="W53" s="382" t="n"/>
      <c r="X53" s="338" t="n"/>
      <c r="Y53" s="338" t="n"/>
      <c r="Z53" s="338" t="n"/>
      <c r="AA53" s="338" t="n"/>
      <c r="AB53" s="338" t="n"/>
      <c r="AC53" s="338" t="n"/>
      <c r="AD53" s="338" t="n"/>
      <c r="AE53" s="338" t="n"/>
      <c r="AF53" s="338" t="n"/>
      <c r="AG53" s="338" t="n"/>
      <c r="AH53" s="338" t="n"/>
      <c r="AI53" s="338" t="n"/>
      <c r="AJ53" s="338" t="n"/>
      <c r="AK53" s="338" t="n"/>
      <c r="AL53" s="338" t="n"/>
      <c r="AM53" s="338" t="n"/>
      <c r="AN53" s="338" t="n"/>
      <c r="AO53" s="338" t="n"/>
      <c r="AP53" s="338" t="n"/>
      <c r="AQ53" s="338" t="n"/>
      <c r="AR53" s="338" t="n"/>
      <c r="AS53" s="338" t="n"/>
      <c r="AT53" s="338" t="n"/>
      <c r="AU53" s="338" t="n"/>
      <c r="AV53" s="338" t="n"/>
      <c r="AW53" s="338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8" t="n"/>
      <c r="BH53" s="338" t="n"/>
      <c r="BI53" s="338" t="n"/>
      <c r="BJ53" s="338" t="n"/>
      <c r="BK53" s="338" t="n"/>
      <c r="BL53" s="338" t="n"/>
      <c r="BM53" s="338" t="n"/>
      <c r="BN53" s="338" t="n"/>
      <c r="BO53" s="338" t="n"/>
      <c r="BP53" s="338" t="n"/>
      <c r="BQ53" s="338" t="n"/>
      <c r="BR53" s="338" t="n"/>
      <c r="BS53" s="338" t="n"/>
      <c r="BT53" s="338" t="n"/>
      <c r="BU53" s="338" t="n"/>
      <c r="BV53" s="338" t="n"/>
      <c r="BW53" s="338" t="n"/>
      <c r="BX53" s="338" t="n"/>
      <c r="BY53" s="338" t="n"/>
      <c r="BZ53" s="338" t="n"/>
      <c r="CA53" s="338" t="n"/>
      <c r="CB53" s="338" t="n"/>
      <c r="CC53" s="383" t="n"/>
      <c r="CF53" s="253" t="inlineStr">
        <is>
          <t>時間外</t>
        </is>
      </c>
      <c r="CG53" s="384" t="n"/>
      <c r="CH53" s="384" t="n"/>
      <c r="CI53" s="385" t="n"/>
      <c r="CJ53" s="386">
        <f>IF(Q51="作業者1",K54-K51,0)</f>
        <v/>
      </c>
      <c r="CK53" s="387" t="n"/>
      <c r="CL53" s="387" t="n"/>
      <c r="CM53" s="387" t="n"/>
      <c r="CN53" s="388" t="n"/>
      <c r="CP53" s="253" t="inlineStr">
        <is>
          <t>時間外</t>
        </is>
      </c>
      <c r="CQ53" s="384" t="n"/>
      <c r="CR53" s="384" t="n"/>
      <c r="CS53" s="385" t="n"/>
      <c r="CT53" s="386">
        <f>IF(Q51="作業者2",K54-K51,0)</f>
        <v/>
      </c>
      <c r="CU53" s="387" t="n"/>
      <c r="CV53" s="387" t="n"/>
      <c r="CW53" s="387" t="n"/>
      <c r="CX53" s="388" t="n"/>
      <c r="CZ53" s="253" t="inlineStr">
        <is>
          <t>時間外</t>
        </is>
      </c>
      <c r="DA53" s="384" t="n"/>
      <c r="DB53" s="384" t="n"/>
      <c r="DC53" s="385" t="n"/>
      <c r="DD53" s="386">
        <f>IF(Q51="作業者3",K54-K51,0)</f>
        <v/>
      </c>
      <c r="DE53" s="387" t="n"/>
      <c r="DF53" s="387" t="n"/>
      <c r="DG53" s="387" t="n"/>
      <c r="DH53" s="388" t="n"/>
      <c r="DJ53" s="253" t="inlineStr">
        <is>
          <t>時間外</t>
        </is>
      </c>
      <c r="DK53" s="384" t="n"/>
      <c r="DL53" s="384" t="n"/>
      <c r="DM53" s="385" t="n"/>
      <c r="DN53" s="386">
        <f>IF(Q51="作業者4",K54-K51,0)</f>
        <v/>
      </c>
      <c r="DO53" s="387" t="n"/>
      <c r="DP53" s="387" t="n"/>
      <c r="DQ53" s="387" t="n"/>
      <c r="DR53" s="388" t="n"/>
      <c r="DT53" s="253" t="inlineStr">
        <is>
          <t>時間外</t>
        </is>
      </c>
      <c r="DU53" s="384" t="n"/>
      <c r="DV53" s="384" t="n"/>
      <c r="DW53" s="385" t="n"/>
      <c r="DX53" s="386">
        <f>IF(Q51="作業者5",K54-K51,0)</f>
        <v/>
      </c>
      <c r="DY53" s="387" t="n"/>
      <c r="DZ53" s="387" t="n"/>
      <c r="EA53" s="387" t="n"/>
      <c r="EB53" s="388" t="n"/>
    </row>
    <row r="54" ht="9" customHeight="1" s="337">
      <c r="B54" s="389" t="n"/>
      <c r="C54" s="390" t="n"/>
      <c r="D54" s="391" t="n"/>
      <c r="E54" s="392" t="n"/>
      <c r="F54" s="390" t="n"/>
      <c r="G54" s="391" t="n"/>
      <c r="H54" s="392" t="n"/>
      <c r="I54" s="390" t="n"/>
      <c r="J54" s="391" t="n"/>
      <c r="K54" s="392" t="n"/>
      <c r="L54" s="390" t="n"/>
      <c r="M54" s="391" t="n"/>
      <c r="N54" s="392" t="n"/>
      <c r="O54" s="390" t="n"/>
      <c r="P54" s="391" t="n"/>
      <c r="Q54" s="393" t="n"/>
      <c r="R54" s="390" t="n"/>
      <c r="S54" s="391" t="n"/>
      <c r="T54" s="393" t="n"/>
      <c r="U54" s="390" t="n"/>
      <c r="V54" s="391" t="n"/>
      <c r="W54" s="393" t="n"/>
      <c r="X54" s="390" t="n"/>
      <c r="Y54" s="390" t="n"/>
      <c r="Z54" s="390" t="n"/>
      <c r="AA54" s="390" t="n"/>
      <c r="AB54" s="390" t="n"/>
      <c r="AC54" s="390" t="n"/>
      <c r="AD54" s="390" t="n"/>
      <c r="AE54" s="390" t="n"/>
      <c r="AF54" s="390" t="n"/>
      <c r="AG54" s="390" t="n"/>
      <c r="AH54" s="390" t="n"/>
      <c r="AI54" s="390" t="n"/>
      <c r="AJ54" s="390" t="n"/>
      <c r="AK54" s="390" t="n"/>
      <c r="AL54" s="390" t="n"/>
      <c r="AM54" s="390" t="n"/>
      <c r="AN54" s="390" t="n"/>
      <c r="AO54" s="390" t="n"/>
      <c r="AP54" s="390" t="n"/>
      <c r="AQ54" s="390" t="n"/>
      <c r="AR54" s="390" t="n"/>
      <c r="AS54" s="390" t="n"/>
      <c r="AT54" s="390" t="n"/>
      <c r="AU54" s="390" t="n"/>
      <c r="AV54" s="390" t="n"/>
      <c r="AW54" s="390" t="n"/>
      <c r="AX54" s="390" t="n"/>
      <c r="AY54" s="390" t="n"/>
      <c r="AZ54" s="390" t="n"/>
      <c r="BA54" s="390" t="n"/>
      <c r="BB54" s="390" t="n"/>
      <c r="BC54" s="390" t="n"/>
      <c r="BD54" s="390" t="n"/>
      <c r="BE54" s="390" t="n"/>
      <c r="BF54" s="390" t="n"/>
      <c r="BG54" s="390" t="n"/>
      <c r="BH54" s="390" t="n"/>
      <c r="BI54" s="390" t="n"/>
      <c r="BJ54" s="390" t="n"/>
      <c r="BK54" s="390" t="n"/>
      <c r="BL54" s="390" t="n"/>
      <c r="BM54" s="390" t="n"/>
      <c r="BN54" s="390" t="n"/>
      <c r="BO54" s="390" t="n"/>
      <c r="BP54" s="390" t="n"/>
      <c r="BQ54" s="390" t="n"/>
      <c r="BR54" s="390" t="n"/>
      <c r="BS54" s="390" t="n"/>
      <c r="BT54" s="390" t="n"/>
      <c r="BU54" s="390" t="n"/>
      <c r="BV54" s="390" t="n"/>
      <c r="BW54" s="390" t="n"/>
      <c r="BX54" s="390" t="n"/>
      <c r="BY54" s="390" t="n"/>
      <c r="BZ54" s="390" t="n"/>
      <c r="CA54" s="390" t="n"/>
      <c r="CB54" s="390" t="n"/>
      <c r="CC54" s="394" t="n"/>
      <c r="CF54" s="254" t="inlineStr">
        <is>
          <t>休日</t>
        </is>
      </c>
      <c r="CG54" s="395" t="n"/>
      <c r="CH54" s="395" t="n"/>
      <c r="CI54" s="396" t="n"/>
      <c r="CJ54" s="397">
        <f>IF(Q51="作業者1",N54-N51,0)</f>
        <v/>
      </c>
      <c r="CK54" s="395" t="n"/>
      <c r="CL54" s="395" t="n"/>
      <c r="CM54" s="395" t="n"/>
      <c r="CN54" s="396" t="n"/>
      <c r="CP54" s="254" t="inlineStr">
        <is>
          <t>休日</t>
        </is>
      </c>
      <c r="CQ54" s="395" t="n"/>
      <c r="CR54" s="395" t="n"/>
      <c r="CS54" s="396" t="n"/>
      <c r="CT54" s="397">
        <f>IF(Q51="作業者2",N54-N51,0)</f>
        <v/>
      </c>
      <c r="CU54" s="395" t="n"/>
      <c r="CV54" s="395" t="n"/>
      <c r="CW54" s="395" t="n"/>
      <c r="CX54" s="396" t="n"/>
      <c r="CZ54" s="254" t="inlineStr">
        <is>
          <t>休日</t>
        </is>
      </c>
      <c r="DA54" s="395" t="n"/>
      <c r="DB54" s="395" t="n"/>
      <c r="DC54" s="396" t="n"/>
      <c r="DD54" s="397">
        <f>IF(Q51="作業者3",N54-N51,0)</f>
        <v/>
      </c>
      <c r="DE54" s="395" t="n"/>
      <c r="DF54" s="395" t="n"/>
      <c r="DG54" s="395" t="n"/>
      <c r="DH54" s="396" t="n"/>
      <c r="DJ54" s="254" t="inlineStr">
        <is>
          <t>休日</t>
        </is>
      </c>
      <c r="DK54" s="395" t="n"/>
      <c r="DL54" s="395" t="n"/>
      <c r="DM54" s="396" t="n"/>
      <c r="DN54" s="397">
        <f>IF(Q51="作業者4",N54-N51,0)</f>
        <v/>
      </c>
      <c r="DO54" s="395" t="n"/>
      <c r="DP54" s="395" t="n"/>
      <c r="DQ54" s="395" t="n"/>
      <c r="DR54" s="396" t="n"/>
      <c r="DT54" s="254" t="inlineStr">
        <is>
          <t>休日</t>
        </is>
      </c>
      <c r="DU54" s="395" t="n"/>
      <c r="DV54" s="395" t="n"/>
      <c r="DW54" s="396" t="n"/>
      <c r="DX54" s="397">
        <f>IF(Q51="作業者5",N54-N51,0)</f>
        <v/>
      </c>
      <c r="DY54" s="395" t="n"/>
      <c r="DZ54" s="395" t="n"/>
      <c r="EA54" s="395" t="n"/>
      <c r="EB54" s="396" t="n"/>
    </row>
    <row r="55" ht="9" customHeight="1" s="337">
      <c r="B55" s="398" t="n"/>
      <c r="C55" s="372" t="n"/>
      <c r="D55" s="373" t="n"/>
      <c r="E55" s="399" t="n"/>
      <c r="F55" s="372" t="n"/>
      <c r="G55" s="373" t="n"/>
      <c r="H55" s="399" t="n"/>
      <c r="I55" s="372" t="n"/>
      <c r="J55" s="373" t="n"/>
      <c r="K55" s="399" t="n"/>
      <c r="L55" s="372" t="n"/>
      <c r="M55" s="373" t="n"/>
      <c r="N55" s="399" t="n"/>
      <c r="O55" s="372" t="n"/>
      <c r="P55" s="373" t="n"/>
      <c r="Q55" s="371" t="n"/>
      <c r="R55" s="372" t="n"/>
      <c r="S55" s="373" t="n"/>
      <c r="T55" s="371" t="n"/>
      <c r="U55" s="372" t="n"/>
      <c r="V55" s="373" t="n"/>
      <c r="W55" s="401" t="n"/>
      <c r="X55" s="372" t="n"/>
      <c r="Y55" s="372" t="n"/>
      <c r="Z55" s="372" t="n"/>
      <c r="AA55" s="372" t="n"/>
      <c r="AB55" s="372" t="n"/>
      <c r="AC55" s="372" t="n"/>
      <c r="AD55" s="372" t="n"/>
      <c r="AE55" s="372" t="n"/>
      <c r="AF55" s="372" t="n"/>
      <c r="AG55" s="372" t="n"/>
      <c r="AH55" s="372" t="n"/>
      <c r="AI55" s="372" t="n"/>
      <c r="AJ55" s="372" t="n"/>
      <c r="AK55" s="372" t="n"/>
      <c r="AL55" s="372" t="n"/>
      <c r="AM55" s="372" t="n"/>
      <c r="AN55" s="372" t="n"/>
      <c r="AO55" s="372" t="n"/>
      <c r="AP55" s="372" t="n"/>
      <c r="AQ55" s="372" t="n"/>
      <c r="AR55" s="372" t="n"/>
      <c r="AS55" s="372" t="n"/>
      <c r="AT55" s="372" t="n"/>
      <c r="AU55" s="372" t="n"/>
      <c r="AV55" s="372" t="n"/>
      <c r="AW55" s="372" t="n"/>
      <c r="AX55" s="372" t="n"/>
      <c r="AY55" s="372" t="n"/>
      <c r="AZ55" s="372" t="n"/>
      <c r="BA55" s="372" t="n"/>
      <c r="BB55" s="372" t="n"/>
      <c r="BC55" s="372" t="n"/>
      <c r="BD55" s="372" t="n"/>
      <c r="BE55" s="372" t="n"/>
      <c r="BF55" s="372" t="n"/>
      <c r="BG55" s="372" t="n"/>
      <c r="BH55" s="372" t="n"/>
      <c r="BI55" s="372" t="n"/>
      <c r="BJ55" s="372" t="n"/>
      <c r="BK55" s="372" t="n"/>
      <c r="BL55" s="372" t="n"/>
      <c r="BM55" s="372" t="n"/>
      <c r="BN55" s="372" t="n"/>
      <c r="BO55" s="372" t="n"/>
      <c r="BP55" s="372" t="n"/>
      <c r="BQ55" s="372" t="n"/>
      <c r="BR55" s="372" t="n"/>
      <c r="BS55" s="372" t="n"/>
      <c r="BT55" s="372" t="n"/>
      <c r="BU55" s="372" t="n"/>
      <c r="BV55" s="372" t="n"/>
      <c r="BW55" s="372" t="n"/>
      <c r="BX55" s="372" t="n"/>
      <c r="BY55" s="372" t="n"/>
      <c r="BZ55" s="372" t="n"/>
      <c r="CA55" s="372" t="n"/>
      <c r="CB55" s="372" t="n"/>
      <c r="CC55" s="402" t="n"/>
      <c r="CF55" s="248" t="inlineStr">
        <is>
          <t>移動</t>
        </is>
      </c>
      <c r="CG55" s="377" t="n"/>
      <c r="CH55" s="377" t="n"/>
      <c r="CI55" s="378" t="n"/>
      <c r="CJ55" s="379">
        <f>IF(Q55="作業者1",E58-E55,0)</f>
        <v/>
      </c>
      <c r="CK55" s="377" t="n"/>
      <c r="CL55" s="377" t="n"/>
      <c r="CM55" s="377" t="n"/>
      <c r="CN55" s="378" t="n"/>
      <c r="CP55" s="248" t="inlineStr">
        <is>
          <t>移動</t>
        </is>
      </c>
      <c r="CQ55" s="377" t="n"/>
      <c r="CR55" s="377" t="n"/>
      <c r="CS55" s="378" t="n"/>
      <c r="CT55" s="379">
        <f>IF(Q55="作業者2",E58-E55,0)</f>
        <v/>
      </c>
      <c r="CU55" s="377" t="n"/>
      <c r="CV55" s="377" t="n"/>
      <c r="CW55" s="377" t="n"/>
      <c r="CX55" s="378" t="n"/>
      <c r="CZ55" s="259" t="inlineStr">
        <is>
          <t>移動</t>
        </is>
      </c>
      <c r="DA55" s="403" t="n"/>
      <c r="DB55" s="403" t="n"/>
      <c r="DC55" s="404" t="n"/>
      <c r="DD55" s="405">
        <f>IF(Q55="作業者3",E58-E55,0)</f>
        <v/>
      </c>
      <c r="DE55" s="406" t="n"/>
      <c r="DF55" s="406" t="n"/>
      <c r="DG55" s="406" t="n"/>
      <c r="DH55" s="407" t="n"/>
      <c r="DJ55" s="259" t="inlineStr">
        <is>
          <t>移動</t>
        </is>
      </c>
      <c r="DK55" s="403" t="n"/>
      <c r="DL55" s="403" t="n"/>
      <c r="DM55" s="404" t="n"/>
      <c r="DN55" s="379">
        <f>IF(Q55="作業者4",E58-E55,0)</f>
        <v/>
      </c>
      <c r="DO55" s="377" t="n"/>
      <c r="DP55" s="377" t="n"/>
      <c r="DQ55" s="377" t="n"/>
      <c r="DR55" s="378" t="n"/>
      <c r="DT55" s="259" t="inlineStr">
        <is>
          <t>移動</t>
        </is>
      </c>
      <c r="DU55" s="403" t="n"/>
      <c r="DV55" s="403" t="n"/>
      <c r="DW55" s="404" t="n"/>
      <c r="DX55" s="379">
        <f>IF(Q55="作業者5",E58-E55,0)</f>
        <v/>
      </c>
      <c r="DY55" s="377" t="n"/>
      <c r="DZ55" s="377" t="n"/>
      <c r="EA55" s="377" t="n"/>
      <c r="EB55" s="378" t="n"/>
    </row>
    <row r="56" ht="9" customHeight="1" s="337">
      <c r="B56" s="350" t="n"/>
      <c r="C56" s="338" t="n"/>
      <c r="D56" s="380" t="n"/>
      <c r="E56" s="381" t="n"/>
      <c r="F56" s="122" t="inlineStr">
        <is>
          <t>～</t>
        </is>
      </c>
      <c r="G56" s="22" t="n"/>
      <c r="H56" s="381" t="n"/>
      <c r="I56" s="122" t="inlineStr">
        <is>
          <t>～</t>
        </is>
      </c>
      <c r="J56" s="22" t="n"/>
      <c r="K56" s="381" t="n"/>
      <c r="L56" s="122" t="inlineStr">
        <is>
          <t>～</t>
        </is>
      </c>
      <c r="M56" s="22" t="n"/>
      <c r="N56" s="381" t="n"/>
      <c r="O56" s="122" t="inlineStr">
        <is>
          <t>～</t>
        </is>
      </c>
      <c r="P56" s="22" t="n"/>
      <c r="Q56" s="382" t="n"/>
      <c r="R56" s="338" t="n"/>
      <c r="S56" s="380" t="n"/>
      <c r="T56" s="382" t="n"/>
      <c r="U56" s="338" t="n"/>
      <c r="V56" s="380" t="n"/>
      <c r="W56" s="382" t="n"/>
      <c r="X56" s="338" t="n"/>
      <c r="Y56" s="338" t="n"/>
      <c r="Z56" s="338" t="n"/>
      <c r="AA56" s="338" t="n"/>
      <c r="AB56" s="338" t="n"/>
      <c r="AC56" s="338" t="n"/>
      <c r="AD56" s="338" t="n"/>
      <c r="AE56" s="338" t="n"/>
      <c r="AF56" s="338" t="n"/>
      <c r="AG56" s="338" t="n"/>
      <c r="AH56" s="338" t="n"/>
      <c r="AI56" s="338" t="n"/>
      <c r="AJ56" s="338" t="n"/>
      <c r="AK56" s="338" t="n"/>
      <c r="AL56" s="338" t="n"/>
      <c r="AM56" s="338" t="n"/>
      <c r="AN56" s="338" t="n"/>
      <c r="AO56" s="338" t="n"/>
      <c r="AP56" s="338" t="n"/>
      <c r="AQ56" s="338" t="n"/>
      <c r="AR56" s="338" t="n"/>
      <c r="AS56" s="338" t="n"/>
      <c r="AT56" s="338" t="n"/>
      <c r="AU56" s="338" t="n"/>
      <c r="AV56" s="338" t="n"/>
      <c r="AW56" s="338" t="n"/>
      <c r="AX56" s="338" t="n"/>
      <c r="AY56" s="338" t="n"/>
      <c r="AZ56" s="338" t="n"/>
      <c r="BA56" s="338" t="n"/>
      <c r="BB56" s="338" t="n"/>
      <c r="BC56" s="338" t="n"/>
      <c r="BD56" s="338" t="n"/>
      <c r="BE56" s="338" t="n"/>
      <c r="BF56" s="338" t="n"/>
      <c r="BG56" s="338" t="n"/>
      <c r="BH56" s="338" t="n"/>
      <c r="BI56" s="338" t="n"/>
      <c r="BJ56" s="338" t="n"/>
      <c r="BK56" s="338" t="n"/>
      <c r="BL56" s="338" t="n"/>
      <c r="BM56" s="338" t="n"/>
      <c r="BN56" s="338" t="n"/>
      <c r="BO56" s="338" t="n"/>
      <c r="BP56" s="338" t="n"/>
      <c r="BQ56" s="338" t="n"/>
      <c r="BR56" s="338" t="n"/>
      <c r="BS56" s="338" t="n"/>
      <c r="BT56" s="338" t="n"/>
      <c r="BU56" s="338" t="n"/>
      <c r="BV56" s="338" t="n"/>
      <c r="BW56" s="338" t="n"/>
      <c r="BX56" s="338" t="n"/>
      <c r="BY56" s="338" t="n"/>
      <c r="BZ56" s="338" t="n"/>
      <c r="CA56" s="338" t="n"/>
      <c r="CB56" s="338" t="n"/>
      <c r="CC56" s="383" t="n"/>
      <c r="CF56" s="253" t="inlineStr">
        <is>
          <t>時間内</t>
        </is>
      </c>
      <c r="CG56" s="384" t="n"/>
      <c r="CH56" s="384" t="n"/>
      <c r="CI56" s="385" t="n"/>
      <c r="CJ56" s="386">
        <f>IF(Q55="作業者1",H58-H55,0)</f>
        <v/>
      </c>
      <c r="CK56" s="387" t="n"/>
      <c r="CL56" s="387" t="n"/>
      <c r="CM56" s="387" t="n"/>
      <c r="CN56" s="388" t="n"/>
      <c r="CP56" s="253" t="inlineStr">
        <is>
          <t>時間内</t>
        </is>
      </c>
      <c r="CQ56" s="384" t="n"/>
      <c r="CR56" s="384" t="n"/>
      <c r="CS56" s="385" t="n"/>
      <c r="CT56" s="386">
        <f>IF(Q55="作業者2",H58-H55,0)</f>
        <v/>
      </c>
      <c r="CU56" s="387" t="n"/>
      <c r="CV56" s="387" t="n"/>
      <c r="CW56" s="387" t="n"/>
      <c r="CX56" s="388" t="n"/>
      <c r="CZ56" s="253" t="inlineStr">
        <is>
          <t>時間内</t>
        </is>
      </c>
      <c r="DA56" s="384" t="n"/>
      <c r="DB56" s="384" t="n"/>
      <c r="DC56" s="385" t="n"/>
      <c r="DD56" s="386">
        <f>IF(Q55="作業者3",H58-H55,0)</f>
        <v/>
      </c>
      <c r="DE56" s="387" t="n"/>
      <c r="DF56" s="387" t="n"/>
      <c r="DG56" s="387" t="n"/>
      <c r="DH56" s="388" t="n"/>
      <c r="DJ56" s="253" t="inlineStr">
        <is>
          <t>時間内</t>
        </is>
      </c>
      <c r="DK56" s="384" t="n"/>
      <c r="DL56" s="384" t="n"/>
      <c r="DM56" s="385" t="n"/>
      <c r="DN56" s="386">
        <f>IF(Q55="作業者4",H58-H55,0)</f>
        <v/>
      </c>
      <c r="DO56" s="387" t="n"/>
      <c r="DP56" s="387" t="n"/>
      <c r="DQ56" s="387" t="n"/>
      <c r="DR56" s="388" t="n"/>
      <c r="DT56" s="253" t="inlineStr">
        <is>
          <t>時間内</t>
        </is>
      </c>
      <c r="DU56" s="384" t="n"/>
      <c r="DV56" s="384" t="n"/>
      <c r="DW56" s="385" t="n"/>
      <c r="DX56" s="386">
        <f>IF(Q55="作業者5",H58-H55,0)</f>
        <v/>
      </c>
      <c r="DY56" s="387" t="n"/>
      <c r="DZ56" s="387" t="n"/>
      <c r="EA56" s="387" t="n"/>
      <c r="EB56" s="388" t="n"/>
    </row>
    <row r="57" ht="9" customHeight="1" s="337">
      <c r="B57" s="350" t="n"/>
      <c r="C57" s="338" t="n"/>
      <c r="D57" s="380" t="n"/>
      <c r="E57" s="23" t="n"/>
      <c r="F57" s="338" t="n"/>
      <c r="G57" s="24" t="n"/>
      <c r="H57" s="23" t="n"/>
      <c r="I57" s="338" t="n"/>
      <c r="J57" s="24" t="n"/>
      <c r="K57" s="23" t="n"/>
      <c r="L57" s="338" t="n"/>
      <c r="M57" s="24" t="n"/>
      <c r="N57" s="23" t="n"/>
      <c r="O57" s="338" t="n"/>
      <c r="P57" s="24" t="n"/>
      <c r="Q57" s="382" t="n"/>
      <c r="R57" s="338" t="n"/>
      <c r="S57" s="380" t="n"/>
      <c r="T57" s="382" t="n"/>
      <c r="U57" s="338" t="n"/>
      <c r="V57" s="380" t="n"/>
      <c r="W57" s="382" t="n"/>
      <c r="X57" s="338" t="n"/>
      <c r="Y57" s="338" t="n"/>
      <c r="Z57" s="338" t="n"/>
      <c r="AA57" s="338" t="n"/>
      <c r="AB57" s="338" t="n"/>
      <c r="AC57" s="338" t="n"/>
      <c r="AD57" s="338" t="n"/>
      <c r="AE57" s="338" t="n"/>
      <c r="AF57" s="338" t="n"/>
      <c r="AG57" s="338" t="n"/>
      <c r="AH57" s="338" t="n"/>
      <c r="AI57" s="338" t="n"/>
      <c r="AJ57" s="338" t="n"/>
      <c r="AK57" s="338" t="n"/>
      <c r="AL57" s="338" t="n"/>
      <c r="AM57" s="338" t="n"/>
      <c r="AN57" s="338" t="n"/>
      <c r="AO57" s="338" t="n"/>
      <c r="AP57" s="338" t="n"/>
      <c r="AQ57" s="338" t="n"/>
      <c r="AR57" s="338" t="n"/>
      <c r="AS57" s="338" t="n"/>
      <c r="AT57" s="338" t="n"/>
      <c r="AU57" s="338" t="n"/>
      <c r="AV57" s="338" t="n"/>
      <c r="AW57" s="338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8" t="n"/>
      <c r="BH57" s="338" t="n"/>
      <c r="BI57" s="338" t="n"/>
      <c r="BJ57" s="338" t="n"/>
      <c r="BK57" s="338" t="n"/>
      <c r="BL57" s="338" t="n"/>
      <c r="BM57" s="338" t="n"/>
      <c r="BN57" s="338" t="n"/>
      <c r="BO57" s="338" t="n"/>
      <c r="BP57" s="338" t="n"/>
      <c r="BQ57" s="338" t="n"/>
      <c r="BR57" s="338" t="n"/>
      <c r="BS57" s="338" t="n"/>
      <c r="BT57" s="338" t="n"/>
      <c r="BU57" s="338" t="n"/>
      <c r="BV57" s="338" t="n"/>
      <c r="BW57" s="338" t="n"/>
      <c r="BX57" s="338" t="n"/>
      <c r="BY57" s="338" t="n"/>
      <c r="BZ57" s="338" t="n"/>
      <c r="CA57" s="338" t="n"/>
      <c r="CB57" s="338" t="n"/>
      <c r="CC57" s="383" t="n"/>
      <c r="CF57" s="253" t="inlineStr">
        <is>
          <t>時間外</t>
        </is>
      </c>
      <c r="CG57" s="384" t="n"/>
      <c r="CH57" s="384" t="n"/>
      <c r="CI57" s="385" t="n"/>
      <c r="CJ57" s="386">
        <f>IF(Q55="作業者1",K58-K55,0)</f>
        <v/>
      </c>
      <c r="CK57" s="387" t="n"/>
      <c r="CL57" s="387" t="n"/>
      <c r="CM57" s="387" t="n"/>
      <c r="CN57" s="388" t="n"/>
      <c r="CP57" s="253" t="inlineStr">
        <is>
          <t>時間外</t>
        </is>
      </c>
      <c r="CQ57" s="384" t="n"/>
      <c r="CR57" s="384" t="n"/>
      <c r="CS57" s="385" t="n"/>
      <c r="CT57" s="386">
        <f>IF(Q55="作業者2",K58-K55,0)</f>
        <v/>
      </c>
      <c r="CU57" s="387" t="n"/>
      <c r="CV57" s="387" t="n"/>
      <c r="CW57" s="387" t="n"/>
      <c r="CX57" s="388" t="n"/>
      <c r="CZ57" s="253" t="inlineStr">
        <is>
          <t>時間外</t>
        </is>
      </c>
      <c r="DA57" s="384" t="n"/>
      <c r="DB57" s="384" t="n"/>
      <c r="DC57" s="385" t="n"/>
      <c r="DD57" s="386">
        <f>IF(Q55="作業者3",K58-K55,0)</f>
        <v/>
      </c>
      <c r="DE57" s="387" t="n"/>
      <c r="DF57" s="387" t="n"/>
      <c r="DG57" s="387" t="n"/>
      <c r="DH57" s="388" t="n"/>
      <c r="DJ57" s="253" t="inlineStr">
        <is>
          <t>時間外</t>
        </is>
      </c>
      <c r="DK57" s="384" t="n"/>
      <c r="DL57" s="384" t="n"/>
      <c r="DM57" s="385" t="n"/>
      <c r="DN57" s="386">
        <f>IF(Q55="作業者4",K58-K55,0)</f>
        <v/>
      </c>
      <c r="DO57" s="387" t="n"/>
      <c r="DP57" s="387" t="n"/>
      <c r="DQ57" s="387" t="n"/>
      <c r="DR57" s="388" t="n"/>
      <c r="DT57" s="253" t="inlineStr">
        <is>
          <t>時間外</t>
        </is>
      </c>
      <c r="DU57" s="384" t="n"/>
      <c r="DV57" s="384" t="n"/>
      <c r="DW57" s="385" t="n"/>
      <c r="DX57" s="386">
        <f>IF(Q55="作業者5",K58-K55,0)</f>
        <v/>
      </c>
      <c r="DY57" s="387" t="n"/>
      <c r="DZ57" s="387" t="n"/>
      <c r="EA57" s="387" t="n"/>
      <c r="EB57" s="388" t="n"/>
    </row>
    <row r="58" ht="9" customHeight="1" s="337">
      <c r="B58" s="389" t="n"/>
      <c r="C58" s="390" t="n"/>
      <c r="D58" s="391" t="n"/>
      <c r="E58" s="392" t="n"/>
      <c r="F58" s="390" t="n"/>
      <c r="G58" s="391" t="n"/>
      <c r="H58" s="392" t="n"/>
      <c r="I58" s="390" t="n"/>
      <c r="J58" s="391" t="n"/>
      <c r="K58" s="392" t="n"/>
      <c r="L58" s="390" t="n"/>
      <c r="M58" s="391" t="n"/>
      <c r="N58" s="392" t="n"/>
      <c r="O58" s="390" t="n"/>
      <c r="P58" s="391" t="n"/>
      <c r="Q58" s="393" t="n"/>
      <c r="R58" s="390" t="n"/>
      <c r="S58" s="391" t="n"/>
      <c r="T58" s="393" t="n"/>
      <c r="U58" s="390" t="n"/>
      <c r="V58" s="391" t="n"/>
      <c r="W58" s="393" t="n"/>
      <c r="X58" s="390" t="n"/>
      <c r="Y58" s="390" t="n"/>
      <c r="Z58" s="390" t="n"/>
      <c r="AA58" s="390" t="n"/>
      <c r="AB58" s="390" t="n"/>
      <c r="AC58" s="390" t="n"/>
      <c r="AD58" s="390" t="n"/>
      <c r="AE58" s="390" t="n"/>
      <c r="AF58" s="390" t="n"/>
      <c r="AG58" s="390" t="n"/>
      <c r="AH58" s="390" t="n"/>
      <c r="AI58" s="390" t="n"/>
      <c r="AJ58" s="390" t="n"/>
      <c r="AK58" s="390" t="n"/>
      <c r="AL58" s="390" t="n"/>
      <c r="AM58" s="390" t="n"/>
      <c r="AN58" s="390" t="n"/>
      <c r="AO58" s="390" t="n"/>
      <c r="AP58" s="390" t="n"/>
      <c r="AQ58" s="390" t="n"/>
      <c r="AR58" s="390" t="n"/>
      <c r="AS58" s="390" t="n"/>
      <c r="AT58" s="390" t="n"/>
      <c r="AU58" s="390" t="n"/>
      <c r="AV58" s="390" t="n"/>
      <c r="AW58" s="390" t="n"/>
      <c r="AX58" s="390" t="n"/>
      <c r="AY58" s="390" t="n"/>
      <c r="AZ58" s="390" t="n"/>
      <c r="BA58" s="390" t="n"/>
      <c r="BB58" s="390" t="n"/>
      <c r="BC58" s="390" t="n"/>
      <c r="BD58" s="390" t="n"/>
      <c r="BE58" s="390" t="n"/>
      <c r="BF58" s="390" t="n"/>
      <c r="BG58" s="390" t="n"/>
      <c r="BH58" s="390" t="n"/>
      <c r="BI58" s="390" t="n"/>
      <c r="BJ58" s="390" t="n"/>
      <c r="BK58" s="390" t="n"/>
      <c r="BL58" s="390" t="n"/>
      <c r="BM58" s="390" t="n"/>
      <c r="BN58" s="390" t="n"/>
      <c r="BO58" s="390" t="n"/>
      <c r="BP58" s="390" t="n"/>
      <c r="BQ58" s="390" t="n"/>
      <c r="BR58" s="390" t="n"/>
      <c r="BS58" s="390" t="n"/>
      <c r="BT58" s="390" t="n"/>
      <c r="BU58" s="390" t="n"/>
      <c r="BV58" s="390" t="n"/>
      <c r="BW58" s="390" t="n"/>
      <c r="BX58" s="390" t="n"/>
      <c r="BY58" s="390" t="n"/>
      <c r="BZ58" s="390" t="n"/>
      <c r="CA58" s="390" t="n"/>
      <c r="CB58" s="390" t="n"/>
      <c r="CC58" s="394" t="n"/>
      <c r="CF58" s="254" t="inlineStr">
        <is>
          <t>休日</t>
        </is>
      </c>
      <c r="CG58" s="395" t="n"/>
      <c r="CH58" s="395" t="n"/>
      <c r="CI58" s="396" t="n"/>
      <c r="CJ58" s="397">
        <f>IF(Q55="作業者1",N58-N55,0)</f>
        <v/>
      </c>
      <c r="CK58" s="395" t="n"/>
      <c r="CL58" s="395" t="n"/>
      <c r="CM58" s="395" t="n"/>
      <c r="CN58" s="396" t="n"/>
      <c r="CP58" s="254" t="inlineStr">
        <is>
          <t>休日</t>
        </is>
      </c>
      <c r="CQ58" s="395" t="n"/>
      <c r="CR58" s="395" t="n"/>
      <c r="CS58" s="396" t="n"/>
      <c r="CT58" s="397">
        <f>IF(Q55="作業者2",N58-N55,0)</f>
        <v/>
      </c>
      <c r="CU58" s="395" t="n"/>
      <c r="CV58" s="395" t="n"/>
      <c r="CW58" s="395" t="n"/>
      <c r="CX58" s="396" t="n"/>
      <c r="CZ58" s="254" t="inlineStr">
        <is>
          <t>休日</t>
        </is>
      </c>
      <c r="DA58" s="395" t="n"/>
      <c r="DB58" s="395" t="n"/>
      <c r="DC58" s="396" t="n"/>
      <c r="DD58" s="397">
        <f>IF(Q55="作業者3",N58-N55,0)</f>
        <v/>
      </c>
      <c r="DE58" s="395" t="n"/>
      <c r="DF58" s="395" t="n"/>
      <c r="DG58" s="395" t="n"/>
      <c r="DH58" s="396" t="n"/>
      <c r="DJ58" s="254" t="inlineStr">
        <is>
          <t>休日</t>
        </is>
      </c>
      <c r="DK58" s="395" t="n"/>
      <c r="DL58" s="395" t="n"/>
      <c r="DM58" s="396" t="n"/>
      <c r="DN58" s="397">
        <f>IF(Q55="作業者4",N58-N55,0)</f>
        <v/>
      </c>
      <c r="DO58" s="395" t="n"/>
      <c r="DP58" s="395" t="n"/>
      <c r="DQ58" s="395" t="n"/>
      <c r="DR58" s="396" t="n"/>
      <c r="DT58" s="254" t="inlineStr">
        <is>
          <t>休日</t>
        </is>
      </c>
      <c r="DU58" s="395" t="n"/>
      <c r="DV58" s="395" t="n"/>
      <c r="DW58" s="396" t="n"/>
      <c r="DX58" s="397">
        <f>IF(Q55="作業者5",N58-N55,0)</f>
        <v/>
      </c>
      <c r="DY58" s="395" t="n"/>
      <c r="DZ58" s="395" t="n"/>
      <c r="EA58" s="395" t="n"/>
      <c r="EB58" s="396" t="n"/>
    </row>
    <row r="59" ht="9" customHeight="1" s="337">
      <c r="B59" s="398" t="n"/>
      <c r="C59" s="372" t="n"/>
      <c r="D59" s="373" t="n"/>
      <c r="E59" s="399" t="n"/>
      <c r="F59" s="372" t="n"/>
      <c r="G59" s="373" t="n"/>
      <c r="H59" s="399" t="n"/>
      <c r="I59" s="372" t="n"/>
      <c r="J59" s="373" t="n"/>
      <c r="K59" s="399" t="n"/>
      <c r="L59" s="372" t="n"/>
      <c r="M59" s="373" t="n"/>
      <c r="N59" s="399" t="n"/>
      <c r="O59" s="372" t="n"/>
      <c r="P59" s="373" t="n"/>
      <c r="Q59" s="371" t="n"/>
      <c r="R59" s="372" t="n"/>
      <c r="S59" s="373" t="n"/>
      <c r="T59" s="371" t="n"/>
      <c r="U59" s="372" t="n"/>
      <c r="V59" s="373" t="n"/>
      <c r="W59" s="401" t="n"/>
      <c r="X59" s="372" t="n"/>
      <c r="Y59" s="372" t="n"/>
      <c r="Z59" s="372" t="n"/>
      <c r="AA59" s="372" t="n"/>
      <c r="AB59" s="372" t="n"/>
      <c r="AC59" s="372" t="n"/>
      <c r="AD59" s="372" t="n"/>
      <c r="AE59" s="372" t="n"/>
      <c r="AF59" s="372" t="n"/>
      <c r="AG59" s="372" t="n"/>
      <c r="AH59" s="372" t="n"/>
      <c r="AI59" s="372" t="n"/>
      <c r="AJ59" s="372" t="n"/>
      <c r="AK59" s="372" t="n"/>
      <c r="AL59" s="372" t="n"/>
      <c r="AM59" s="372" t="n"/>
      <c r="AN59" s="372" t="n"/>
      <c r="AO59" s="372" t="n"/>
      <c r="AP59" s="372" t="n"/>
      <c r="AQ59" s="372" t="n"/>
      <c r="AR59" s="372" t="n"/>
      <c r="AS59" s="372" t="n"/>
      <c r="AT59" s="372" t="n"/>
      <c r="AU59" s="372" t="n"/>
      <c r="AV59" s="372" t="n"/>
      <c r="AW59" s="372" t="n"/>
      <c r="AX59" s="372" t="n"/>
      <c r="AY59" s="372" t="n"/>
      <c r="AZ59" s="372" t="n"/>
      <c r="BA59" s="372" t="n"/>
      <c r="BB59" s="372" t="n"/>
      <c r="BC59" s="372" t="n"/>
      <c r="BD59" s="372" t="n"/>
      <c r="BE59" s="372" t="n"/>
      <c r="BF59" s="372" t="n"/>
      <c r="BG59" s="372" t="n"/>
      <c r="BH59" s="372" t="n"/>
      <c r="BI59" s="372" t="n"/>
      <c r="BJ59" s="372" t="n"/>
      <c r="BK59" s="372" t="n"/>
      <c r="BL59" s="372" t="n"/>
      <c r="BM59" s="372" t="n"/>
      <c r="BN59" s="372" t="n"/>
      <c r="BO59" s="372" t="n"/>
      <c r="BP59" s="372" t="n"/>
      <c r="BQ59" s="372" t="n"/>
      <c r="BR59" s="372" t="n"/>
      <c r="BS59" s="372" t="n"/>
      <c r="BT59" s="372" t="n"/>
      <c r="BU59" s="372" t="n"/>
      <c r="BV59" s="372" t="n"/>
      <c r="BW59" s="372" t="n"/>
      <c r="BX59" s="372" t="n"/>
      <c r="BY59" s="372" t="n"/>
      <c r="BZ59" s="372" t="n"/>
      <c r="CA59" s="372" t="n"/>
      <c r="CB59" s="372" t="n"/>
      <c r="CC59" s="402" t="n"/>
      <c r="CF59" s="248" t="inlineStr">
        <is>
          <t>移動</t>
        </is>
      </c>
      <c r="CG59" s="377" t="n"/>
      <c r="CH59" s="377" t="n"/>
      <c r="CI59" s="378" t="n"/>
      <c r="CJ59" s="379">
        <f>IF(Q59="作業者1",E62-E59,0)</f>
        <v/>
      </c>
      <c r="CK59" s="377" t="n"/>
      <c r="CL59" s="377" t="n"/>
      <c r="CM59" s="377" t="n"/>
      <c r="CN59" s="378" t="n"/>
      <c r="CP59" s="248" t="inlineStr">
        <is>
          <t>移動</t>
        </is>
      </c>
      <c r="CQ59" s="377" t="n"/>
      <c r="CR59" s="377" t="n"/>
      <c r="CS59" s="378" t="n"/>
      <c r="CT59" s="379">
        <f>IF(Q59="作業者2",E62-E59,0)</f>
        <v/>
      </c>
      <c r="CU59" s="377" t="n"/>
      <c r="CV59" s="377" t="n"/>
      <c r="CW59" s="377" t="n"/>
      <c r="CX59" s="378" t="n"/>
      <c r="CZ59" s="259" t="inlineStr">
        <is>
          <t>移動</t>
        </is>
      </c>
      <c r="DA59" s="403" t="n"/>
      <c r="DB59" s="403" t="n"/>
      <c r="DC59" s="404" t="n"/>
      <c r="DD59" s="405">
        <f>IF(Q59="作業者3",E62-E59,0)</f>
        <v/>
      </c>
      <c r="DE59" s="406" t="n"/>
      <c r="DF59" s="406" t="n"/>
      <c r="DG59" s="406" t="n"/>
      <c r="DH59" s="407" t="n"/>
      <c r="DJ59" s="259" t="inlineStr">
        <is>
          <t>移動</t>
        </is>
      </c>
      <c r="DK59" s="403" t="n"/>
      <c r="DL59" s="403" t="n"/>
      <c r="DM59" s="404" t="n"/>
      <c r="DN59" s="379">
        <f>IF(Q59="作業者4",E62-E59,0)</f>
        <v/>
      </c>
      <c r="DO59" s="377" t="n"/>
      <c r="DP59" s="377" t="n"/>
      <c r="DQ59" s="377" t="n"/>
      <c r="DR59" s="378" t="n"/>
      <c r="DT59" s="259" t="inlineStr">
        <is>
          <t>移動</t>
        </is>
      </c>
      <c r="DU59" s="403" t="n"/>
      <c r="DV59" s="403" t="n"/>
      <c r="DW59" s="404" t="n"/>
      <c r="DX59" s="379">
        <f>IF(Q59="作業者5",E62-E59,0)</f>
        <v/>
      </c>
      <c r="DY59" s="377" t="n"/>
      <c r="DZ59" s="377" t="n"/>
      <c r="EA59" s="377" t="n"/>
      <c r="EB59" s="378" t="n"/>
    </row>
    <row r="60" ht="9" customHeight="1" s="337">
      <c r="B60" s="350" t="n"/>
      <c r="C60" s="338" t="n"/>
      <c r="D60" s="380" t="n"/>
      <c r="E60" s="381" t="n"/>
      <c r="F60" s="122" t="inlineStr">
        <is>
          <t>～</t>
        </is>
      </c>
      <c r="G60" s="22" t="n"/>
      <c r="H60" s="381" t="n"/>
      <c r="I60" s="122" t="inlineStr">
        <is>
          <t>～</t>
        </is>
      </c>
      <c r="J60" s="22" t="n"/>
      <c r="K60" s="381" t="n"/>
      <c r="L60" s="122" t="inlineStr">
        <is>
          <t>～</t>
        </is>
      </c>
      <c r="M60" s="22" t="n"/>
      <c r="N60" s="381" t="n"/>
      <c r="O60" s="122" t="inlineStr">
        <is>
          <t>～</t>
        </is>
      </c>
      <c r="P60" s="22" t="n"/>
      <c r="Q60" s="382" t="n"/>
      <c r="R60" s="338" t="n"/>
      <c r="S60" s="380" t="n"/>
      <c r="T60" s="382" t="n"/>
      <c r="U60" s="338" t="n"/>
      <c r="V60" s="380" t="n"/>
      <c r="W60" s="382" t="n"/>
      <c r="X60" s="338" t="n"/>
      <c r="Y60" s="338" t="n"/>
      <c r="Z60" s="338" t="n"/>
      <c r="AA60" s="338" t="n"/>
      <c r="AB60" s="338" t="n"/>
      <c r="AC60" s="338" t="n"/>
      <c r="AD60" s="338" t="n"/>
      <c r="AE60" s="338" t="n"/>
      <c r="AF60" s="338" t="n"/>
      <c r="AG60" s="338" t="n"/>
      <c r="AH60" s="338" t="n"/>
      <c r="AI60" s="338" t="n"/>
      <c r="AJ60" s="338" t="n"/>
      <c r="AK60" s="338" t="n"/>
      <c r="AL60" s="338" t="n"/>
      <c r="AM60" s="338" t="n"/>
      <c r="AN60" s="338" t="n"/>
      <c r="AO60" s="338" t="n"/>
      <c r="AP60" s="338" t="n"/>
      <c r="AQ60" s="338" t="n"/>
      <c r="AR60" s="338" t="n"/>
      <c r="AS60" s="338" t="n"/>
      <c r="AT60" s="338" t="n"/>
      <c r="AU60" s="338" t="n"/>
      <c r="AV60" s="338" t="n"/>
      <c r="AW60" s="338" t="n"/>
      <c r="AX60" s="338" t="n"/>
      <c r="AY60" s="338" t="n"/>
      <c r="AZ60" s="338" t="n"/>
      <c r="BA60" s="338" t="n"/>
      <c r="BB60" s="338" t="n"/>
      <c r="BC60" s="338" t="n"/>
      <c r="BD60" s="338" t="n"/>
      <c r="BE60" s="338" t="n"/>
      <c r="BF60" s="338" t="n"/>
      <c r="BG60" s="338" t="n"/>
      <c r="BH60" s="338" t="n"/>
      <c r="BI60" s="338" t="n"/>
      <c r="BJ60" s="338" t="n"/>
      <c r="BK60" s="338" t="n"/>
      <c r="BL60" s="338" t="n"/>
      <c r="BM60" s="338" t="n"/>
      <c r="BN60" s="338" t="n"/>
      <c r="BO60" s="338" t="n"/>
      <c r="BP60" s="338" t="n"/>
      <c r="BQ60" s="338" t="n"/>
      <c r="BR60" s="338" t="n"/>
      <c r="BS60" s="338" t="n"/>
      <c r="BT60" s="338" t="n"/>
      <c r="BU60" s="338" t="n"/>
      <c r="BV60" s="338" t="n"/>
      <c r="BW60" s="338" t="n"/>
      <c r="BX60" s="338" t="n"/>
      <c r="BY60" s="338" t="n"/>
      <c r="BZ60" s="338" t="n"/>
      <c r="CA60" s="338" t="n"/>
      <c r="CB60" s="338" t="n"/>
      <c r="CC60" s="383" t="n"/>
      <c r="CF60" s="253" t="inlineStr">
        <is>
          <t>時間内</t>
        </is>
      </c>
      <c r="CG60" s="384" t="n"/>
      <c r="CH60" s="384" t="n"/>
      <c r="CI60" s="385" t="n"/>
      <c r="CJ60" s="386">
        <f>IF(Q59="作業者1",H62-H59,0)</f>
        <v/>
      </c>
      <c r="CK60" s="387" t="n"/>
      <c r="CL60" s="387" t="n"/>
      <c r="CM60" s="387" t="n"/>
      <c r="CN60" s="388" t="n"/>
      <c r="CP60" s="253" t="inlineStr">
        <is>
          <t>時間内</t>
        </is>
      </c>
      <c r="CQ60" s="384" t="n"/>
      <c r="CR60" s="384" t="n"/>
      <c r="CS60" s="385" t="n"/>
      <c r="CT60" s="386">
        <f>IF(Q59="作業者2",H62-H59,0)</f>
        <v/>
      </c>
      <c r="CU60" s="387" t="n"/>
      <c r="CV60" s="387" t="n"/>
      <c r="CW60" s="387" t="n"/>
      <c r="CX60" s="388" t="n"/>
      <c r="CZ60" s="253" t="inlineStr">
        <is>
          <t>時間内</t>
        </is>
      </c>
      <c r="DA60" s="384" t="n"/>
      <c r="DB60" s="384" t="n"/>
      <c r="DC60" s="385" t="n"/>
      <c r="DD60" s="386">
        <f>IF(Q59="作業者3",H62-H59,0)</f>
        <v/>
      </c>
      <c r="DE60" s="387" t="n"/>
      <c r="DF60" s="387" t="n"/>
      <c r="DG60" s="387" t="n"/>
      <c r="DH60" s="388" t="n"/>
      <c r="DJ60" s="253" t="inlineStr">
        <is>
          <t>時間内</t>
        </is>
      </c>
      <c r="DK60" s="384" t="n"/>
      <c r="DL60" s="384" t="n"/>
      <c r="DM60" s="385" t="n"/>
      <c r="DN60" s="386">
        <f>IF(Q59="作業者4",H62-H59,0)</f>
        <v/>
      </c>
      <c r="DO60" s="387" t="n"/>
      <c r="DP60" s="387" t="n"/>
      <c r="DQ60" s="387" t="n"/>
      <c r="DR60" s="388" t="n"/>
      <c r="DT60" s="253" t="inlineStr">
        <is>
          <t>時間内</t>
        </is>
      </c>
      <c r="DU60" s="384" t="n"/>
      <c r="DV60" s="384" t="n"/>
      <c r="DW60" s="385" t="n"/>
      <c r="DX60" s="386">
        <f>IF(Q59="作業者5",H62-H59,0)</f>
        <v/>
      </c>
      <c r="DY60" s="387" t="n"/>
      <c r="DZ60" s="387" t="n"/>
      <c r="EA60" s="387" t="n"/>
      <c r="EB60" s="388" t="n"/>
    </row>
    <row r="61" ht="9" customHeight="1" s="337">
      <c r="B61" s="350" t="n"/>
      <c r="C61" s="338" t="n"/>
      <c r="D61" s="380" t="n"/>
      <c r="E61" s="23" t="n"/>
      <c r="F61" s="338" t="n"/>
      <c r="G61" s="24" t="n"/>
      <c r="H61" s="23" t="n"/>
      <c r="I61" s="338" t="n"/>
      <c r="J61" s="24" t="n"/>
      <c r="K61" s="23" t="n"/>
      <c r="L61" s="338" t="n"/>
      <c r="M61" s="24" t="n"/>
      <c r="N61" s="23" t="n"/>
      <c r="O61" s="338" t="n"/>
      <c r="P61" s="24" t="n"/>
      <c r="Q61" s="382" t="n"/>
      <c r="R61" s="338" t="n"/>
      <c r="S61" s="380" t="n"/>
      <c r="T61" s="382" t="n"/>
      <c r="U61" s="338" t="n"/>
      <c r="V61" s="380" t="n"/>
      <c r="W61" s="382" t="n"/>
      <c r="X61" s="338" t="n"/>
      <c r="Y61" s="338" t="n"/>
      <c r="Z61" s="338" t="n"/>
      <c r="AA61" s="338" t="n"/>
      <c r="AB61" s="338" t="n"/>
      <c r="AC61" s="338" t="n"/>
      <c r="AD61" s="338" t="n"/>
      <c r="AE61" s="338" t="n"/>
      <c r="AF61" s="338" t="n"/>
      <c r="AG61" s="338" t="n"/>
      <c r="AH61" s="338" t="n"/>
      <c r="AI61" s="338" t="n"/>
      <c r="AJ61" s="338" t="n"/>
      <c r="AK61" s="338" t="n"/>
      <c r="AL61" s="338" t="n"/>
      <c r="AM61" s="338" t="n"/>
      <c r="AN61" s="338" t="n"/>
      <c r="AO61" s="338" t="n"/>
      <c r="AP61" s="338" t="n"/>
      <c r="AQ61" s="338" t="n"/>
      <c r="AR61" s="338" t="n"/>
      <c r="AS61" s="338" t="n"/>
      <c r="AT61" s="338" t="n"/>
      <c r="AU61" s="338" t="n"/>
      <c r="AV61" s="338" t="n"/>
      <c r="AW61" s="338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8" t="n"/>
      <c r="BH61" s="338" t="n"/>
      <c r="BI61" s="338" t="n"/>
      <c r="BJ61" s="338" t="n"/>
      <c r="BK61" s="338" t="n"/>
      <c r="BL61" s="338" t="n"/>
      <c r="BM61" s="338" t="n"/>
      <c r="BN61" s="338" t="n"/>
      <c r="BO61" s="338" t="n"/>
      <c r="BP61" s="338" t="n"/>
      <c r="BQ61" s="338" t="n"/>
      <c r="BR61" s="338" t="n"/>
      <c r="BS61" s="338" t="n"/>
      <c r="BT61" s="338" t="n"/>
      <c r="BU61" s="338" t="n"/>
      <c r="BV61" s="338" t="n"/>
      <c r="BW61" s="338" t="n"/>
      <c r="BX61" s="338" t="n"/>
      <c r="BY61" s="338" t="n"/>
      <c r="BZ61" s="338" t="n"/>
      <c r="CA61" s="338" t="n"/>
      <c r="CB61" s="338" t="n"/>
      <c r="CC61" s="383" t="n"/>
      <c r="CF61" s="253" t="inlineStr">
        <is>
          <t>時間外</t>
        </is>
      </c>
      <c r="CG61" s="384" t="n"/>
      <c r="CH61" s="384" t="n"/>
      <c r="CI61" s="385" t="n"/>
      <c r="CJ61" s="386">
        <f>IF(Q59="作業者1",K62-K59,0)</f>
        <v/>
      </c>
      <c r="CK61" s="387" t="n"/>
      <c r="CL61" s="387" t="n"/>
      <c r="CM61" s="387" t="n"/>
      <c r="CN61" s="388" t="n"/>
      <c r="CP61" s="253" t="inlineStr">
        <is>
          <t>時間外</t>
        </is>
      </c>
      <c r="CQ61" s="384" t="n"/>
      <c r="CR61" s="384" t="n"/>
      <c r="CS61" s="385" t="n"/>
      <c r="CT61" s="386">
        <f>IF(Q59="作業者2",K62-K59,0)</f>
        <v/>
      </c>
      <c r="CU61" s="387" t="n"/>
      <c r="CV61" s="387" t="n"/>
      <c r="CW61" s="387" t="n"/>
      <c r="CX61" s="388" t="n"/>
      <c r="CZ61" s="253" t="inlineStr">
        <is>
          <t>時間外</t>
        </is>
      </c>
      <c r="DA61" s="384" t="n"/>
      <c r="DB61" s="384" t="n"/>
      <c r="DC61" s="385" t="n"/>
      <c r="DD61" s="386">
        <f>IF(Q59="作業者3",K62-K59,0)</f>
        <v/>
      </c>
      <c r="DE61" s="387" t="n"/>
      <c r="DF61" s="387" t="n"/>
      <c r="DG61" s="387" t="n"/>
      <c r="DH61" s="388" t="n"/>
      <c r="DJ61" s="253" t="inlineStr">
        <is>
          <t>時間外</t>
        </is>
      </c>
      <c r="DK61" s="384" t="n"/>
      <c r="DL61" s="384" t="n"/>
      <c r="DM61" s="385" t="n"/>
      <c r="DN61" s="386">
        <f>IF(Q59="作業者4",K62-K59,0)</f>
        <v/>
      </c>
      <c r="DO61" s="387" t="n"/>
      <c r="DP61" s="387" t="n"/>
      <c r="DQ61" s="387" t="n"/>
      <c r="DR61" s="388" t="n"/>
      <c r="DT61" s="253" t="inlineStr">
        <is>
          <t>時間外</t>
        </is>
      </c>
      <c r="DU61" s="384" t="n"/>
      <c r="DV61" s="384" t="n"/>
      <c r="DW61" s="385" t="n"/>
      <c r="DX61" s="386">
        <f>IF(Q59="作業者5",K62-K59,0)</f>
        <v/>
      </c>
      <c r="DY61" s="387" t="n"/>
      <c r="DZ61" s="387" t="n"/>
      <c r="EA61" s="387" t="n"/>
      <c r="EB61" s="388" t="n"/>
    </row>
    <row r="62" ht="9" customHeight="1" s="337">
      <c r="B62" s="389" t="n"/>
      <c r="C62" s="390" t="n"/>
      <c r="D62" s="391" t="n"/>
      <c r="E62" s="392" t="n"/>
      <c r="F62" s="390" t="n"/>
      <c r="G62" s="391" t="n"/>
      <c r="H62" s="392" t="n"/>
      <c r="I62" s="390" t="n"/>
      <c r="J62" s="391" t="n"/>
      <c r="K62" s="392" t="n"/>
      <c r="L62" s="390" t="n"/>
      <c r="M62" s="391" t="n"/>
      <c r="N62" s="392" t="n"/>
      <c r="O62" s="390" t="n"/>
      <c r="P62" s="391" t="n"/>
      <c r="Q62" s="393" t="n"/>
      <c r="R62" s="390" t="n"/>
      <c r="S62" s="391" t="n"/>
      <c r="T62" s="393" t="n"/>
      <c r="U62" s="390" t="n"/>
      <c r="V62" s="391" t="n"/>
      <c r="W62" s="393" t="n"/>
      <c r="X62" s="390" t="n"/>
      <c r="Y62" s="390" t="n"/>
      <c r="Z62" s="390" t="n"/>
      <c r="AA62" s="390" t="n"/>
      <c r="AB62" s="390" t="n"/>
      <c r="AC62" s="390" t="n"/>
      <c r="AD62" s="390" t="n"/>
      <c r="AE62" s="390" t="n"/>
      <c r="AF62" s="390" t="n"/>
      <c r="AG62" s="390" t="n"/>
      <c r="AH62" s="390" t="n"/>
      <c r="AI62" s="390" t="n"/>
      <c r="AJ62" s="390" t="n"/>
      <c r="AK62" s="390" t="n"/>
      <c r="AL62" s="390" t="n"/>
      <c r="AM62" s="390" t="n"/>
      <c r="AN62" s="390" t="n"/>
      <c r="AO62" s="390" t="n"/>
      <c r="AP62" s="390" t="n"/>
      <c r="AQ62" s="390" t="n"/>
      <c r="AR62" s="390" t="n"/>
      <c r="AS62" s="390" t="n"/>
      <c r="AT62" s="390" t="n"/>
      <c r="AU62" s="390" t="n"/>
      <c r="AV62" s="390" t="n"/>
      <c r="AW62" s="390" t="n"/>
      <c r="AX62" s="390" t="n"/>
      <c r="AY62" s="390" t="n"/>
      <c r="AZ62" s="390" t="n"/>
      <c r="BA62" s="390" t="n"/>
      <c r="BB62" s="390" t="n"/>
      <c r="BC62" s="390" t="n"/>
      <c r="BD62" s="390" t="n"/>
      <c r="BE62" s="390" t="n"/>
      <c r="BF62" s="390" t="n"/>
      <c r="BG62" s="390" t="n"/>
      <c r="BH62" s="390" t="n"/>
      <c r="BI62" s="390" t="n"/>
      <c r="BJ62" s="390" t="n"/>
      <c r="BK62" s="390" t="n"/>
      <c r="BL62" s="390" t="n"/>
      <c r="BM62" s="390" t="n"/>
      <c r="BN62" s="390" t="n"/>
      <c r="BO62" s="390" t="n"/>
      <c r="BP62" s="390" t="n"/>
      <c r="BQ62" s="390" t="n"/>
      <c r="BR62" s="390" t="n"/>
      <c r="BS62" s="390" t="n"/>
      <c r="BT62" s="390" t="n"/>
      <c r="BU62" s="390" t="n"/>
      <c r="BV62" s="390" t="n"/>
      <c r="BW62" s="390" t="n"/>
      <c r="BX62" s="390" t="n"/>
      <c r="BY62" s="390" t="n"/>
      <c r="BZ62" s="390" t="n"/>
      <c r="CA62" s="390" t="n"/>
      <c r="CB62" s="390" t="n"/>
      <c r="CC62" s="394" t="n"/>
      <c r="CF62" s="254" t="inlineStr">
        <is>
          <t>休日</t>
        </is>
      </c>
      <c r="CG62" s="395" t="n"/>
      <c r="CH62" s="395" t="n"/>
      <c r="CI62" s="396" t="n"/>
      <c r="CJ62" s="397">
        <f>IF(Q59="作業者1",N62-N59,0)</f>
        <v/>
      </c>
      <c r="CK62" s="395" t="n"/>
      <c r="CL62" s="395" t="n"/>
      <c r="CM62" s="395" t="n"/>
      <c r="CN62" s="396" t="n"/>
      <c r="CP62" s="254" t="inlineStr">
        <is>
          <t>休日</t>
        </is>
      </c>
      <c r="CQ62" s="395" t="n"/>
      <c r="CR62" s="395" t="n"/>
      <c r="CS62" s="396" t="n"/>
      <c r="CT62" s="397">
        <f>IF(Q59="作業者2",N62-N59,0)</f>
        <v/>
      </c>
      <c r="CU62" s="395" t="n"/>
      <c r="CV62" s="395" t="n"/>
      <c r="CW62" s="395" t="n"/>
      <c r="CX62" s="396" t="n"/>
      <c r="CZ62" s="254" t="inlineStr">
        <is>
          <t>休日</t>
        </is>
      </c>
      <c r="DA62" s="395" t="n"/>
      <c r="DB62" s="395" t="n"/>
      <c r="DC62" s="396" t="n"/>
      <c r="DD62" s="397">
        <f>IF(Q59="作業者3",N62-N59,0)</f>
        <v/>
      </c>
      <c r="DE62" s="395" t="n"/>
      <c r="DF62" s="395" t="n"/>
      <c r="DG62" s="395" t="n"/>
      <c r="DH62" s="396" t="n"/>
      <c r="DJ62" s="254" t="inlineStr">
        <is>
          <t>休日</t>
        </is>
      </c>
      <c r="DK62" s="395" t="n"/>
      <c r="DL62" s="395" t="n"/>
      <c r="DM62" s="396" t="n"/>
      <c r="DN62" s="397">
        <f>IF(Q59="作業者4",N62-N59,0)</f>
        <v/>
      </c>
      <c r="DO62" s="395" t="n"/>
      <c r="DP62" s="395" t="n"/>
      <c r="DQ62" s="395" t="n"/>
      <c r="DR62" s="396" t="n"/>
      <c r="DT62" s="254" t="inlineStr">
        <is>
          <t>休日</t>
        </is>
      </c>
      <c r="DU62" s="395" t="n"/>
      <c r="DV62" s="395" t="n"/>
      <c r="DW62" s="396" t="n"/>
      <c r="DX62" s="397">
        <f>IF(Q59="作業者5",N62-N59,0)</f>
        <v/>
      </c>
      <c r="DY62" s="395" t="n"/>
      <c r="DZ62" s="395" t="n"/>
      <c r="EA62" s="395" t="n"/>
      <c r="EB62" s="396" t="n"/>
    </row>
    <row r="63" ht="9" customHeight="1" s="337">
      <c r="B63" s="410" t="n"/>
      <c r="C63" s="372" t="n"/>
      <c r="D63" s="373" t="n"/>
      <c r="E63" s="399" t="n"/>
      <c r="F63" s="372" t="n"/>
      <c r="G63" s="373" t="n"/>
      <c r="H63" s="399" t="n"/>
      <c r="I63" s="372" t="n"/>
      <c r="J63" s="373" t="n"/>
      <c r="K63" s="399" t="n"/>
      <c r="L63" s="372" t="n"/>
      <c r="M63" s="373" t="n"/>
      <c r="N63" s="399" t="n"/>
      <c r="O63" s="372" t="n"/>
      <c r="P63" s="373" t="n"/>
      <c r="Q63" s="411" t="n"/>
      <c r="R63" s="372" t="n"/>
      <c r="S63" s="373" t="n"/>
      <c r="T63" s="411" t="n"/>
      <c r="U63" s="372" t="n"/>
      <c r="V63" s="373" t="n"/>
      <c r="W63" s="401" t="n"/>
      <c r="X63" s="372" t="n"/>
      <c r="Y63" s="372" t="n"/>
      <c r="Z63" s="372" t="n"/>
      <c r="AA63" s="372" t="n"/>
      <c r="AB63" s="372" t="n"/>
      <c r="AC63" s="372" t="n"/>
      <c r="AD63" s="372" t="n"/>
      <c r="AE63" s="372" t="n"/>
      <c r="AF63" s="372" t="n"/>
      <c r="AG63" s="372" t="n"/>
      <c r="AH63" s="372" t="n"/>
      <c r="AI63" s="372" t="n"/>
      <c r="AJ63" s="372" t="n"/>
      <c r="AK63" s="372" t="n"/>
      <c r="AL63" s="372" t="n"/>
      <c r="AM63" s="372" t="n"/>
      <c r="AN63" s="372" t="n"/>
      <c r="AO63" s="372" t="n"/>
      <c r="AP63" s="372" t="n"/>
      <c r="AQ63" s="372" t="n"/>
      <c r="AR63" s="372" t="n"/>
      <c r="AS63" s="372" t="n"/>
      <c r="AT63" s="372" t="n"/>
      <c r="AU63" s="372" t="n"/>
      <c r="AV63" s="372" t="n"/>
      <c r="AW63" s="372" t="n"/>
      <c r="AX63" s="372" t="n"/>
      <c r="AY63" s="372" t="n"/>
      <c r="AZ63" s="372" t="n"/>
      <c r="BA63" s="372" t="n"/>
      <c r="BB63" s="372" t="n"/>
      <c r="BC63" s="372" t="n"/>
      <c r="BD63" s="372" t="n"/>
      <c r="BE63" s="372" t="n"/>
      <c r="BF63" s="372" t="n"/>
      <c r="BG63" s="372" t="n"/>
      <c r="BH63" s="372" t="n"/>
      <c r="BI63" s="372" t="n"/>
      <c r="BJ63" s="372" t="n"/>
      <c r="BK63" s="372" t="n"/>
      <c r="BL63" s="372" t="n"/>
      <c r="BM63" s="372" t="n"/>
      <c r="BN63" s="372" t="n"/>
      <c r="BO63" s="372" t="n"/>
      <c r="BP63" s="372" t="n"/>
      <c r="BQ63" s="372" t="n"/>
      <c r="BR63" s="372" t="n"/>
      <c r="BS63" s="372" t="n"/>
      <c r="BT63" s="372" t="n"/>
      <c r="BU63" s="372" t="n"/>
      <c r="BV63" s="372" t="n"/>
      <c r="BW63" s="372" t="n"/>
      <c r="BX63" s="372" t="n"/>
      <c r="BY63" s="372" t="n"/>
      <c r="BZ63" s="372" t="n"/>
      <c r="CA63" s="372" t="n"/>
      <c r="CB63" s="372" t="n"/>
      <c r="CC63" s="402" t="n"/>
      <c r="CF63" s="248" t="inlineStr">
        <is>
          <t>移動</t>
        </is>
      </c>
      <c r="CG63" s="377" t="n"/>
      <c r="CH63" s="377" t="n"/>
      <c r="CI63" s="378" t="n"/>
      <c r="CJ63" s="379">
        <f>IF(Q63="作業者1",E66-E63,0)</f>
        <v/>
      </c>
      <c r="CK63" s="377" t="n"/>
      <c r="CL63" s="377" t="n"/>
      <c r="CM63" s="377" t="n"/>
      <c r="CN63" s="378" t="n"/>
      <c r="CP63" s="248" t="inlineStr">
        <is>
          <t>移動</t>
        </is>
      </c>
      <c r="CQ63" s="377" t="n"/>
      <c r="CR63" s="377" t="n"/>
      <c r="CS63" s="378" t="n"/>
      <c r="CT63" s="379">
        <f>IF(Q63="作業者2",E66-E63,0)</f>
        <v/>
      </c>
      <c r="CU63" s="377" t="n"/>
      <c r="CV63" s="377" t="n"/>
      <c r="CW63" s="377" t="n"/>
      <c r="CX63" s="378" t="n"/>
      <c r="CZ63" s="259" t="inlineStr">
        <is>
          <t>移動</t>
        </is>
      </c>
      <c r="DA63" s="403" t="n"/>
      <c r="DB63" s="403" t="n"/>
      <c r="DC63" s="404" t="n"/>
      <c r="DD63" s="405">
        <f>IF(Q63="作業者3",E66-E63,0)</f>
        <v/>
      </c>
      <c r="DE63" s="406" t="n"/>
      <c r="DF63" s="406" t="n"/>
      <c r="DG63" s="406" t="n"/>
      <c r="DH63" s="407" t="n"/>
      <c r="DJ63" s="259" t="inlineStr">
        <is>
          <t>移動</t>
        </is>
      </c>
      <c r="DK63" s="403" t="n"/>
      <c r="DL63" s="403" t="n"/>
      <c r="DM63" s="404" t="n"/>
      <c r="DN63" s="379">
        <f>IF(Q63="作業者4",E66-E63,0)</f>
        <v/>
      </c>
      <c r="DO63" s="377" t="n"/>
      <c r="DP63" s="377" t="n"/>
      <c r="DQ63" s="377" t="n"/>
      <c r="DR63" s="378" t="n"/>
      <c r="DT63" s="259" t="inlineStr">
        <is>
          <t>移動</t>
        </is>
      </c>
      <c r="DU63" s="403" t="n"/>
      <c r="DV63" s="403" t="n"/>
      <c r="DW63" s="404" t="n"/>
      <c r="DX63" s="379">
        <f>IF(Q63="作業者5",E66-E63,0)</f>
        <v/>
      </c>
      <c r="DY63" s="377" t="n"/>
      <c r="DZ63" s="377" t="n"/>
      <c r="EA63" s="377" t="n"/>
      <c r="EB63" s="378" t="n"/>
    </row>
    <row r="64" ht="9" customHeight="1" s="337">
      <c r="B64" s="350" t="n"/>
      <c r="C64" s="338" t="n"/>
      <c r="D64" s="380" t="n"/>
      <c r="E64" s="381" t="n"/>
      <c r="F64" s="122" t="inlineStr">
        <is>
          <t>～</t>
        </is>
      </c>
      <c r="G64" s="22" t="n"/>
      <c r="H64" s="381" t="n"/>
      <c r="I64" s="122" t="inlineStr">
        <is>
          <t>～</t>
        </is>
      </c>
      <c r="J64" s="22" t="n"/>
      <c r="K64" s="381" t="n"/>
      <c r="L64" s="122" t="inlineStr">
        <is>
          <t>～</t>
        </is>
      </c>
      <c r="M64" s="22" t="n"/>
      <c r="N64" s="381" t="n"/>
      <c r="O64" s="122" t="inlineStr">
        <is>
          <t>～</t>
        </is>
      </c>
      <c r="P64" s="22" t="n"/>
      <c r="Q64" s="382" t="n"/>
      <c r="R64" s="338" t="n"/>
      <c r="S64" s="380" t="n"/>
      <c r="T64" s="382" t="n"/>
      <c r="U64" s="338" t="n"/>
      <c r="V64" s="380" t="n"/>
      <c r="W64" s="382" t="n"/>
      <c r="X64" s="338" t="n"/>
      <c r="Y64" s="338" t="n"/>
      <c r="Z64" s="338" t="n"/>
      <c r="AA64" s="338" t="n"/>
      <c r="AB64" s="338" t="n"/>
      <c r="AC64" s="338" t="n"/>
      <c r="AD64" s="338" t="n"/>
      <c r="AE64" s="338" t="n"/>
      <c r="AF64" s="338" t="n"/>
      <c r="AG64" s="338" t="n"/>
      <c r="AH64" s="338" t="n"/>
      <c r="AI64" s="338" t="n"/>
      <c r="AJ64" s="338" t="n"/>
      <c r="AK64" s="338" t="n"/>
      <c r="AL64" s="338" t="n"/>
      <c r="AM64" s="338" t="n"/>
      <c r="AN64" s="338" t="n"/>
      <c r="AO64" s="338" t="n"/>
      <c r="AP64" s="338" t="n"/>
      <c r="AQ64" s="338" t="n"/>
      <c r="AR64" s="338" t="n"/>
      <c r="AS64" s="338" t="n"/>
      <c r="AT64" s="338" t="n"/>
      <c r="AU64" s="338" t="n"/>
      <c r="AV64" s="338" t="n"/>
      <c r="AW64" s="338" t="n"/>
      <c r="AX64" s="338" t="n"/>
      <c r="AY64" s="338" t="n"/>
      <c r="AZ64" s="338" t="n"/>
      <c r="BA64" s="338" t="n"/>
      <c r="BB64" s="338" t="n"/>
      <c r="BC64" s="338" t="n"/>
      <c r="BD64" s="338" t="n"/>
      <c r="BE64" s="338" t="n"/>
      <c r="BF64" s="338" t="n"/>
      <c r="BG64" s="338" t="n"/>
      <c r="BH64" s="338" t="n"/>
      <c r="BI64" s="338" t="n"/>
      <c r="BJ64" s="338" t="n"/>
      <c r="BK64" s="338" t="n"/>
      <c r="BL64" s="338" t="n"/>
      <c r="BM64" s="338" t="n"/>
      <c r="BN64" s="338" t="n"/>
      <c r="BO64" s="338" t="n"/>
      <c r="BP64" s="338" t="n"/>
      <c r="BQ64" s="338" t="n"/>
      <c r="BR64" s="338" t="n"/>
      <c r="BS64" s="338" t="n"/>
      <c r="BT64" s="338" t="n"/>
      <c r="BU64" s="338" t="n"/>
      <c r="BV64" s="338" t="n"/>
      <c r="BW64" s="338" t="n"/>
      <c r="BX64" s="338" t="n"/>
      <c r="BY64" s="338" t="n"/>
      <c r="BZ64" s="338" t="n"/>
      <c r="CA64" s="338" t="n"/>
      <c r="CB64" s="338" t="n"/>
      <c r="CC64" s="383" t="n"/>
      <c r="CF64" s="253" t="inlineStr">
        <is>
          <t>時間内</t>
        </is>
      </c>
      <c r="CG64" s="384" t="n"/>
      <c r="CH64" s="384" t="n"/>
      <c r="CI64" s="385" t="n"/>
      <c r="CJ64" s="386">
        <f>IF(Q63="作業者1",H66-H63,0)</f>
        <v/>
      </c>
      <c r="CK64" s="387" t="n"/>
      <c r="CL64" s="387" t="n"/>
      <c r="CM64" s="387" t="n"/>
      <c r="CN64" s="388" t="n"/>
      <c r="CP64" s="253" t="inlineStr">
        <is>
          <t>時間内</t>
        </is>
      </c>
      <c r="CQ64" s="384" t="n"/>
      <c r="CR64" s="384" t="n"/>
      <c r="CS64" s="385" t="n"/>
      <c r="CT64" s="386">
        <f>IF(Q63="作業者2",H66-H63,0)</f>
        <v/>
      </c>
      <c r="CU64" s="387" t="n"/>
      <c r="CV64" s="387" t="n"/>
      <c r="CW64" s="387" t="n"/>
      <c r="CX64" s="388" t="n"/>
      <c r="CZ64" s="253" t="inlineStr">
        <is>
          <t>時間内</t>
        </is>
      </c>
      <c r="DA64" s="384" t="n"/>
      <c r="DB64" s="384" t="n"/>
      <c r="DC64" s="385" t="n"/>
      <c r="DD64" s="386">
        <f>IF(Q63="作業者3",H66-H63,0)</f>
        <v/>
      </c>
      <c r="DE64" s="387" t="n"/>
      <c r="DF64" s="387" t="n"/>
      <c r="DG64" s="387" t="n"/>
      <c r="DH64" s="388" t="n"/>
      <c r="DJ64" s="253" t="inlineStr">
        <is>
          <t>時間内</t>
        </is>
      </c>
      <c r="DK64" s="384" t="n"/>
      <c r="DL64" s="384" t="n"/>
      <c r="DM64" s="385" t="n"/>
      <c r="DN64" s="386">
        <f>IF(Q63="作業者4",H66-H63,0)</f>
        <v/>
      </c>
      <c r="DO64" s="387" t="n"/>
      <c r="DP64" s="387" t="n"/>
      <c r="DQ64" s="387" t="n"/>
      <c r="DR64" s="388" t="n"/>
      <c r="DT64" s="253" t="inlineStr">
        <is>
          <t>時間内</t>
        </is>
      </c>
      <c r="DU64" s="384" t="n"/>
      <c r="DV64" s="384" t="n"/>
      <c r="DW64" s="385" t="n"/>
      <c r="DX64" s="386">
        <f>IF(Q63="作業者5",H66-H63,0)</f>
        <v/>
      </c>
      <c r="DY64" s="387" t="n"/>
      <c r="DZ64" s="387" t="n"/>
      <c r="EA64" s="387" t="n"/>
      <c r="EB64" s="388" t="n"/>
    </row>
    <row r="65" ht="9" customHeight="1" s="337">
      <c r="B65" s="350" t="n"/>
      <c r="C65" s="338" t="n"/>
      <c r="D65" s="380" t="n"/>
      <c r="E65" s="23" t="n"/>
      <c r="F65" s="338" t="n"/>
      <c r="G65" s="24" t="n"/>
      <c r="H65" s="23" t="n"/>
      <c r="I65" s="338" t="n"/>
      <c r="J65" s="24" t="n"/>
      <c r="K65" s="23" t="n"/>
      <c r="L65" s="338" t="n"/>
      <c r="M65" s="24" t="n"/>
      <c r="N65" s="23" t="n"/>
      <c r="O65" s="338" t="n"/>
      <c r="P65" s="24" t="n"/>
      <c r="Q65" s="382" t="n"/>
      <c r="R65" s="338" t="n"/>
      <c r="S65" s="380" t="n"/>
      <c r="T65" s="382" t="n"/>
      <c r="U65" s="338" t="n"/>
      <c r="V65" s="380" t="n"/>
      <c r="W65" s="382" t="n"/>
      <c r="X65" s="338" t="n"/>
      <c r="Y65" s="338" t="n"/>
      <c r="Z65" s="338" t="n"/>
      <c r="AA65" s="338" t="n"/>
      <c r="AB65" s="338" t="n"/>
      <c r="AC65" s="338" t="n"/>
      <c r="AD65" s="338" t="n"/>
      <c r="AE65" s="338" t="n"/>
      <c r="AF65" s="338" t="n"/>
      <c r="AG65" s="338" t="n"/>
      <c r="AH65" s="338" t="n"/>
      <c r="AI65" s="338" t="n"/>
      <c r="AJ65" s="338" t="n"/>
      <c r="AK65" s="338" t="n"/>
      <c r="AL65" s="338" t="n"/>
      <c r="AM65" s="338" t="n"/>
      <c r="AN65" s="338" t="n"/>
      <c r="AO65" s="338" t="n"/>
      <c r="AP65" s="338" t="n"/>
      <c r="AQ65" s="338" t="n"/>
      <c r="AR65" s="338" t="n"/>
      <c r="AS65" s="338" t="n"/>
      <c r="AT65" s="338" t="n"/>
      <c r="AU65" s="338" t="n"/>
      <c r="AV65" s="338" t="n"/>
      <c r="AW65" s="338" t="n"/>
      <c r="AX65" s="338" t="n"/>
      <c r="AY65" s="338" t="n"/>
      <c r="AZ65" s="338" t="n"/>
      <c r="BA65" s="338" t="n"/>
      <c r="BB65" s="338" t="n"/>
      <c r="BC65" s="338" t="n"/>
      <c r="BD65" s="338" t="n"/>
      <c r="BE65" s="338" t="n"/>
      <c r="BF65" s="338" t="n"/>
      <c r="BG65" s="338" t="n"/>
      <c r="BH65" s="338" t="n"/>
      <c r="BI65" s="338" t="n"/>
      <c r="BJ65" s="338" t="n"/>
      <c r="BK65" s="338" t="n"/>
      <c r="BL65" s="338" t="n"/>
      <c r="BM65" s="338" t="n"/>
      <c r="BN65" s="338" t="n"/>
      <c r="BO65" s="338" t="n"/>
      <c r="BP65" s="338" t="n"/>
      <c r="BQ65" s="338" t="n"/>
      <c r="BR65" s="338" t="n"/>
      <c r="BS65" s="338" t="n"/>
      <c r="BT65" s="338" t="n"/>
      <c r="BU65" s="338" t="n"/>
      <c r="BV65" s="338" t="n"/>
      <c r="BW65" s="338" t="n"/>
      <c r="BX65" s="338" t="n"/>
      <c r="BY65" s="338" t="n"/>
      <c r="BZ65" s="338" t="n"/>
      <c r="CA65" s="338" t="n"/>
      <c r="CB65" s="338" t="n"/>
      <c r="CC65" s="383" t="n"/>
      <c r="CF65" s="253" t="inlineStr">
        <is>
          <t>時間外</t>
        </is>
      </c>
      <c r="CG65" s="384" t="n"/>
      <c r="CH65" s="384" t="n"/>
      <c r="CI65" s="385" t="n"/>
      <c r="CJ65" s="386">
        <f>IF(Q63="作業者1",K66-K63,0)</f>
        <v/>
      </c>
      <c r="CK65" s="387" t="n"/>
      <c r="CL65" s="387" t="n"/>
      <c r="CM65" s="387" t="n"/>
      <c r="CN65" s="388" t="n"/>
      <c r="CP65" s="253" t="inlineStr">
        <is>
          <t>時間外</t>
        </is>
      </c>
      <c r="CQ65" s="384" t="n"/>
      <c r="CR65" s="384" t="n"/>
      <c r="CS65" s="385" t="n"/>
      <c r="CT65" s="386">
        <f>IF(Q63="作業者2",K66-K63,0)</f>
        <v/>
      </c>
      <c r="CU65" s="387" t="n"/>
      <c r="CV65" s="387" t="n"/>
      <c r="CW65" s="387" t="n"/>
      <c r="CX65" s="388" t="n"/>
      <c r="CZ65" s="253" t="inlineStr">
        <is>
          <t>時間外</t>
        </is>
      </c>
      <c r="DA65" s="384" t="n"/>
      <c r="DB65" s="384" t="n"/>
      <c r="DC65" s="385" t="n"/>
      <c r="DD65" s="386">
        <f>IF(Q63="作業者3",K66-K63,0)</f>
        <v/>
      </c>
      <c r="DE65" s="387" t="n"/>
      <c r="DF65" s="387" t="n"/>
      <c r="DG65" s="387" t="n"/>
      <c r="DH65" s="388" t="n"/>
      <c r="DJ65" s="253" t="inlineStr">
        <is>
          <t>時間外</t>
        </is>
      </c>
      <c r="DK65" s="384" t="n"/>
      <c r="DL65" s="384" t="n"/>
      <c r="DM65" s="385" t="n"/>
      <c r="DN65" s="386">
        <f>IF(Q63="作業者4",K66-K63,0)</f>
        <v/>
      </c>
      <c r="DO65" s="387" t="n"/>
      <c r="DP65" s="387" t="n"/>
      <c r="DQ65" s="387" t="n"/>
      <c r="DR65" s="388" t="n"/>
      <c r="DT65" s="253" t="inlineStr">
        <is>
          <t>時間外</t>
        </is>
      </c>
      <c r="DU65" s="384" t="n"/>
      <c r="DV65" s="384" t="n"/>
      <c r="DW65" s="385" t="n"/>
      <c r="DX65" s="386">
        <f>IF(Q63="作業者5",K66-K63,0)</f>
        <v/>
      </c>
      <c r="DY65" s="387" t="n"/>
      <c r="DZ65" s="387" t="n"/>
      <c r="EA65" s="387" t="n"/>
      <c r="EB65" s="388" t="n"/>
    </row>
    <row r="66" ht="9" customHeight="1" s="337">
      <c r="B66" s="353" t="n"/>
      <c r="C66" s="339" t="n"/>
      <c r="D66" s="364" t="n"/>
      <c r="E66" s="412" t="n"/>
      <c r="F66" s="339" t="n"/>
      <c r="G66" s="364" t="n"/>
      <c r="H66" s="412" t="n"/>
      <c r="I66" s="339" t="n"/>
      <c r="J66" s="364" t="n"/>
      <c r="K66" s="412" t="n"/>
      <c r="L66" s="339" t="n"/>
      <c r="M66" s="364" t="n"/>
      <c r="N66" s="412" t="n"/>
      <c r="O66" s="339" t="n"/>
      <c r="P66" s="364" t="n"/>
      <c r="Q66" s="365" t="n"/>
      <c r="R66" s="339" t="n"/>
      <c r="S66" s="364" t="n"/>
      <c r="T66" s="365" t="n"/>
      <c r="U66" s="339" t="n"/>
      <c r="V66" s="364" t="n"/>
      <c r="W66" s="393" t="n"/>
      <c r="X66" s="390" t="n"/>
      <c r="Y66" s="390" t="n"/>
      <c r="Z66" s="390" t="n"/>
      <c r="AA66" s="390" t="n"/>
      <c r="AB66" s="390" t="n"/>
      <c r="AC66" s="390" t="n"/>
      <c r="AD66" s="390" t="n"/>
      <c r="AE66" s="390" t="n"/>
      <c r="AF66" s="390" t="n"/>
      <c r="AG66" s="390" t="n"/>
      <c r="AH66" s="390" t="n"/>
      <c r="AI66" s="390" t="n"/>
      <c r="AJ66" s="390" t="n"/>
      <c r="AK66" s="390" t="n"/>
      <c r="AL66" s="390" t="n"/>
      <c r="AM66" s="390" t="n"/>
      <c r="AN66" s="390" t="n"/>
      <c r="AO66" s="390" t="n"/>
      <c r="AP66" s="390" t="n"/>
      <c r="AQ66" s="390" t="n"/>
      <c r="AR66" s="390" t="n"/>
      <c r="AS66" s="390" t="n"/>
      <c r="AT66" s="390" t="n"/>
      <c r="AU66" s="390" t="n"/>
      <c r="AV66" s="390" t="n"/>
      <c r="AW66" s="390" t="n"/>
      <c r="AX66" s="390" t="n"/>
      <c r="AY66" s="390" t="n"/>
      <c r="AZ66" s="390" t="n"/>
      <c r="BA66" s="390" t="n"/>
      <c r="BB66" s="390" t="n"/>
      <c r="BC66" s="390" t="n"/>
      <c r="BD66" s="390" t="n"/>
      <c r="BE66" s="390" t="n"/>
      <c r="BF66" s="390" t="n"/>
      <c r="BG66" s="390" t="n"/>
      <c r="BH66" s="390" t="n"/>
      <c r="BI66" s="390" t="n"/>
      <c r="BJ66" s="390" t="n"/>
      <c r="BK66" s="390" t="n"/>
      <c r="BL66" s="390" t="n"/>
      <c r="BM66" s="390" t="n"/>
      <c r="BN66" s="390" t="n"/>
      <c r="BO66" s="390" t="n"/>
      <c r="BP66" s="390" t="n"/>
      <c r="BQ66" s="390" t="n"/>
      <c r="BR66" s="390" t="n"/>
      <c r="BS66" s="390" t="n"/>
      <c r="BT66" s="390" t="n"/>
      <c r="BU66" s="390" t="n"/>
      <c r="BV66" s="390" t="n"/>
      <c r="BW66" s="390" t="n"/>
      <c r="BX66" s="390" t="n"/>
      <c r="BY66" s="390" t="n"/>
      <c r="BZ66" s="390" t="n"/>
      <c r="CA66" s="390" t="n"/>
      <c r="CB66" s="390" t="n"/>
      <c r="CC66" s="394" t="n"/>
      <c r="CF66" s="254" t="inlineStr">
        <is>
          <t>休日</t>
        </is>
      </c>
      <c r="CG66" s="395" t="n"/>
      <c r="CH66" s="395" t="n"/>
      <c r="CI66" s="396" t="n"/>
      <c r="CJ66" s="397">
        <f>IF(Q63="作業者1",N66-N63,0)</f>
        <v/>
      </c>
      <c r="CK66" s="395" t="n"/>
      <c r="CL66" s="395" t="n"/>
      <c r="CM66" s="395" t="n"/>
      <c r="CN66" s="396" t="n"/>
      <c r="CP66" s="254" t="inlineStr">
        <is>
          <t>休日</t>
        </is>
      </c>
      <c r="CQ66" s="395" t="n"/>
      <c r="CR66" s="395" t="n"/>
      <c r="CS66" s="396" t="n"/>
      <c r="CT66" s="397">
        <f>IF(Q63="作業者2",N66-N63,0)</f>
        <v/>
      </c>
      <c r="CU66" s="395" t="n"/>
      <c r="CV66" s="395" t="n"/>
      <c r="CW66" s="395" t="n"/>
      <c r="CX66" s="396" t="n"/>
      <c r="CZ66" s="254" t="inlineStr">
        <is>
          <t>休日</t>
        </is>
      </c>
      <c r="DA66" s="395" t="n"/>
      <c r="DB66" s="395" t="n"/>
      <c r="DC66" s="396" t="n"/>
      <c r="DD66" s="397">
        <f>IF(Q63="作業者3",N66-N63,0)</f>
        <v/>
      </c>
      <c r="DE66" s="395" t="n"/>
      <c r="DF66" s="395" t="n"/>
      <c r="DG66" s="395" t="n"/>
      <c r="DH66" s="396" t="n"/>
      <c r="DJ66" s="254" t="inlineStr">
        <is>
          <t>休日</t>
        </is>
      </c>
      <c r="DK66" s="395" t="n"/>
      <c r="DL66" s="395" t="n"/>
      <c r="DM66" s="396" t="n"/>
      <c r="DN66" s="397">
        <f>IF(Q63="作業者4",N66-N63,0)</f>
        <v/>
      </c>
      <c r="DO66" s="395" t="n"/>
      <c r="DP66" s="395" t="n"/>
      <c r="DQ66" s="395" t="n"/>
      <c r="DR66" s="396" t="n"/>
      <c r="DT66" s="254" t="inlineStr">
        <is>
          <t>休日</t>
        </is>
      </c>
      <c r="DU66" s="395" t="n"/>
      <c r="DV66" s="395" t="n"/>
      <c r="DW66" s="396" t="n"/>
      <c r="DX66" s="397">
        <f>IF(Q63="作業者5",N66-N63,0)</f>
        <v/>
      </c>
      <c r="DY66" s="395" t="n"/>
      <c r="DZ66" s="395" t="n"/>
      <c r="EA66" s="395" t="n"/>
      <c r="EB66" s="396" t="n"/>
    </row>
    <row r="67" ht="9.75" customHeight="1" s="337">
      <c r="B67" s="413" t="n"/>
      <c r="C67" s="413" t="n"/>
      <c r="D67" s="413" t="n"/>
      <c r="E67" s="414" t="n"/>
      <c r="F67" s="27" t="n"/>
      <c r="G67" s="27" t="n"/>
      <c r="H67" s="414" t="n"/>
      <c r="I67" s="27" t="n"/>
      <c r="J67" s="27" t="n"/>
      <c r="K67" s="414" t="n"/>
      <c r="L67" s="27" t="n"/>
      <c r="M67" s="27" t="n"/>
      <c r="N67" s="414" t="n"/>
      <c r="O67" s="27" t="n"/>
      <c r="P67" s="27" t="n"/>
      <c r="Q67" s="128" t="n"/>
      <c r="R67" s="128" t="n"/>
      <c r="S67" s="128" t="n"/>
      <c r="T67" s="128" t="n"/>
      <c r="U67" s="128" t="n"/>
      <c r="V67" s="128" t="n"/>
      <c r="W67" s="29" t="n"/>
      <c r="X67" s="29" t="n"/>
      <c r="Y67" s="29" t="n"/>
      <c r="Z67" s="29" t="n"/>
      <c r="AA67" s="29" t="n"/>
      <c r="AB67" s="29" t="n"/>
      <c r="AC67" s="29" t="n"/>
      <c r="AD67" s="29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14" t="n"/>
      <c r="BX67" s="14" t="n"/>
      <c r="BY67" s="14" t="n"/>
      <c r="BZ67" s="14" t="n"/>
      <c r="CA67" s="415" t="n"/>
      <c r="CB67" s="87" t="n"/>
      <c r="CC67" s="87" t="n"/>
      <c r="CD67" s="87" t="n"/>
      <c r="CE67" s="416" t="n"/>
      <c r="CF67" s="34" t="n"/>
      <c r="CG67" s="34" t="n"/>
    </row>
    <row r="68" ht="14.1" customHeight="1" s="337">
      <c r="B68" s="417" t="inlineStr">
        <is>
          <t>月／日</t>
        </is>
      </c>
      <c r="C68" s="342" t="n"/>
      <c r="D68" s="356" t="n"/>
      <c r="E68" s="357" t="inlineStr">
        <is>
          <t>移 動</t>
        </is>
      </c>
      <c r="F68" s="342" t="n"/>
      <c r="G68" s="356" t="n"/>
      <c r="H68" s="358" t="inlineStr">
        <is>
          <t>作業内　(平日)</t>
        </is>
      </c>
      <c r="I68" s="342" t="n"/>
      <c r="J68" s="356" t="n"/>
      <c r="K68" s="358" t="inlineStr">
        <is>
          <t>作業外　(平日)</t>
        </is>
      </c>
      <c r="L68" s="342" t="n"/>
      <c r="M68" s="356" t="n"/>
      <c r="N68" s="357" t="inlineStr">
        <is>
          <t>休日</t>
        </is>
      </c>
      <c r="O68" s="342" t="n"/>
      <c r="P68" s="356" t="n"/>
      <c r="Q68" s="359" t="inlineStr">
        <is>
          <t>作業者</t>
        </is>
      </c>
      <c r="R68" s="342" t="n"/>
      <c r="S68" s="356" t="n"/>
      <c r="T68" s="359" t="inlineStr">
        <is>
          <t>場  所</t>
        </is>
      </c>
      <c r="U68" s="342" t="n"/>
      <c r="V68" s="356" t="n"/>
      <c r="W68" s="418" t="inlineStr">
        <is>
          <t xml:space="preserve">   作　　　　    　　業　　　    　 　内　　　  　  　　容　</t>
        </is>
      </c>
      <c r="X68" s="342" t="n"/>
      <c r="Y68" s="342" t="n"/>
      <c r="Z68" s="342" t="n"/>
      <c r="AA68" s="342" t="n"/>
      <c r="AB68" s="342" t="n"/>
      <c r="AC68" s="342" t="n"/>
      <c r="AD68" s="342" t="n"/>
      <c r="AE68" s="342" t="n"/>
      <c r="AF68" s="342" t="n"/>
      <c r="AG68" s="342" t="n"/>
      <c r="AH68" s="342" t="n"/>
      <c r="AI68" s="342" t="n"/>
      <c r="AJ68" s="342" t="n"/>
      <c r="AK68" s="342" t="n"/>
      <c r="AL68" s="342" t="n"/>
      <c r="AM68" s="342" t="n"/>
      <c r="AN68" s="342" t="n"/>
      <c r="AO68" s="342" t="n"/>
      <c r="AP68" s="342" t="n"/>
      <c r="AQ68" s="342" t="n"/>
      <c r="AR68" s="342" t="n"/>
      <c r="AS68" s="342" t="n"/>
      <c r="AT68" s="342" t="n"/>
      <c r="AU68" s="342" t="n"/>
      <c r="AV68" s="342" t="n"/>
      <c r="AW68" s="342" t="n"/>
      <c r="AX68" s="342" t="n"/>
      <c r="AY68" s="342" t="n"/>
      <c r="AZ68" s="342" t="n"/>
      <c r="BA68" s="342" t="n"/>
      <c r="BB68" s="342" t="n"/>
      <c r="BC68" s="342" t="n"/>
      <c r="BD68" s="342" t="n"/>
      <c r="BE68" s="342" t="n"/>
      <c r="BF68" s="342" t="n"/>
      <c r="BG68" s="342" t="n"/>
      <c r="BH68" s="342" t="n"/>
      <c r="BI68" s="342" t="n"/>
      <c r="BJ68" s="342" t="n"/>
      <c r="BK68" s="342" t="n"/>
      <c r="BL68" s="342" t="n"/>
      <c r="BM68" s="342" t="n"/>
      <c r="BN68" s="342" t="n"/>
      <c r="BO68" s="342" t="n"/>
      <c r="BP68" s="342" t="n"/>
      <c r="BQ68" s="342" t="n"/>
      <c r="BR68" s="342" t="n"/>
      <c r="BS68" s="342" t="n"/>
      <c r="BT68" s="342" t="n"/>
      <c r="BU68" s="342" t="n"/>
      <c r="BV68" s="342" t="n"/>
      <c r="BW68" s="342" t="n"/>
      <c r="BX68" s="342" t="n"/>
      <c r="BY68" s="342" t="n"/>
      <c r="BZ68" s="342" t="n"/>
      <c r="CA68" s="342" t="n"/>
      <c r="CB68" s="342" t="n"/>
      <c r="CC68" s="343" t="n"/>
      <c r="CF68" s="361" t="inlineStr">
        <is>
          <t>所要時間　作業者1</t>
        </is>
      </c>
      <c r="CG68" s="362" t="n"/>
      <c r="CH68" s="362" t="n"/>
      <c r="CI68" s="362" t="n"/>
      <c r="CJ68" s="362" t="n"/>
      <c r="CK68" s="362" t="n"/>
      <c r="CL68" s="362" t="n"/>
      <c r="CM68" s="362" t="n"/>
      <c r="CN68" s="363" t="n"/>
      <c r="CP68" s="361" t="inlineStr">
        <is>
          <t>所要時間　作業者2</t>
        </is>
      </c>
      <c r="CQ68" s="362" t="n"/>
      <c r="CR68" s="362" t="n"/>
      <c r="CS68" s="362" t="n"/>
      <c r="CT68" s="362" t="n"/>
      <c r="CU68" s="362" t="n"/>
      <c r="CV68" s="362" t="n"/>
      <c r="CW68" s="362" t="n"/>
      <c r="CX68" s="363" t="n"/>
      <c r="CZ68" s="361" t="inlineStr">
        <is>
          <t>所要時間　作業者3</t>
        </is>
      </c>
      <c r="DA68" s="362" t="n"/>
      <c r="DB68" s="362" t="n"/>
      <c r="DC68" s="362" t="n"/>
      <c r="DD68" s="362" t="n"/>
      <c r="DE68" s="362" t="n"/>
      <c r="DF68" s="362" t="n"/>
      <c r="DG68" s="362" t="n"/>
      <c r="DH68" s="363" t="n"/>
      <c r="DJ68" s="361" t="inlineStr">
        <is>
          <t>所要時間　作業者4</t>
        </is>
      </c>
      <c r="DK68" s="362" t="n"/>
      <c r="DL68" s="362" t="n"/>
      <c r="DM68" s="362" t="n"/>
      <c r="DN68" s="362" t="n"/>
      <c r="DO68" s="362" t="n"/>
      <c r="DP68" s="362" t="n"/>
      <c r="DQ68" s="362" t="n"/>
      <c r="DR68" s="363" t="n"/>
      <c r="DT68" s="361" t="inlineStr">
        <is>
          <t>所要時間　作業者5</t>
        </is>
      </c>
      <c r="DU68" s="362" t="n"/>
      <c r="DV68" s="362" t="n"/>
      <c r="DW68" s="362" t="n"/>
      <c r="DX68" s="362" t="n"/>
      <c r="DY68" s="362" t="n"/>
      <c r="DZ68" s="362" t="n"/>
      <c r="EA68" s="362" t="n"/>
      <c r="EB68" s="363" t="n"/>
    </row>
    <row r="69" ht="14.1" customHeight="1" s="337">
      <c r="B69" s="353" t="n"/>
      <c r="C69" s="339" t="n"/>
      <c r="D69" s="364" t="n"/>
      <c r="E69" s="365" t="n"/>
      <c r="F69" s="339" t="n"/>
      <c r="G69" s="364" t="n"/>
      <c r="H69" s="365" t="n"/>
      <c r="I69" s="339" t="n"/>
      <c r="J69" s="364" t="n"/>
      <c r="K69" s="365" t="n"/>
      <c r="L69" s="339" t="n"/>
      <c r="M69" s="364" t="n"/>
      <c r="N69" s="365" t="n"/>
      <c r="O69" s="339" t="n"/>
      <c r="P69" s="364" t="n"/>
      <c r="Q69" s="365" t="n"/>
      <c r="R69" s="339" t="n"/>
      <c r="S69" s="364" t="n"/>
      <c r="T69" s="365" t="n"/>
      <c r="U69" s="339" t="n"/>
      <c r="V69" s="364" t="n"/>
      <c r="W69" s="365" t="n"/>
      <c r="X69" s="339" t="n"/>
      <c r="Y69" s="339" t="n"/>
      <c r="Z69" s="339" t="n"/>
      <c r="AA69" s="339" t="n"/>
      <c r="AB69" s="339" t="n"/>
      <c r="AC69" s="339" t="n"/>
      <c r="AD69" s="339" t="n"/>
      <c r="AE69" s="339" t="n"/>
      <c r="AF69" s="339" t="n"/>
      <c r="AG69" s="339" t="n"/>
      <c r="AH69" s="339" t="n"/>
      <c r="AI69" s="339" t="n"/>
      <c r="AJ69" s="339" t="n"/>
      <c r="AK69" s="339" t="n"/>
      <c r="AL69" s="339" t="n"/>
      <c r="AM69" s="339" t="n"/>
      <c r="AN69" s="339" t="n"/>
      <c r="AO69" s="339" t="n"/>
      <c r="AP69" s="339" t="n"/>
      <c r="AQ69" s="339" t="n"/>
      <c r="AR69" s="339" t="n"/>
      <c r="AS69" s="339" t="n"/>
      <c r="AT69" s="339" t="n"/>
      <c r="AU69" s="339" t="n"/>
      <c r="AV69" s="339" t="n"/>
      <c r="AW69" s="339" t="n"/>
      <c r="AX69" s="339" t="n"/>
      <c r="AY69" s="339" t="n"/>
      <c r="AZ69" s="339" t="n"/>
      <c r="BA69" s="339" t="n"/>
      <c r="BB69" s="339" t="n"/>
      <c r="BC69" s="339" t="n"/>
      <c r="BD69" s="339" t="n"/>
      <c r="BE69" s="339" t="n"/>
      <c r="BF69" s="339" t="n"/>
      <c r="BG69" s="339" t="n"/>
      <c r="BH69" s="339" t="n"/>
      <c r="BI69" s="339" t="n"/>
      <c r="BJ69" s="339" t="n"/>
      <c r="BK69" s="339" t="n"/>
      <c r="BL69" s="339" t="n"/>
      <c r="BM69" s="339" t="n"/>
      <c r="BN69" s="339" t="n"/>
      <c r="BO69" s="339" t="n"/>
      <c r="BP69" s="339" t="n"/>
      <c r="BQ69" s="339" t="n"/>
      <c r="BR69" s="339" t="n"/>
      <c r="BS69" s="339" t="n"/>
      <c r="BT69" s="339" t="n"/>
      <c r="BU69" s="339" t="n"/>
      <c r="BV69" s="339" t="n"/>
      <c r="BW69" s="339" t="n"/>
      <c r="BX69" s="339" t="n"/>
      <c r="BY69" s="339" t="n"/>
      <c r="BZ69" s="339" t="n"/>
      <c r="CA69" s="339" t="n"/>
      <c r="CB69" s="339" t="n"/>
      <c r="CC69" s="354" t="n"/>
      <c r="CF69" s="366" t="n"/>
      <c r="CG69" s="367" t="n"/>
      <c r="CH69" s="367" t="n"/>
      <c r="CI69" s="367" t="n"/>
      <c r="CJ69" s="367" t="n"/>
      <c r="CK69" s="367" t="n"/>
      <c r="CL69" s="367" t="n"/>
      <c r="CM69" s="367" t="n"/>
      <c r="CN69" s="368" t="n"/>
      <c r="CP69" s="366" t="n"/>
      <c r="CQ69" s="367" t="n"/>
      <c r="CR69" s="367" t="n"/>
      <c r="CS69" s="367" t="n"/>
      <c r="CT69" s="367" t="n"/>
      <c r="CU69" s="367" t="n"/>
      <c r="CV69" s="367" t="n"/>
      <c r="CW69" s="367" t="n"/>
      <c r="CX69" s="368" t="n"/>
      <c r="CZ69" s="366" t="n"/>
      <c r="DA69" s="367" t="n"/>
      <c r="DB69" s="367" t="n"/>
      <c r="DC69" s="367" t="n"/>
      <c r="DD69" s="367" t="n"/>
      <c r="DE69" s="367" t="n"/>
      <c r="DF69" s="367" t="n"/>
      <c r="DG69" s="367" t="n"/>
      <c r="DH69" s="368" t="n"/>
      <c r="DJ69" s="366" t="n"/>
      <c r="DK69" s="367" t="n"/>
      <c r="DL69" s="367" t="n"/>
      <c r="DM69" s="367" t="n"/>
      <c r="DN69" s="367" t="n"/>
      <c r="DO69" s="367" t="n"/>
      <c r="DP69" s="367" t="n"/>
      <c r="DQ69" s="367" t="n"/>
      <c r="DR69" s="368" t="n"/>
      <c r="DT69" s="366" t="n"/>
      <c r="DU69" s="367" t="n"/>
      <c r="DV69" s="367" t="n"/>
      <c r="DW69" s="367" t="n"/>
      <c r="DX69" s="367" t="n"/>
      <c r="DY69" s="367" t="n"/>
      <c r="DZ69" s="367" t="n"/>
      <c r="EA69" s="367" t="n"/>
      <c r="EB69" s="368" t="n"/>
    </row>
    <row r="70" ht="9" customHeight="1" s="337">
      <c r="B70" s="369" t="n"/>
      <c r="C70" s="342" t="n"/>
      <c r="D70" s="356" t="n"/>
      <c r="E70" s="370" t="n"/>
      <c r="F70" s="342" t="n"/>
      <c r="G70" s="356" t="n"/>
      <c r="H70" s="370" t="n"/>
      <c r="I70" s="342" t="n"/>
      <c r="J70" s="356" t="n"/>
      <c r="K70" s="370" t="n"/>
      <c r="L70" s="342" t="n"/>
      <c r="M70" s="356" t="n"/>
      <c r="N70" s="370" t="n"/>
      <c r="O70" s="342" t="n"/>
      <c r="P70" s="356" t="n"/>
      <c r="Q70" s="374" t="n"/>
      <c r="R70" s="342" t="n"/>
      <c r="S70" s="356" t="n"/>
      <c r="T70" s="374" t="n"/>
      <c r="U70" s="342" t="n"/>
      <c r="V70" s="356" t="n"/>
      <c r="W70" s="419" t="n"/>
      <c r="X70" s="342" t="n"/>
      <c r="Y70" s="342" t="n"/>
      <c r="Z70" s="342" t="n"/>
      <c r="AA70" s="342" t="n"/>
      <c r="AB70" s="342" t="n"/>
      <c r="AC70" s="342" t="n"/>
      <c r="AD70" s="342" t="n"/>
      <c r="AE70" s="342" t="n"/>
      <c r="AF70" s="342" t="n"/>
      <c r="AG70" s="342" t="n"/>
      <c r="AH70" s="342" t="n"/>
      <c r="AI70" s="342" t="n"/>
      <c r="AJ70" s="342" t="n"/>
      <c r="AK70" s="342" t="n"/>
      <c r="AL70" s="342" t="n"/>
      <c r="AM70" s="342" t="n"/>
      <c r="AN70" s="342" t="n"/>
      <c r="AO70" s="342" t="n"/>
      <c r="AP70" s="342" t="n"/>
      <c r="AQ70" s="342" t="n"/>
      <c r="AR70" s="342" t="n"/>
      <c r="AS70" s="342" t="n"/>
      <c r="AT70" s="342" t="n"/>
      <c r="AU70" s="342" t="n"/>
      <c r="AV70" s="342" t="n"/>
      <c r="AW70" s="342" t="n"/>
      <c r="AX70" s="342" t="n"/>
      <c r="AY70" s="342" t="n"/>
      <c r="AZ70" s="342" t="n"/>
      <c r="BA70" s="342" t="n"/>
      <c r="BB70" s="342" t="n"/>
      <c r="BC70" s="342" t="n"/>
      <c r="BD70" s="342" t="n"/>
      <c r="BE70" s="342" t="n"/>
      <c r="BF70" s="342" t="n"/>
      <c r="BG70" s="342" t="n"/>
      <c r="BH70" s="342" t="n"/>
      <c r="BI70" s="342" t="n"/>
      <c r="BJ70" s="342" t="n"/>
      <c r="BK70" s="342" t="n"/>
      <c r="BL70" s="342" t="n"/>
      <c r="BM70" s="342" t="n"/>
      <c r="BN70" s="342" t="n"/>
      <c r="BO70" s="342" t="n"/>
      <c r="BP70" s="342" t="n"/>
      <c r="BQ70" s="342" t="n"/>
      <c r="BR70" s="342" t="n"/>
      <c r="BS70" s="342" t="n"/>
      <c r="BT70" s="342" t="n"/>
      <c r="BU70" s="342" t="n"/>
      <c r="BV70" s="342" t="n"/>
      <c r="BW70" s="342" t="n"/>
      <c r="BX70" s="342" t="n"/>
      <c r="BY70" s="342" t="n"/>
      <c r="BZ70" s="342" t="n"/>
      <c r="CA70" s="342" t="n"/>
      <c r="CB70" s="342" t="n"/>
      <c r="CC70" s="343" t="n"/>
      <c r="CF70" s="248" t="inlineStr">
        <is>
          <t>移動</t>
        </is>
      </c>
      <c r="CG70" s="377" t="n"/>
      <c r="CH70" s="377" t="n"/>
      <c r="CI70" s="378" t="n"/>
      <c r="CJ70" s="379">
        <f>IF(Q70="作業者1",E73-E70,0)</f>
        <v/>
      </c>
      <c r="CK70" s="377" t="n"/>
      <c r="CL70" s="377" t="n"/>
      <c r="CM70" s="377" t="n"/>
      <c r="CN70" s="378" t="n"/>
      <c r="CP70" s="248" t="inlineStr">
        <is>
          <t>移動</t>
        </is>
      </c>
      <c r="CQ70" s="377" t="n"/>
      <c r="CR70" s="377" t="n"/>
      <c r="CS70" s="378" t="n"/>
      <c r="CT70" s="379">
        <f>IF(Q70="作業者2",E73-E70,0)</f>
        <v/>
      </c>
      <c r="CU70" s="377" t="n"/>
      <c r="CV70" s="377" t="n"/>
      <c r="CW70" s="377" t="n"/>
      <c r="CX70" s="378" t="n"/>
      <c r="CZ70" s="248" t="inlineStr">
        <is>
          <t>移動</t>
        </is>
      </c>
      <c r="DA70" s="377" t="n"/>
      <c r="DB70" s="377" t="n"/>
      <c r="DC70" s="378" t="n"/>
      <c r="DD70" s="379">
        <f>IF(Q70="作業者3",E73-E70,0)</f>
        <v/>
      </c>
      <c r="DE70" s="377" t="n"/>
      <c r="DF70" s="377" t="n"/>
      <c r="DG70" s="377" t="n"/>
      <c r="DH70" s="378" t="n"/>
      <c r="DJ70" s="248" t="inlineStr">
        <is>
          <t>移動</t>
        </is>
      </c>
      <c r="DK70" s="377" t="n"/>
      <c r="DL70" s="377" t="n"/>
      <c r="DM70" s="378" t="n"/>
      <c r="DN70" s="379">
        <f>IF(Q70="作業者4",E73-E70,0)</f>
        <v/>
      </c>
      <c r="DO70" s="377" t="n"/>
      <c r="DP70" s="377" t="n"/>
      <c r="DQ70" s="377" t="n"/>
      <c r="DR70" s="378" t="n"/>
      <c r="DT70" s="248" t="inlineStr">
        <is>
          <t>移動</t>
        </is>
      </c>
      <c r="DU70" s="377" t="n"/>
      <c r="DV70" s="377" t="n"/>
      <c r="DW70" s="378" t="n"/>
      <c r="DX70" s="379">
        <f>IF(Q70="作業者5",E73-E70,0)</f>
        <v/>
      </c>
      <c r="DY70" s="377" t="n"/>
      <c r="DZ70" s="377" t="n"/>
      <c r="EA70" s="377" t="n"/>
      <c r="EB70" s="378" t="n"/>
    </row>
    <row r="71" ht="9" customHeight="1" s="337">
      <c r="B71" s="350" t="n"/>
      <c r="C71" s="338" t="n"/>
      <c r="D71" s="380" t="n"/>
      <c r="E71" s="381" t="n"/>
      <c r="F71" s="122" t="inlineStr">
        <is>
          <t>～</t>
        </is>
      </c>
      <c r="G71" s="22" t="n"/>
      <c r="H71" s="381" t="n"/>
      <c r="I71" s="122" t="inlineStr">
        <is>
          <t>～</t>
        </is>
      </c>
      <c r="J71" s="22" t="n"/>
      <c r="K71" s="381" t="n"/>
      <c r="L71" s="122" t="inlineStr">
        <is>
          <t>～</t>
        </is>
      </c>
      <c r="M71" s="22" t="n"/>
      <c r="N71" s="381" t="n"/>
      <c r="O71" s="122" t="inlineStr">
        <is>
          <t>～</t>
        </is>
      </c>
      <c r="P71" s="22" t="n"/>
      <c r="Q71" s="382" t="n"/>
      <c r="R71" s="338" t="n"/>
      <c r="S71" s="380" t="n"/>
      <c r="T71" s="382" t="n"/>
      <c r="U71" s="338" t="n"/>
      <c r="V71" s="380" t="n"/>
      <c r="W71" s="382" t="n"/>
      <c r="X71" s="338" t="n"/>
      <c r="Y71" s="338" t="n"/>
      <c r="Z71" s="338" t="n"/>
      <c r="AA71" s="338" t="n"/>
      <c r="AB71" s="338" t="n"/>
      <c r="AC71" s="338" t="n"/>
      <c r="AD71" s="338" t="n"/>
      <c r="AE71" s="338" t="n"/>
      <c r="AF71" s="338" t="n"/>
      <c r="AG71" s="338" t="n"/>
      <c r="AH71" s="338" t="n"/>
      <c r="AI71" s="338" t="n"/>
      <c r="AJ71" s="338" t="n"/>
      <c r="AK71" s="338" t="n"/>
      <c r="AL71" s="338" t="n"/>
      <c r="AM71" s="338" t="n"/>
      <c r="AN71" s="338" t="n"/>
      <c r="AO71" s="338" t="n"/>
      <c r="AP71" s="338" t="n"/>
      <c r="AQ71" s="338" t="n"/>
      <c r="AR71" s="338" t="n"/>
      <c r="AS71" s="338" t="n"/>
      <c r="AT71" s="338" t="n"/>
      <c r="AU71" s="338" t="n"/>
      <c r="AV71" s="338" t="n"/>
      <c r="AW71" s="338" t="n"/>
      <c r="AX71" s="338" t="n"/>
      <c r="AY71" s="338" t="n"/>
      <c r="AZ71" s="338" t="n"/>
      <c r="BA71" s="338" t="n"/>
      <c r="BB71" s="338" t="n"/>
      <c r="BC71" s="338" t="n"/>
      <c r="BD71" s="338" t="n"/>
      <c r="BE71" s="338" t="n"/>
      <c r="BF71" s="338" t="n"/>
      <c r="BG71" s="338" t="n"/>
      <c r="BH71" s="338" t="n"/>
      <c r="BI71" s="338" t="n"/>
      <c r="BJ71" s="338" t="n"/>
      <c r="BK71" s="338" t="n"/>
      <c r="BL71" s="338" t="n"/>
      <c r="BM71" s="338" t="n"/>
      <c r="BN71" s="338" t="n"/>
      <c r="BO71" s="338" t="n"/>
      <c r="BP71" s="338" t="n"/>
      <c r="BQ71" s="338" t="n"/>
      <c r="BR71" s="338" t="n"/>
      <c r="BS71" s="338" t="n"/>
      <c r="BT71" s="338" t="n"/>
      <c r="BU71" s="338" t="n"/>
      <c r="BV71" s="338" t="n"/>
      <c r="BW71" s="338" t="n"/>
      <c r="BX71" s="338" t="n"/>
      <c r="BY71" s="338" t="n"/>
      <c r="BZ71" s="338" t="n"/>
      <c r="CA71" s="338" t="n"/>
      <c r="CB71" s="338" t="n"/>
      <c r="CC71" s="351" t="n"/>
      <c r="CF71" s="253" t="inlineStr">
        <is>
          <t>時間内</t>
        </is>
      </c>
      <c r="CG71" s="384" t="n"/>
      <c r="CH71" s="384" t="n"/>
      <c r="CI71" s="385" t="n"/>
      <c r="CJ71" s="386">
        <f>IF(Q70="作業者1",H73-H70,0)</f>
        <v/>
      </c>
      <c r="CK71" s="387" t="n"/>
      <c r="CL71" s="387" t="n"/>
      <c r="CM71" s="387" t="n"/>
      <c r="CN71" s="388" t="n"/>
      <c r="CP71" s="253" t="inlineStr">
        <is>
          <t>時間内</t>
        </is>
      </c>
      <c r="CQ71" s="384" t="n"/>
      <c r="CR71" s="384" t="n"/>
      <c r="CS71" s="385" t="n"/>
      <c r="CT71" s="386">
        <f>IF(Q70="作業者2",H73-H70,0)</f>
        <v/>
      </c>
      <c r="CU71" s="387" t="n"/>
      <c r="CV71" s="387" t="n"/>
      <c r="CW71" s="387" t="n"/>
      <c r="CX71" s="388" t="n"/>
      <c r="CZ71" s="253" t="inlineStr">
        <is>
          <t>時間内</t>
        </is>
      </c>
      <c r="DA71" s="384" t="n"/>
      <c r="DB71" s="384" t="n"/>
      <c r="DC71" s="385" t="n"/>
      <c r="DD71" s="386">
        <f>IF(Q70="作業者3",H73-H70,0)</f>
        <v/>
      </c>
      <c r="DE71" s="387" t="n"/>
      <c r="DF71" s="387" t="n"/>
      <c r="DG71" s="387" t="n"/>
      <c r="DH71" s="388" t="n"/>
      <c r="DJ71" s="253" t="inlineStr">
        <is>
          <t>時間内</t>
        </is>
      </c>
      <c r="DK71" s="384" t="n"/>
      <c r="DL71" s="384" t="n"/>
      <c r="DM71" s="385" t="n"/>
      <c r="DN71" s="386">
        <f>IF(Q70="作業者4",H73-H70,0)</f>
        <v/>
      </c>
      <c r="DO71" s="387" t="n"/>
      <c r="DP71" s="387" t="n"/>
      <c r="DQ71" s="387" t="n"/>
      <c r="DR71" s="388" t="n"/>
      <c r="DT71" s="253" t="inlineStr">
        <is>
          <t>時間内</t>
        </is>
      </c>
      <c r="DU71" s="384" t="n"/>
      <c r="DV71" s="384" t="n"/>
      <c r="DW71" s="385" t="n"/>
      <c r="DX71" s="386">
        <f>IF(Q70="作業者5",H73-H70,0)</f>
        <v/>
      </c>
      <c r="DY71" s="387" t="n"/>
      <c r="DZ71" s="387" t="n"/>
      <c r="EA71" s="387" t="n"/>
      <c r="EB71" s="388" t="n"/>
    </row>
    <row r="72" ht="9" customHeight="1" s="337">
      <c r="B72" s="350" t="n"/>
      <c r="C72" s="338" t="n"/>
      <c r="D72" s="380" t="n"/>
      <c r="E72" s="23" t="n"/>
      <c r="F72" s="338" t="n"/>
      <c r="G72" s="24" t="n"/>
      <c r="H72" s="23" t="n"/>
      <c r="I72" s="338" t="n"/>
      <c r="J72" s="24" t="n"/>
      <c r="K72" s="23" t="n"/>
      <c r="L72" s="338" t="n"/>
      <c r="M72" s="24" t="n"/>
      <c r="N72" s="23" t="n"/>
      <c r="O72" s="338" t="n"/>
      <c r="P72" s="24" t="n"/>
      <c r="Q72" s="382" t="n"/>
      <c r="R72" s="338" t="n"/>
      <c r="S72" s="380" t="n"/>
      <c r="T72" s="382" t="n"/>
      <c r="U72" s="338" t="n"/>
      <c r="V72" s="380" t="n"/>
      <c r="W72" s="382" t="n"/>
      <c r="X72" s="338" t="n"/>
      <c r="Y72" s="338" t="n"/>
      <c r="Z72" s="338" t="n"/>
      <c r="AA72" s="338" t="n"/>
      <c r="AB72" s="338" t="n"/>
      <c r="AC72" s="338" t="n"/>
      <c r="AD72" s="338" t="n"/>
      <c r="AE72" s="338" t="n"/>
      <c r="AF72" s="338" t="n"/>
      <c r="AG72" s="338" t="n"/>
      <c r="AH72" s="338" t="n"/>
      <c r="AI72" s="338" t="n"/>
      <c r="AJ72" s="338" t="n"/>
      <c r="AK72" s="338" t="n"/>
      <c r="AL72" s="338" t="n"/>
      <c r="AM72" s="338" t="n"/>
      <c r="AN72" s="338" t="n"/>
      <c r="AO72" s="338" t="n"/>
      <c r="AP72" s="338" t="n"/>
      <c r="AQ72" s="338" t="n"/>
      <c r="AR72" s="338" t="n"/>
      <c r="AS72" s="338" t="n"/>
      <c r="AT72" s="338" t="n"/>
      <c r="AU72" s="338" t="n"/>
      <c r="AV72" s="338" t="n"/>
      <c r="AW72" s="338" t="n"/>
      <c r="AX72" s="338" t="n"/>
      <c r="AY72" s="338" t="n"/>
      <c r="AZ72" s="338" t="n"/>
      <c r="BA72" s="338" t="n"/>
      <c r="BB72" s="338" t="n"/>
      <c r="BC72" s="338" t="n"/>
      <c r="BD72" s="338" t="n"/>
      <c r="BE72" s="338" t="n"/>
      <c r="BF72" s="338" t="n"/>
      <c r="BG72" s="338" t="n"/>
      <c r="BH72" s="338" t="n"/>
      <c r="BI72" s="338" t="n"/>
      <c r="BJ72" s="338" t="n"/>
      <c r="BK72" s="338" t="n"/>
      <c r="BL72" s="338" t="n"/>
      <c r="BM72" s="338" t="n"/>
      <c r="BN72" s="338" t="n"/>
      <c r="BO72" s="338" t="n"/>
      <c r="BP72" s="338" t="n"/>
      <c r="BQ72" s="338" t="n"/>
      <c r="BR72" s="338" t="n"/>
      <c r="BS72" s="338" t="n"/>
      <c r="BT72" s="338" t="n"/>
      <c r="BU72" s="338" t="n"/>
      <c r="BV72" s="338" t="n"/>
      <c r="BW72" s="338" t="n"/>
      <c r="BX72" s="338" t="n"/>
      <c r="BY72" s="338" t="n"/>
      <c r="BZ72" s="338" t="n"/>
      <c r="CA72" s="338" t="n"/>
      <c r="CB72" s="338" t="n"/>
      <c r="CC72" s="351" t="n"/>
      <c r="CF72" s="253" t="inlineStr">
        <is>
          <t>時間外</t>
        </is>
      </c>
      <c r="CG72" s="384" t="n"/>
      <c r="CH72" s="384" t="n"/>
      <c r="CI72" s="385" t="n"/>
      <c r="CJ72" s="386">
        <f>IF(Q70="作業者1",K73-K70,0)</f>
        <v/>
      </c>
      <c r="CK72" s="387" t="n"/>
      <c r="CL72" s="387" t="n"/>
      <c r="CM72" s="387" t="n"/>
      <c r="CN72" s="388" t="n"/>
      <c r="CP72" s="253" t="inlineStr">
        <is>
          <t>時間外</t>
        </is>
      </c>
      <c r="CQ72" s="384" t="n"/>
      <c r="CR72" s="384" t="n"/>
      <c r="CS72" s="385" t="n"/>
      <c r="CT72" s="386">
        <f>IF(Q70="作業者2",K73-K70,0)</f>
        <v/>
      </c>
      <c r="CU72" s="387" t="n"/>
      <c r="CV72" s="387" t="n"/>
      <c r="CW72" s="387" t="n"/>
      <c r="CX72" s="388" t="n"/>
      <c r="CZ72" s="253" t="inlineStr">
        <is>
          <t>時間外</t>
        </is>
      </c>
      <c r="DA72" s="384" t="n"/>
      <c r="DB72" s="384" t="n"/>
      <c r="DC72" s="385" t="n"/>
      <c r="DD72" s="386">
        <f>IF(Q70="作業者3",K73-K70,0)</f>
        <v/>
      </c>
      <c r="DE72" s="387" t="n"/>
      <c r="DF72" s="387" t="n"/>
      <c r="DG72" s="387" t="n"/>
      <c r="DH72" s="388" t="n"/>
      <c r="DJ72" s="253" t="inlineStr">
        <is>
          <t>時間外</t>
        </is>
      </c>
      <c r="DK72" s="384" t="n"/>
      <c r="DL72" s="384" t="n"/>
      <c r="DM72" s="385" t="n"/>
      <c r="DN72" s="386">
        <f>IF(Q70="作業者4",K73-K70,0)</f>
        <v/>
      </c>
      <c r="DO72" s="387" t="n"/>
      <c r="DP72" s="387" t="n"/>
      <c r="DQ72" s="387" t="n"/>
      <c r="DR72" s="388" t="n"/>
      <c r="DT72" s="253" t="inlineStr">
        <is>
          <t>時間外</t>
        </is>
      </c>
      <c r="DU72" s="384" t="n"/>
      <c r="DV72" s="384" t="n"/>
      <c r="DW72" s="385" t="n"/>
      <c r="DX72" s="386">
        <f>IF(Q70="作業者5",K73-K70,0)</f>
        <v/>
      </c>
      <c r="DY72" s="387" t="n"/>
      <c r="DZ72" s="387" t="n"/>
      <c r="EA72" s="387" t="n"/>
      <c r="EB72" s="388" t="n"/>
    </row>
    <row r="73" ht="9" customHeight="1" s="337">
      <c r="B73" s="389" t="n"/>
      <c r="C73" s="390" t="n"/>
      <c r="D73" s="391" t="n"/>
      <c r="E73" s="392" t="n"/>
      <c r="F73" s="390" t="n"/>
      <c r="G73" s="391" t="n"/>
      <c r="H73" s="392" t="n"/>
      <c r="I73" s="390" t="n"/>
      <c r="J73" s="391" t="n"/>
      <c r="K73" s="392" t="n"/>
      <c r="L73" s="390" t="n"/>
      <c r="M73" s="391" t="n"/>
      <c r="N73" s="392" t="n"/>
      <c r="O73" s="390" t="n"/>
      <c r="P73" s="391" t="n"/>
      <c r="Q73" s="393" t="n"/>
      <c r="R73" s="390" t="n"/>
      <c r="S73" s="391" t="n"/>
      <c r="T73" s="393" t="n"/>
      <c r="U73" s="390" t="n"/>
      <c r="V73" s="391" t="n"/>
      <c r="W73" s="393" t="n"/>
      <c r="X73" s="390" t="n"/>
      <c r="Y73" s="390" t="n"/>
      <c r="Z73" s="390" t="n"/>
      <c r="AA73" s="390" t="n"/>
      <c r="AB73" s="390" t="n"/>
      <c r="AC73" s="390" t="n"/>
      <c r="AD73" s="390" t="n"/>
      <c r="AE73" s="390" t="n"/>
      <c r="AF73" s="390" t="n"/>
      <c r="AG73" s="390" t="n"/>
      <c r="AH73" s="390" t="n"/>
      <c r="AI73" s="390" t="n"/>
      <c r="AJ73" s="390" t="n"/>
      <c r="AK73" s="390" t="n"/>
      <c r="AL73" s="390" t="n"/>
      <c r="AM73" s="390" t="n"/>
      <c r="AN73" s="390" t="n"/>
      <c r="AO73" s="390" t="n"/>
      <c r="AP73" s="390" t="n"/>
      <c r="AQ73" s="390" t="n"/>
      <c r="AR73" s="390" t="n"/>
      <c r="AS73" s="390" t="n"/>
      <c r="AT73" s="390" t="n"/>
      <c r="AU73" s="390" t="n"/>
      <c r="AV73" s="390" t="n"/>
      <c r="AW73" s="390" t="n"/>
      <c r="AX73" s="390" t="n"/>
      <c r="AY73" s="390" t="n"/>
      <c r="AZ73" s="390" t="n"/>
      <c r="BA73" s="390" t="n"/>
      <c r="BB73" s="390" t="n"/>
      <c r="BC73" s="390" t="n"/>
      <c r="BD73" s="390" t="n"/>
      <c r="BE73" s="390" t="n"/>
      <c r="BF73" s="390" t="n"/>
      <c r="BG73" s="390" t="n"/>
      <c r="BH73" s="390" t="n"/>
      <c r="BI73" s="390" t="n"/>
      <c r="BJ73" s="390" t="n"/>
      <c r="BK73" s="390" t="n"/>
      <c r="BL73" s="390" t="n"/>
      <c r="BM73" s="390" t="n"/>
      <c r="BN73" s="390" t="n"/>
      <c r="BO73" s="390" t="n"/>
      <c r="BP73" s="390" t="n"/>
      <c r="BQ73" s="390" t="n"/>
      <c r="BR73" s="390" t="n"/>
      <c r="BS73" s="390" t="n"/>
      <c r="BT73" s="390" t="n"/>
      <c r="BU73" s="390" t="n"/>
      <c r="BV73" s="390" t="n"/>
      <c r="BW73" s="390" t="n"/>
      <c r="BX73" s="390" t="n"/>
      <c r="BY73" s="390" t="n"/>
      <c r="BZ73" s="390" t="n"/>
      <c r="CA73" s="390" t="n"/>
      <c r="CB73" s="390" t="n"/>
      <c r="CC73" s="420" t="n"/>
      <c r="CF73" s="254" t="inlineStr">
        <is>
          <t>休日</t>
        </is>
      </c>
      <c r="CG73" s="395" t="n"/>
      <c r="CH73" s="395" t="n"/>
      <c r="CI73" s="396" t="n"/>
      <c r="CJ73" s="386">
        <f>IF(Q70="作業者1",N73-N70,0)</f>
        <v/>
      </c>
      <c r="CK73" s="387" t="n"/>
      <c r="CL73" s="387" t="n"/>
      <c r="CM73" s="387" t="n"/>
      <c r="CN73" s="388" t="n"/>
      <c r="CP73" s="253" t="inlineStr">
        <is>
          <t>休日</t>
        </is>
      </c>
      <c r="CQ73" s="384" t="n"/>
      <c r="CR73" s="384" t="n"/>
      <c r="CS73" s="385" t="n"/>
      <c r="CT73" s="386">
        <f>IF(Q70="作業者2",N73-N70,0)</f>
        <v/>
      </c>
      <c r="CU73" s="387" t="n"/>
      <c r="CV73" s="387" t="n"/>
      <c r="CW73" s="387" t="n"/>
      <c r="CX73" s="388" t="n"/>
      <c r="CZ73" s="254" t="inlineStr">
        <is>
          <t>休日</t>
        </is>
      </c>
      <c r="DA73" s="395" t="n"/>
      <c r="DB73" s="395" t="n"/>
      <c r="DC73" s="396" t="n"/>
      <c r="DD73" s="397">
        <f>IF(Q70="作業者3",N73-N70,0)</f>
        <v/>
      </c>
      <c r="DE73" s="395" t="n"/>
      <c r="DF73" s="395" t="n"/>
      <c r="DG73" s="395" t="n"/>
      <c r="DH73" s="396" t="n"/>
      <c r="DJ73" s="254" t="inlineStr">
        <is>
          <t>休日</t>
        </is>
      </c>
      <c r="DK73" s="395" t="n"/>
      <c r="DL73" s="395" t="n"/>
      <c r="DM73" s="396" t="n"/>
      <c r="DN73" s="397">
        <f>IF(Q70="作業者4",N73-N70,0)</f>
        <v/>
      </c>
      <c r="DO73" s="395" t="n"/>
      <c r="DP73" s="395" t="n"/>
      <c r="DQ73" s="395" t="n"/>
      <c r="DR73" s="396" t="n"/>
      <c r="DT73" s="254" t="inlineStr">
        <is>
          <t>休日</t>
        </is>
      </c>
      <c r="DU73" s="395" t="n"/>
      <c r="DV73" s="395" t="n"/>
      <c r="DW73" s="396" t="n"/>
      <c r="DX73" s="397">
        <f>IF(Q70="作業者5",N73-N70,0)</f>
        <v/>
      </c>
      <c r="DY73" s="395" t="n"/>
      <c r="DZ73" s="395" t="n"/>
      <c r="EA73" s="395" t="n"/>
      <c r="EB73" s="396" t="n"/>
    </row>
    <row r="74" ht="9" customHeight="1" s="337">
      <c r="B74" s="398" t="n"/>
      <c r="C74" s="372" t="n"/>
      <c r="D74" s="373" t="n"/>
      <c r="E74" s="421" t="n"/>
      <c r="F74" s="338" t="n"/>
      <c r="G74" s="380" t="n"/>
      <c r="H74" s="421" t="n"/>
      <c r="I74" s="338" t="n"/>
      <c r="J74" s="380" t="n"/>
      <c r="K74" s="421" t="n"/>
      <c r="L74" s="338" t="n"/>
      <c r="M74" s="380" t="n"/>
      <c r="N74" s="421" t="n"/>
      <c r="O74" s="338" t="n"/>
      <c r="P74" s="380" t="n"/>
      <c r="Q74" s="422" t="n"/>
      <c r="R74" s="338" t="n"/>
      <c r="S74" s="380" t="n"/>
      <c r="T74" s="422" t="n"/>
      <c r="U74" s="338" t="n"/>
      <c r="V74" s="380" t="n"/>
      <c r="W74" s="423" t="n"/>
      <c r="X74" s="338" t="n"/>
      <c r="Y74" s="338" t="n"/>
      <c r="Z74" s="338" t="n"/>
      <c r="AA74" s="338" t="n"/>
      <c r="AB74" s="338" t="n"/>
      <c r="AC74" s="338" t="n"/>
      <c r="AD74" s="338" t="n"/>
      <c r="AE74" s="338" t="n"/>
      <c r="AF74" s="338" t="n"/>
      <c r="AG74" s="338" t="n"/>
      <c r="AH74" s="338" t="n"/>
      <c r="AI74" s="338" t="n"/>
      <c r="AJ74" s="338" t="n"/>
      <c r="AK74" s="338" t="n"/>
      <c r="AL74" s="338" t="n"/>
      <c r="AM74" s="338" t="n"/>
      <c r="AN74" s="338" t="n"/>
      <c r="AO74" s="338" t="n"/>
      <c r="AP74" s="338" t="n"/>
      <c r="AQ74" s="338" t="n"/>
      <c r="AR74" s="338" t="n"/>
      <c r="AS74" s="338" t="n"/>
      <c r="AT74" s="338" t="n"/>
      <c r="AU74" s="338" t="n"/>
      <c r="AV74" s="338" t="n"/>
      <c r="AW74" s="338" t="n"/>
      <c r="AX74" s="338" t="n"/>
      <c r="AY74" s="338" t="n"/>
      <c r="AZ74" s="338" t="n"/>
      <c r="BA74" s="338" t="n"/>
      <c r="BB74" s="338" t="n"/>
      <c r="BC74" s="338" t="n"/>
      <c r="BD74" s="338" t="n"/>
      <c r="BE74" s="338" t="n"/>
      <c r="BF74" s="338" t="n"/>
      <c r="BG74" s="338" t="n"/>
      <c r="BH74" s="338" t="n"/>
      <c r="BI74" s="338" t="n"/>
      <c r="BJ74" s="338" t="n"/>
      <c r="BK74" s="338" t="n"/>
      <c r="BL74" s="338" t="n"/>
      <c r="BM74" s="338" t="n"/>
      <c r="BN74" s="338" t="n"/>
      <c r="BO74" s="338" t="n"/>
      <c r="BP74" s="338" t="n"/>
      <c r="BQ74" s="338" t="n"/>
      <c r="BR74" s="338" t="n"/>
      <c r="BS74" s="338" t="n"/>
      <c r="BT74" s="338" t="n"/>
      <c r="BU74" s="338" t="n"/>
      <c r="BV74" s="338" t="n"/>
      <c r="BW74" s="338" t="n"/>
      <c r="BX74" s="338" t="n"/>
      <c r="BY74" s="338" t="n"/>
      <c r="BZ74" s="338" t="n"/>
      <c r="CA74" s="338" t="n"/>
      <c r="CB74" s="338" t="n"/>
      <c r="CC74" s="383" t="n"/>
      <c r="CF74" s="259" t="inlineStr">
        <is>
          <t>移動</t>
        </is>
      </c>
      <c r="CG74" s="403" t="n"/>
      <c r="CH74" s="403" t="n"/>
      <c r="CI74" s="404" t="n"/>
      <c r="CJ74" s="379">
        <f>IF(Q74="作業者1",E77-E74,0)</f>
        <v/>
      </c>
      <c r="CK74" s="377" t="n"/>
      <c r="CL74" s="377" t="n"/>
      <c r="CM74" s="377" t="n"/>
      <c r="CN74" s="378" t="n"/>
      <c r="CP74" s="248" t="inlineStr">
        <is>
          <t>移動</t>
        </is>
      </c>
      <c r="CQ74" s="377" t="n"/>
      <c r="CR74" s="377" t="n"/>
      <c r="CS74" s="378" t="n"/>
      <c r="CT74" s="379">
        <f>IF(Q74="作業者2",E77-E74,0)</f>
        <v/>
      </c>
      <c r="CU74" s="377" t="n"/>
      <c r="CV74" s="377" t="n"/>
      <c r="CW74" s="377" t="n"/>
      <c r="CX74" s="378" t="n"/>
      <c r="CZ74" s="259" t="inlineStr">
        <is>
          <t>移動</t>
        </is>
      </c>
      <c r="DA74" s="403" t="n"/>
      <c r="DB74" s="403" t="n"/>
      <c r="DC74" s="404" t="n"/>
      <c r="DD74" s="405">
        <f>IF(Q74="作業者3",E77-E74,0)</f>
        <v/>
      </c>
      <c r="DE74" s="406" t="n"/>
      <c r="DF74" s="406" t="n"/>
      <c r="DG74" s="406" t="n"/>
      <c r="DH74" s="407" t="n"/>
      <c r="DJ74" s="259" t="inlineStr">
        <is>
          <t>移動</t>
        </is>
      </c>
      <c r="DK74" s="403" t="n"/>
      <c r="DL74" s="403" t="n"/>
      <c r="DM74" s="404" t="n"/>
      <c r="DN74" s="379">
        <f>IF(Q74="作業者4",E77-E74,0)</f>
        <v/>
      </c>
      <c r="DO74" s="377" t="n"/>
      <c r="DP74" s="377" t="n"/>
      <c r="DQ74" s="377" t="n"/>
      <c r="DR74" s="378" t="n"/>
      <c r="DT74" s="259" t="inlineStr">
        <is>
          <t>移動</t>
        </is>
      </c>
      <c r="DU74" s="403" t="n"/>
      <c r="DV74" s="403" t="n"/>
      <c r="DW74" s="404" t="n"/>
      <c r="DX74" s="379">
        <f>IF(Q74="作業者5",E77-E74,0)</f>
        <v/>
      </c>
      <c r="DY74" s="377" t="n"/>
      <c r="DZ74" s="377" t="n"/>
      <c r="EA74" s="377" t="n"/>
      <c r="EB74" s="378" t="n"/>
    </row>
    <row r="75" ht="9" customHeight="1" s="337">
      <c r="B75" s="350" t="n"/>
      <c r="C75" s="338" t="n"/>
      <c r="D75" s="380" t="n"/>
      <c r="E75" s="381" t="n"/>
      <c r="F75" s="122" t="inlineStr">
        <is>
          <t>～</t>
        </is>
      </c>
      <c r="G75" s="22" t="n"/>
      <c r="H75" s="381" t="n"/>
      <c r="I75" s="122" t="inlineStr">
        <is>
          <t>～</t>
        </is>
      </c>
      <c r="J75" s="22" t="n"/>
      <c r="K75" s="381" t="n"/>
      <c r="L75" s="122" t="inlineStr">
        <is>
          <t>～</t>
        </is>
      </c>
      <c r="M75" s="22" t="n"/>
      <c r="N75" s="381" t="n"/>
      <c r="O75" s="122" t="inlineStr">
        <is>
          <t>～</t>
        </is>
      </c>
      <c r="P75" s="22" t="n"/>
      <c r="Q75" s="382" t="n"/>
      <c r="R75" s="338" t="n"/>
      <c r="S75" s="380" t="n"/>
      <c r="T75" s="382" t="n"/>
      <c r="U75" s="338" t="n"/>
      <c r="V75" s="380" t="n"/>
      <c r="W75" s="382" t="n"/>
      <c r="X75" s="338" t="n"/>
      <c r="Y75" s="338" t="n"/>
      <c r="Z75" s="338" t="n"/>
      <c r="AA75" s="338" t="n"/>
      <c r="AB75" s="338" t="n"/>
      <c r="AC75" s="338" t="n"/>
      <c r="AD75" s="338" t="n"/>
      <c r="AE75" s="338" t="n"/>
      <c r="AF75" s="338" t="n"/>
      <c r="AG75" s="338" t="n"/>
      <c r="AH75" s="338" t="n"/>
      <c r="AI75" s="338" t="n"/>
      <c r="AJ75" s="338" t="n"/>
      <c r="AK75" s="338" t="n"/>
      <c r="AL75" s="338" t="n"/>
      <c r="AM75" s="338" t="n"/>
      <c r="AN75" s="338" t="n"/>
      <c r="AO75" s="338" t="n"/>
      <c r="AP75" s="338" t="n"/>
      <c r="AQ75" s="338" t="n"/>
      <c r="AR75" s="338" t="n"/>
      <c r="AS75" s="338" t="n"/>
      <c r="AT75" s="338" t="n"/>
      <c r="AU75" s="338" t="n"/>
      <c r="AV75" s="338" t="n"/>
      <c r="AW75" s="338" t="n"/>
      <c r="AX75" s="338" t="n"/>
      <c r="AY75" s="338" t="n"/>
      <c r="AZ75" s="338" t="n"/>
      <c r="BA75" s="338" t="n"/>
      <c r="BB75" s="338" t="n"/>
      <c r="BC75" s="338" t="n"/>
      <c r="BD75" s="338" t="n"/>
      <c r="BE75" s="338" t="n"/>
      <c r="BF75" s="338" t="n"/>
      <c r="BG75" s="338" t="n"/>
      <c r="BH75" s="338" t="n"/>
      <c r="BI75" s="338" t="n"/>
      <c r="BJ75" s="338" t="n"/>
      <c r="BK75" s="338" t="n"/>
      <c r="BL75" s="338" t="n"/>
      <c r="BM75" s="338" t="n"/>
      <c r="BN75" s="338" t="n"/>
      <c r="BO75" s="338" t="n"/>
      <c r="BP75" s="338" t="n"/>
      <c r="BQ75" s="338" t="n"/>
      <c r="BR75" s="338" t="n"/>
      <c r="BS75" s="338" t="n"/>
      <c r="BT75" s="338" t="n"/>
      <c r="BU75" s="338" t="n"/>
      <c r="BV75" s="338" t="n"/>
      <c r="BW75" s="338" t="n"/>
      <c r="BX75" s="338" t="n"/>
      <c r="BY75" s="338" t="n"/>
      <c r="BZ75" s="338" t="n"/>
      <c r="CA75" s="338" t="n"/>
      <c r="CB75" s="338" t="n"/>
      <c r="CC75" s="383" t="n"/>
      <c r="CF75" s="253" t="inlineStr">
        <is>
          <t>時間内</t>
        </is>
      </c>
      <c r="CG75" s="384" t="n"/>
      <c r="CH75" s="384" t="n"/>
      <c r="CI75" s="385" t="n"/>
      <c r="CJ75" s="386">
        <f>IF(Q74="作業者1",H77-H74,0)</f>
        <v/>
      </c>
      <c r="CK75" s="387" t="n"/>
      <c r="CL75" s="387" t="n"/>
      <c r="CM75" s="387" t="n"/>
      <c r="CN75" s="388" t="n"/>
      <c r="CP75" s="253" t="inlineStr">
        <is>
          <t>時間内</t>
        </is>
      </c>
      <c r="CQ75" s="384" t="n"/>
      <c r="CR75" s="384" t="n"/>
      <c r="CS75" s="385" t="n"/>
      <c r="CT75" s="386">
        <f>IF(Q74="作業者2",H77-H74,0)</f>
        <v/>
      </c>
      <c r="CU75" s="387" t="n"/>
      <c r="CV75" s="387" t="n"/>
      <c r="CW75" s="387" t="n"/>
      <c r="CX75" s="388" t="n"/>
      <c r="CZ75" s="253" t="inlineStr">
        <is>
          <t>時間内</t>
        </is>
      </c>
      <c r="DA75" s="384" t="n"/>
      <c r="DB75" s="384" t="n"/>
      <c r="DC75" s="385" t="n"/>
      <c r="DD75" s="386">
        <f>IF(Q74="作業者3",H77-H74,0)</f>
        <v/>
      </c>
      <c r="DE75" s="387" t="n"/>
      <c r="DF75" s="387" t="n"/>
      <c r="DG75" s="387" t="n"/>
      <c r="DH75" s="388" t="n"/>
      <c r="DJ75" s="253" t="inlineStr">
        <is>
          <t>時間内</t>
        </is>
      </c>
      <c r="DK75" s="384" t="n"/>
      <c r="DL75" s="384" t="n"/>
      <c r="DM75" s="385" t="n"/>
      <c r="DN75" s="386">
        <f>IF(Q74="作業者4",H77-H74,0)</f>
        <v/>
      </c>
      <c r="DO75" s="387" t="n"/>
      <c r="DP75" s="387" t="n"/>
      <c r="DQ75" s="387" t="n"/>
      <c r="DR75" s="388" t="n"/>
      <c r="DT75" s="253" t="inlineStr">
        <is>
          <t>時間内</t>
        </is>
      </c>
      <c r="DU75" s="384" t="n"/>
      <c r="DV75" s="384" t="n"/>
      <c r="DW75" s="385" t="n"/>
      <c r="DX75" s="386">
        <f>IF(Q74="作業者5",H77-H74,0)</f>
        <v/>
      </c>
      <c r="DY75" s="387" t="n"/>
      <c r="DZ75" s="387" t="n"/>
      <c r="EA75" s="387" t="n"/>
      <c r="EB75" s="388" t="n"/>
    </row>
    <row r="76" ht="9" customHeight="1" s="337">
      <c r="B76" s="350" t="n"/>
      <c r="C76" s="338" t="n"/>
      <c r="D76" s="380" t="n"/>
      <c r="E76" s="23" t="n"/>
      <c r="F76" s="338" t="n"/>
      <c r="G76" s="24" t="n"/>
      <c r="H76" s="23" t="n"/>
      <c r="I76" s="338" t="n"/>
      <c r="J76" s="24" t="n"/>
      <c r="K76" s="23" t="n"/>
      <c r="L76" s="338" t="n"/>
      <c r="M76" s="24" t="n"/>
      <c r="N76" s="23" t="n"/>
      <c r="O76" s="338" t="n"/>
      <c r="P76" s="24" t="n"/>
      <c r="Q76" s="382" t="n"/>
      <c r="R76" s="338" t="n"/>
      <c r="S76" s="380" t="n"/>
      <c r="T76" s="382" t="n"/>
      <c r="U76" s="338" t="n"/>
      <c r="V76" s="380" t="n"/>
      <c r="W76" s="382" t="n"/>
      <c r="X76" s="338" t="n"/>
      <c r="Y76" s="338" t="n"/>
      <c r="Z76" s="338" t="n"/>
      <c r="AA76" s="338" t="n"/>
      <c r="AB76" s="338" t="n"/>
      <c r="AC76" s="338" t="n"/>
      <c r="AD76" s="338" t="n"/>
      <c r="AE76" s="338" t="n"/>
      <c r="AF76" s="338" t="n"/>
      <c r="AG76" s="338" t="n"/>
      <c r="AH76" s="338" t="n"/>
      <c r="AI76" s="338" t="n"/>
      <c r="AJ76" s="338" t="n"/>
      <c r="AK76" s="338" t="n"/>
      <c r="AL76" s="338" t="n"/>
      <c r="AM76" s="338" t="n"/>
      <c r="AN76" s="338" t="n"/>
      <c r="AO76" s="338" t="n"/>
      <c r="AP76" s="338" t="n"/>
      <c r="AQ76" s="338" t="n"/>
      <c r="AR76" s="338" t="n"/>
      <c r="AS76" s="338" t="n"/>
      <c r="AT76" s="338" t="n"/>
      <c r="AU76" s="338" t="n"/>
      <c r="AV76" s="338" t="n"/>
      <c r="AW76" s="338" t="n"/>
      <c r="AX76" s="338" t="n"/>
      <c r="AY76" s="338" t="n"/>
      <c r="AZ76" s="338" t="n"/>
      <c r="BA76" s="338" t="n"/>
      <c r="BB76" s="338" t="n"/>
      <c r="BC76" s="338" t="n"/>
      <c r="BD76" s="338" t="n"/>
      <c r="BE76" s="338" t="n"/>
      <c r="BF76" s="338" t="n"/>
      <c r="BG76" s="338" t="n"/>
      <c r="BH76" s="338" t="n"/>
      <c r="BI76" s="338" t="n"/>
      <c r="BJ76" s="338" t="n"/>
      <c r="BK76" s="338" t="n"/>
      <c r="BL76" s="338" t="n"/>
      <c r="BM76" s="338" t="n"/>
      <c r="BN76" s="338" t="n"/>
      <c r="BO76" s="338" t="n"/>
      <c r="BP76" s="338" t="n"/>
      <c r="BQ76" s="338" t="n"/>
      <c r="BR76" s="338" t="n"/>
      <c r="BS76" s="338" t="n"/>
      <c r="BT76" s="338" t="n"/>
      <c r="BU76" s="338" t="n"/>
      <c r="BV76" s="338" t="n"/>
      <c r="BW76" s="338" t="n"/>
      <c r="BX76" s="338" t="n"/>
      <c r="BY76" s="338" t="n"/>
      <c r="BZ76" s="338" t="n"/>
      <c r="CA76" s="338" t="n"/>
      <c r="CB76" s="338" t="n"/>
      <c r="CC76" s="383" t="n"/>
      <c r="CF76" s="253" t="inlineStr">
        <is>
          <t>時間外</t>
        </is>
      </c>
      <c r="CG76" s="384" t="n"/>
      <c r="CH76" s="384" t="n"/>
      <c r="CI76" s="385" t="n"/>
      <c r="CJ76" s="386">
        <f>IF(Q74="作業者1",K77-K74,0)</f>
        <v/>
      </c>
      <c r="CK76" s="387" t="n"/>
      <c r="CL76" s="387" t="n"/>
      <c r="CM76" s="387" t="n"/>
      <c r="CN76" s="388" t="n"/>
      <c r="CP76" s="253" t="inlineStr">
        <is>
          <t>時間外</t>
        </is>
      </c>
      <c r="CQ76" s="384" t="n"/>
      <c r="CR76" s="384" t="n"/>
      <c r="CS76" s="385" t="n"/>
      <c r="CT76" s="386">
        <f>IF(Q74="作業者2",K77-K74,0)</f>
        <v/>
      </c>
      <c r="CU76" s="387" t="n"/>
      <c r="CV76" s="387" t="n"/>
      <c r="CW76" s="387" t="n"/>
      <c r="CX76" s="388" t="n"/>
      <c r="CZ76" s="253" t="inlineStr">
        <is>
          <t>時間外</t>
        </is>
      </c>
      <c r="DA76" s="384" t="n"/>
      <c r="DB76" s="384" t="n"/>
      <c r="DC76" s="385" t="n"/>
      <c r="DD76" s="386">
        <f>IF(Q74="作業者3",K77-K74,0)</f>
        <v/>
      </c>
      <c r="DE76" s="387" t="n"/>
      <c r="DF76" s="387" t="n"/>
      <c r="DG76" s="387" t="n"/>
      <c r="DH76" s="388" t="n"/>
      <c r="DJ76" s="253" t="inlineStr">
        <is>
          <t>時間外</t>
        </is>
      </c>
      <c r="DK76" s="384" t="n"/>
      <c r="DL76" s="384" t="n"/>
      <c r="DM76" s="385" t="n"/>
      <c r="DN76" s="386">
        <f>IF(Q74="作業者4",K77-K74,0)</f>
        <v/>
      </c>
      <c r="DO76" s="387" t="n"/>
      <c r="DP76" s="387" t="n"/>
      <c r="DQ76" s="387" t="n"/>
      <c r="DR76" s="388" t="n"/>
      <c r="DT76" s="253" t="inlineStr">
        <is>
          <t>時間外</t>
        </is>
      </c>
      <c r="DU76" s="384" t="n"/>
      <c r="DV76" s="384" t="n"/>
      <c r="DW76" s="385" t="n"/>
      <c r="DX76" s="386">
        <f>IF(Q74="作業者5",K77-K74,0)</f>
        <v/>
      </c>
      <c r="DY76" s="387" t="n"/>
      <c r="DZ76" s="387" t="n"/>
      <c r="EA76" s="387" t="n"/>
      <c r="EB76" s="388" t="n"/>
    </row>
    <row r="77" ht="9" customHeight="1" s="337">
      <c r="B77" s="389" t="n"/>
      <c r="C77" s="390" t="n"/>
      <c r="D77" s="391" t="n"/>
      <c r="E77" s="392" t="n"/>
      <c r="F77" s="390" t="n"/>
      <c r="G77" s="391" t="n"/>
      <c r="H77" s="392" t="n"/>
      <c r="I77" s="390" t="n"/>
      <c r="J77" s="391" t="n"/>
      <c r="K77" s="392" t="n"/>
      <c r="L77" s="390" t="n"/>
      <c r="M77" s="391" t="n"/>
      <c r="N77" s="392" t="n"/>
      <c r="O77" s="390" t="n"/>
      <c r="P77" s="391" t="n"/>
      <c r="Q77" s="393" t="n"/>
      <c r="R77" s="390" t="n"/>
      <c r="S77" s="391" t="n"/>
      <c r="T77" s="393" t="n"/>
      <c r="U77" s="390" t="n"/>
      <c r="V77" s="391" t="n"/>
      <c r="W77" s="393" t="n"/>
      <c r="X77" s="390" t="n"/>
      <c r="Y77" s="390" t="n"/>
      <c r="Z77" s="390" t="n"/>
      <c r="AA77" s="390" t="n"/>
      <c r="AB77" s="390" t="n"/>
      <c r="AC77" s="390" t="n"/>
      <c r="AD77" s="390" t="n"/>
      <c r="AE77" s="390" t="n"/>
      <c r="AF77" s="390" t="n"/>
      <c r="AG77" s="390" t="n"/>
      <c r="AH77" s="390" t="n"/>
      <c r="AI77" s="390" t="n"/>
      <c r="AJ77" s="390" t="n"/>
      <c r="AK77" s="390" t="n"/>
      <c r="AL77" s="390" t="n"/>
      <c r="AM77" s="390" t="n"/>
      <c r="AN77" s="390" t="n"/>
      <c r="AO77" s="390" t="n"/>
      <c r="AP77" s="390" t="n"/>
      <c r="AQ77" s="390" t="n"/>
      <c r="AR77" s="390" t="n"/>
      <c r="AS77" s="390" t="n"/>
      <c r="AT77" s="390" t="n"/>
      <c r="AU77" s="390" t="n"/>
      <c r="AV77" s="390" t="n"/>
      <c r="AW77" s="390" t="n"/>
      <c r="AX77" s="390" t="n"/>
      <c r="AY77" s="390" t="n"/>
      <c r="AZ77" s="390" t="n"/>
      <c r="BA77" s="390" t="n"/>
      <c r="BB77" s="390" t="n"/>
      <c r="BC77" s="390" t="n"/>
      <c r="BD77" s="390" t="n"/>
      <c r="BE77" s="390" t="n"/>
      <c r="BF77" s="390" t="n"/>
      <c r="BG77" s="390" t="n"/>
      <c r="BH77" s="390" t="n"/>
      <c r="BI77" s="390" t="n"/>
      <c r="BJ77" s="390" t="n"/>
      <c r="BK77" s="390" t="n"/>
      <c r="BL77" s="390" t="n"/>
      <c r="BM77" s="390" t="n"/>
      <c r="BN77" s="390" t="n"/>
      <c r="BO77" s="390" t="n"/>
      <c r="BP77" s="390" t="n"/>
      <c r="BQ77" s="390" t="n"/>
      <c r="BR77" s="390" t="n"/>
      <c r="BS77" s="390" t="n"/>
      <c r="BT77" s="390" t="n"/>
      <c r="BU77" s="390" t="n"/>
      <c r="BV77" s="390" t="n"/>
      <c r="BW77" s="390" t="n"/>
      <c r="BX77" s="390" t="n"/>
      <c r="BY77" s="390" t="n"/>
      <c r="BZ77" s="390" t="n"/>
      <c r="CA77" s="390" t="n"/>
      <c r="CB77" s="390" t="n"/>
      <c r="CC77" s="394" t="n"/>
      <c r="CF77" s="254" t="inlineStr">
        <is>
          <t>休日</t>
        </is>
      </c>
      <c r="CG77" s="395" t="n"/>
      <c r="CH77" s="395" t="n"/>
      <c r="CI77" s="396" t="n"/>
      <c r="CJ77" s="397">
        <f>IF(Q74="作業者1",N77-N74,0)</f>
        <v/>
      </c>
      <c r="CK77" s="395" t="n"/>
      <c r="CL77" s="395" t="n"/>
      <c r="CM77" s="395" t="n"/>
      <c r="CN77" s="396" t="n"/>
      <c r="CP77" s="254" t="inlineStr">
        <is>
          <t>休日</t>
        </is>
      </c>
      <c r="CQ77" s="395" t="n"/>
      <c r="CR77" s="395" t="n"/>
      <c r="CS77" s="396" t="n"/>
      <c r="CT77" s="397">
        <f>IF(Q74="作業者2",N77-N74,0)</f>
        <v/>
      </c>
      <c r="CU77" s="395" t="n"/>
      <c r="CV77" s="395" t="n"/>
      <c r="CW77" s="395" t="n"/>
      <c r="CX77" s="396" t="n"/>
      <c r="CZ77" s="254" t="inlineStr">
        <is>
          <t>休日</t>
        </is>
      </c>
      <c r="DA77" s="395" t="n"/>
      <c r="DB77" s="395" t="n"/>
      <c r="DC77" s="396" t="n"/>
      <c r="DD77" s="397">
        <f>IF(Q74="作業者3",N77-N74,0)</f>
        <v/>
      </c>
      <c r="DE77" s="395" t="n"/>
      <c r="DF77" s="395" t="n"/>
      <c r="DG77" s="395" t="n"/>
      <c r="DH77" s="396" t="n"/>
      <c r="DJ77" s="254" t="inlineStr">
        <is>
          <t>休日</t>
        </is>
      </c>
      <c r="DK77" s="395" t="n"/>
      <c r="DL77" s="395" t="n"/>
      <c r="DM77" s="396" t="n"/>
      <c r="DN77" s="397">
        <f>IF(Q74="作業者4",N77-N74,0)</f>
        <v/>
      </c>
      <c r="DO77" s="395" t="n"/>
      <c r="DP77" s="395" t="n"/>
      <c r="DQ77" s="395" t="n"/>
      <c r="DR77" s="396" t="n"/>
      <c r="DT77" s="254" t="inlineStr">
        <is>
          <t>休日</t>
        </is>
      </c>
      <c r="DU77" s="395" t="n"/>
      <c r="DV77" s="395" t="n"/>
      <c r="DW77" s="396" t="n"/>
      <c r="DX77" s="397">
        <f>IF(Q74="作業者5",N77-N74,0)</f>
        <v/>
      </c>
      <c r="DY77" s="395" t="n"/>
      <c r="DZ77" s="395" t="n"/>
      <c r="EA77" s="395" t="n"/>
      <c r="EB77" s="396" t="n"/>
    </row>
    <row r="78" ht="9" customHeight="1" s="337">
      <c r="B78" s="398" t="n"/>
      <c r="C78" s="372" t="n"/>
      <c r="D78" s="373" t="n"/>
      <c r="E78" s="399" t="n"/>
      <c r="F78" s="372" t="n"/>
      <c r="G78" s="373" t="n"/>
      <c r="H78" s="399" t="n"/>
      <c r="I78" s="372" t="n"/>
      <c r="J78" s="373" t="n"/>
      <c r="K78" s="399" t="n"/>
      <c r="L78" s="372" t="n"/>
      <c r="M78" s="373" t="n"/>
      <c r="N78" s="399" t="n"/>
      <c r="O78" s="372" t="n"/>
      <c r="P78" s="373" t="n"/>
      <c r="Q78" s="371" t="n"/>
      <c r="R78" s="372" t="n"/>
      <c r="S78" s="373" t="n"/>
      <c r="T78" s="371" t="n"/>
      <c r="U78" s="372" t="n"/>
      <c r="V78" s="373" t="n"/>
      <c r="W78" s="401" t="n"/>
      <c r="X78" s="372" t="n"/>
      <c r="Y78" s="372" t="n"/>
      <c r="Z78" s="372" t="n"/>
      <c r="AA78" s="372" t="n"/>
      <c r="AB78" s="372" t="n"/>
      <c r="AC78" s="372" t="n"/>
      <c r="AD78" s="372" t="n"/>
      <c r="AE78" s="372" t="n"/>
      <c r="AF78" s="372" t="n"/>
      <c r="AG78" s="372" t="n"/>
      <c r="AH78" s="372" t="n"/>
      <c r="AI78" s="372" t="n"/>
      <c r="AJ78" s="372" t="n"/>
      <c r="AK78" s="372" t="n"/>
      <c r="AL78" s="372" t="n"/>
      <c r="AM78" s="372" t="n"/>
      <c r="AN78" s="372" t="n"/>
      <c r="AO78" s="372" t="n"/>
      <c r="AP78" s="372" t="n"/>
      <c r="AQ78" s="372" t="n"/>
      <c r="AR78" s="372" t="n"/>
      <c r="AS78" s="372" t="n"/>
      <c r="AT78" s="372" t="n"/>
      <c r="AU78" s="372" t="n"/>
      <c r="AV78" s="372" t="n"/>
      <c r="AW78" s="372" t="n"/>
      <c r="AX78" s="372" t="n"/>
      <c r="AY78" s="372" t="n"/>
      <c r="AZ78" s="372" t="n"/>
      <c r="BA78" s="372" t="n"/>
      <c r="BB78" s="372" t="n"/>
      <c r="BC78" s="372" t="n"/>
      <c r="BD78" s="372" t="n"/>
      <c r="BE78" s="372" t="n"/>
      <c r="BF78" s="372" t="n"/>
      <c r="BG78" s="372" t="n"/>
      <c r="BH78" s="372" t="n"/>
      <c r="BI78" s="372" t="n"/>
      <c r="BJ78" s="372" t="n"/>
      <c r="BK78" s="372" t="n"/>
      <c r="BL78" s="372" t="n"/>
      <c r="BM78" s="372" t="n"/>
      <c r="BN78" s="372" t="n"/>
      <c r="BO78" s="372" t="n"/>
      <c r="BP78" s="372" t="n"/>
      <c r="BQ78" s="372" t="n"/>
      <c r="BR78" s="372" t="n"/>
      <c r="BS78" s="372" t="n"/>
      <c r="BT78" s="372" t="n"/>
      <c r="BU78" s="372" t="n"/>
      <c r="BV78" s="372" t="n"/>
      <c r="BW78" s="372" t="n"/>
      <c r="BX78" s="372" t="n"/>
      <c r="BY78" s="372" t="n"/>
      <c r="BZ78" s="372" t="n"/>
      <c r="CA78" s="372" t="n"/>
      <c r="CB78" s="372" t="n"/>
      <c r="CC78" s="402" t="n"/>
      <c r="CF78" s="248" t="inlineStr">
        <is>
          <t>移動</t>
        </is>
      </c>
      <c r="CG78" s="377" t="n"/>
      <c r="CH78" s="377" t="n"/>
      <c r="CI78" s="378" t="n"/>
      <c r="CJ78" s="379">
        <f>IF(Q78="作業者1",E81-E78,0)</f>
        <v/>
      </c>
      <c r="CK78" s="377" t="n"/>
      <c r="CL78" s="377" t="n"/>
      <c r="CM78" s="377" t="n"/>
      <c r="CN78" s="378" t="n"/>
      <c r="CP78" s="248" t="inlineStr">
        <is>
          <t>移動</t>
        </is>
      </c>
      <c r="CQ78" s="377" t="n"/>
      <c r="CR78" s="377" t="n"/>
      <c r="CS78" s="378" t="n"/>
      <c r="CT78" s="379">
        <f>IF(Q78="作業者2",E81-E78,0)</f>
        <v/>
      </c>
      <c r="CU78" s="377" t="n"/>
      <c r="CV78" s="377" t="n"/>
      <c r="CW78" s="377" t="n"/>
      <c r="CX78" s="378" t="n"/>
      <c r="CZ78" s="248" t="inlineStr">
        <is>
          <t>移動</t>
        </is>
      </c>
      <c r="DA78" s="377" t="n"/>
      <c r="DB78" s="377" t="n"/>
      <c r="DC78" s="378" t="n"/>
      <c r="DD78" s="379">
        <f>IF(Q78="作業者3",E81-E78,0)</f>
        <v/>
      </c>
      <c r="DE78" s="377" t="n"/>
      <c r="DF78" s="377" t="n"/>
      <c r="DG78" s="377" t="n"/>
      <c r="DH78" s="378" t="n"/>
      <c r="DJ78" s="259" t="inlineStr">
        <is>
          <t>移動</t>
        </is>
      </c>
      <c r="DK78" s="403" t="n"/>
      <c r="DL78" s="403" t="n"/>
      <c r="DM78" s="404" t="n"/>
      <c r="DN78" s="379">
        <f>IF(Q78="作業者4",E81-E78,0)</f>
        <v/>
      </c>
      <c r="DO78" s="377" t="n"/>
      <c r="DP78" s="377" t="n"/>
      <c r="DQ78" s="377" t="n"/>
      <c r="DR78" s="378" t="n"/>
      <c r="DT78" s="259" t="inlineStr">
        <is>
          <t>移動</t>
        </is>
      </c>
      <c r="DU78" s="403" t="n"/>
      <c r="DV78" s="403" t="n"/>
      <c r="DW78" s="404" t="n"/>
      <c r="DX78" s="379">
        <f>IF(Q78="作業者5",E81-E78,0)</f>
        <v/>
      </c>
      <c r="DY78" s="377" t="n"/>
      <c r="DZ78" s="377" t="n"/>
      <c r="EA78" s="377" t="n"/>
      <c r="EB78" s="378" t="n"/>
    </row>
    <row r="79" ht="9" customHeight="1" s="337">
      <c r="B79" s="350" t="n"/>
      <c r="C79" s="338" t="n"/>
      <c r="D79" s="380" t="n"/>
      <c r="E79" s="381" t="n"/>
      <c r="F79" s="122" t="inlineStr">
        <is>
          <t>～</t>
        </is>
      </c>
      <c r="G79" s="22" t="n"/>
      <c r="H79" s="381" t="n"/>
      <c r="I79" s="122" t="inlineStr">
        <is>
          <t>～</t>
        </is>
      </c>
      <c r="J79" s="22" t="n"/>
      <c r="K79" s="381" t="n"/>
      <c r="L79" s="122" t="inlineStr">
        <is>
          <t>～</t>
        </is>
      </c>
      <c r="M79" s="22" t="n"/>
      <c r="N79" s="381" t="n"/>
      <c r="O79" s="122" t="inlineStr">
        <is>
          <t>～</t>
        </is>
      </c>
      <c r="P79" s="22" t="n"/>
      <c r="Q79" s="382" t="n"/>
      <c r="R79" s="338" t="n"/>
      <c r="S79" s="380" t="n"/>
      <c r="T79" s="382" t="n"/>
      <c r="U79" s="338" t="n"/>
      <c r="V79" s="380" t="n"/>
      <c r="W79" s="382" t="n"/>
      <c r="X79" s="338" t="n"/>
      <c r="Y79" s="338" t="n"/>
      <c r="Z79" s="338" t="n"/>
      <c r="AA79" s="338" t="n"/>
      <c r="AB79" s="338" t="n"/>
      <c r="AC79" s="338" t="n"/>
      <c r="AD79" s="338" t="n"/>
      <c r="AE79" s="338" t="n"/>
      <c r="AF79" s="338" t="n"/>
      <c r="AG79" s="338" t="n"/>
      <c r="AH79" s="338" t="n"/>
      <c r="AI79" s="338" t="n"/>
      <c r="AJ79" s="338" t="n"/>
      <c r="AK79" s="338" t="n"/>
      <c r="AL79" s="338" t="n"/>
      <c r="AM79" s="338" t="n"/>
      <c r="AN79" s="338" t="n"/>
      <c r="AO79" s="338" t="n"/>
      <c r="AP79" s="338" t="n"/>
      <c r="AQ79" s="338" t="n"/>
      <c r="AR79" s="338" t="n"/>
      <c r="AS79" s="338" t="n"/>
      <c r="AT79" s="338" t="n"/>
      <c r="AU79" s="338" t="n"/>
      <c r="AV79" s="338" t="n"/>
      <c r="AW79" s="338" t="n"/>
      <c r="AX79" s="338" t="n"/>
      <c r="AY79" s="338" t="n"/>
      <c r="AZ79" s="338" t="n"/>
      <c r="BA79" s="338" t="n"/>
      <c r="BB79" s="338" t="n"/>
      <c r="BC79" s="338" t="n"/>
      <c r="BD79" s="338" t="n"/>
      <c r="BE79" s="338" t="n"/>
      <c r="BF79" s="338" t="n"/>
      <c r="BG79" s="338" t="n"/>
      <c r="BH79" s="338" t="n"/>
      <c r="BI79" s="338" t="n"/>
      <c r="BJ79" s="338" t="n"/>
      <c r="BK79" s="338" t="n"/>
      <c r="BL79" s="338" t="n"/>
      <c r="BM79" s="338" t="n"/>
      <c r="BN79" s="338" t="n"/>
      <c r="BO79" s="338" t="n"/>
      <c r="BP79" s="338" t="n"/>
      <c r="BQ79" s="338" t="n"/>
      <c r="BR79" s="338" t="n"/>
      <c r="BS79" s="338" t="n"/>
      <c r="BT79" s="338" t="n"/>
      <c r="BU79" s="338" t="n"/>
      <c r="BV79" s="338" t="n"/>
      <c r="BW79" s="338" t="n"/>
      <c r="BX79" s="338" t="n"/>
      <c r="BY79" s="338" t="n"/>
      <c r="BZ79" s="338" t="n"/>
      <c r="CA79" s="338" t="n"/>
      <c r="CB79" s="338" t="n"/>
      <c r="CC79" s="383" t="n"/>
      <c r="CF79" s="253" t="inlineStr">
        <is>
          <t>時間内</t>
        </is>
      </c>
      <c r="CG79" s="384" t="n"/>
      <c r="CH79" s="384" t="n"/>
      <c r="CI79" s="385" t="n"/>
      <c r="CJ79" s="386">
        <f>IF(Q78="作業者1",H81-H78,0)</f>
        <v/>
      </c>
      <c r="CK79" s="387" t="n"/>
      <c r="CL79" s="387" t="n"/>
      <c r="CM79" s="387" t="n"/>
      <c r="CN79" s="388" t="n"/>
      <c r="CP79" s="253" t="inlineStr">
        <is>
          <t>時間内</t>
        </is>
      </c>
      <c r="CQ79" s="384" t="n"/>
      <c r="CR79" s="384" t="n"/>
      <c r="CS79" s="385" t="n"/>
      <c r="CT79" s="386">
        <f>IF(Q78="作業者2",H81-H78,0)</f>
        <v/>
      </c>
      <c r="CU79" s="387" t="n"/>
      <c r="CV79" s="387" t="n"/>
      <c r="CW79" s="387" t="n"/>
      <c r="CX79" s="388" t="n"/>
      <c r="CZ79" s="253" t="inlineStr">
        <is>
          <t>時間内</t>
        </is>
      </c>
      <c r="DA79" s="384" t="n"/>
      <c r="DB79" s="384" t="n"/>
      <c r="DC79" s="385" t="n"/>
      <c r="DD79" s="386">
        <f>IF(Q78="作業者3",H81-H78,0)</f>
        <v/>
      </c>
      <c r="DE79" s="387" t="n"/>
      <c r="DF79" s="387" t="n"/>
      <c r="DG79" s="387" t="n"/>
      <c r="DH79" s="388" t="n"/>
      <c r="DJ79" s="253" t="inlineStr">
        <is>
          <t>時間内</t>
        </is>
      </c>
      <c r="DK79" s="384" t="n"/>
      <c r="DL79" s="384" t="n"/>
      <c r="DM79" s="385" t="n"/>
      <c r="DN79" s="386">
        <f>IF(Q78="作業者4",H81-H78,0)</f>
        <v/>
      </c>
      <c r="DO79" s="387" t="n"/>
      <c r="DP79" s="387" t="n"/>
      <c r="DQ79" s="387" t="n"/>
      <c r="DR79" s="388" t="n"/>
      <c r="DT79" s="253" t="inlineStr">
        <is>
          <t>時間内</t>
        </is>
      </c>
      <c r="DU79" s="384" t="n"/>
      <c r="DV79" s="384" t="n"/>
      <c r="DW79" s="385" t="n"/>
      <c r="DX79" s="386">
        <f>IF(Q78="作業者5",H81-H78,0)</f>
        <v/>
      </c>
      <c r="DY79" s="387" t="n"/>
      <c r="DZ79" s="387" t="n"/>
      <c r="EA79" s="387" t="n"/>
      <c r="EB79" s="388" t="n"/>
    </row>
    <row r="80" ht="9" customHeight="1" s="337">
      <c r="B80" s="350" t="n"/>
      <c r="C80" s="338" t="n"/>
      <c r="D80" s="380" t="n"/>
      <c r="E80" s="23" t="n"/>
      <c r="F80" s="338" t="n"/>
      <c r="G80" s="24" t="n"/>
      <c r="H80" s="23" t="n"/>
      <c r="I80" s="338" t="n"/>
      <c r="J80" s="24" t="n"/>
      <c r="K80" s="23" t="n"/>
      <c r="L80" s="338" t="n"/>
      <c r="M80" s="24" t="n"/>
      <c r="N80" s="23" t="n"/>
      <c r="O80" s="338" t="n"/>
      <c r="P80" s="24" t="n"/>
      <c r="Q80" s="382" t="n"/>
      <c r="R80" s="338" t="n"/>
      <c r="S80" s="380" t="n"/>
      <c r="T80" s="382" t="n"/>
      <c r="U80" s="338" t="n"/>
      <c r="V80" s="380" t="n"/>
      <c r="W80" s="382" t="n"/>
      <c r="X80" s="338" t="n"/>
      <c r="Y80" s="338" t="n"/>
      <c r="Z80" s="338" t="n"/>
      <c r="AA80" s="338" t="n"/>
      <c r="AB80" s="338" t="n"/>
      <c r="AC80" s="338" t="n"/>
      <c r="AD80" s="338" t="n"/>
      <c r="AE80" s="338" t="n"/>
      <c r="AF80" s="338" t="n"/>
      <c r="AG80" s="338" t="n"/>
      <c r="AH80" s="338" t="n"/>
      <c r="AI80" s="338" t="n"/>
      <c r="AJ80" s="338" t="n"/>
      <c r="AK80" s="338" t="n"/>
      <c r="AL80" s="338" t="n"/>
      <c r="AM80" s="338" t="n"/>
      <c r="AN80" s="338" t="n"/>
      <c r="AO80" s="338" t="n"/>
      <c r="AP80" s="338" t="n"/>
      <c r="AQ80" s="338" t="n"/>
      <c r="AR80" s="338" t="n"/>
      <c r="AS80" s="338" t="n"/>
      <c r="AT80" s="338" t="n"/>
      <c r="AU80" s="338" t="n"/>
      <c r="AV80" s="338" t="n"/>
      <c r="AW80" s="338" t="n"/>
      <c r="AX80" s="338" t="n"/>
      <c r="AY80" s="338" t="n"/>
      <c r="AZ80" s="338" t="n"/>
      <c r="BA80" s="338" t="n"/>
      <c r="BB80" s="338" t="n"/>
      <c r="BC80" s="338" t="n"/>
      <c r="BD80" s="338" t="n"/>
      <c r="BE80" s="338" t="n"/>
      <c r="BF80" s="338" t="n"/>
      <c r="BG80" s="338" t="n"/>
      <c r="BH80" s="338" t="n"/>
      <c r="BI80" s="338" t="n"/>
      <c r="BJ80" s="338" t="n"/>
      <c r="BK80" s="338" t="n"/>
      <c r="BL80" s="338" t="n"/>
      <c r="BM80" s="338" t="n"/>
      <c r="BN80" s="338" t="n"/>
      <c r="BO80" s="338" t="n"/>
      <c r="BP80" s="338" t="n"/>
      <c r="BQ80" s="338" t="n"/>
      <c r="BR80" s="338" t="n"/>
      <c r="BS80" s="338" t="n"/>
      <c r="BT80" s="338" t="n"/>
      <c r="BU80" s="338" t="n"/>
      <c r="BV80" s="338" t="n"/>
      <c r="BW80" s="338" t="n"/>
      <c r="BX80" s="338" t="n"/>
      <c r="BY80" s="338" t="n"/>
      <c r="BZ80" s="338" t="n"/>
      <c r="CA80" s="338" t="n"/>
      <c r="CB80" s="338" t="n"/>
      <c r="CC80" s="383" t="n"/>
      <c r="CF80" s="253" t="inlineStr">
        <is>
          <t>時間外</t>
        </is>
      </c>
      <c r="CG80" s="384" t="n"/>
      <c r="CH80" s="384" t="n"/>
      <c r="CI80" s="385" t="n"/>
      <c r="CJ80" s="386">
        <f>IF(Q78="作業者1",K81-K78,0)</f>
        <v/>
      </c>
      <c r="CK80" s="387" t="n"/>
      <c r="CL80" s="387" t="n"/>
      <c r="CM80" s="387" t="n"/>
      <c r="CN80" s="388" t="n"/>
      <c r="CP80" s="253" t="inlineStr">
        <is>
          <t>時間外</t>
        </is>
      </c>
      <c r="CQ80" s="384" t="n"/>
      <c r="CR80" s="384" t="n"/>
      <c r="CS80" s="385" t="n"/>
      <c r="CT80" s="386">
        <f>IF(Q78="作業者2",K81-K78,0)</f>
        <v/>
      </c>
      <c r="CU80" s="387" t="n"/>
      <c r="CV80" s="387" t="n"/>
      <c r="CW80" s="387" t="n"/>
      <c r="CX80" s="388" t="n"/>
      <c r="CZ80" s="253" t="inlineStr">
        <is>
          <t>時間外</t>
        </is>
      </c>
      <c r="DA80" s="384" t="n"/>
      <c r="DB80" s="384" t="n"/>
      <c r="DC80" s="385" t="n"/>
      <c r="DD80" s="386">
        <f>IF(Q78="作業者3",K81-K78,0)</f>
        <v/>
      </c>
      <c r="DE80" s="387" t="n"/>
      <c r="DF80" s="387" t="n"/>
      <c r="DG80" s="387" t="n"/>
      <c r="DH80" s="388" t="n"/>
      <c r="DJ80" s="253" t="inlineStr">
        <is>
          <t>時間外</t>
        </is>
      </c>
      <c r="DK80" s="384" t="n"/>
      <c r="DL80" s="384" t="n"/>
      <c r="DM80" s="385" t="n"/>
      <c r="DN80" s="386">
        <f>IF(Q78="作業者4",K81-K78,0)</f>
        <v/>
      </c>
      <c r="DO80" s="387" t="n"/>
      <c r="DP80" s="387" t="n"/>
      <c r="DQ80" s="387" t="n"/>
      <c r="DR80" s="388" t="n"/>
      <c r="DT80" s="253" t="inlineStr">
        <is>
          <t>時間外</t>
        </is>
      </c>
      <c r="DU80" s="384" t="n"/>
      <c r="DV80" s="384" t="n"/>
      <c r="DW80" s="385" t="n"/>
      <c r="DX80" s="386">
        <f>IF(Q78="作業者5",K81-K78,0)</f>
        <v/>
      </c>
      <c r="DY80" s="387" t="n"/>
      <c r="DZ80" s="387" t="n"/>
      <c r="EA80" s="387" t="n"/>
      <c r="EB80" s="388" t="n"/>
    </row>
    <row r="81" ht="9" customHeight="1" s="337">
      <c r="B81" s="389" t="n"/>
      <c r="C81" s="390" t="n"/>
      <c r="D81" s="391" t="n"/>
      <c r="E81" s="392" t="n"/>
      <c r="F81" s="390" t="n"/>
      <c r="G81" s="391" t="n"/>
      <c r="H81" s="392" t="n"/>
      <c r="I81" s="390" t="n"/>
      <c r="J81" s="391" t="n"/>
      <c r="K81" s="392" t="n"/>
      <c r="L81" s="390" t="n"/>
      <c r="M81" s="391" t="n"/>
      <c r="N81" s="392" t="n"/>
      <c r="O81" s="390" t="n"/>
      <c r="P81" s="391" t="n"/>
      <c r="Q81" s="393" t="n"/>
      <c r="R81" s="390" t="n"/>
      <c r="S81" s="391" t="n"/>
      <c r="T81" s="393" t="n"/>
      <c r="U81" s="390" t="n"/>
      <c r="V81" s="391" t="n"/>
      <c r="W81" s="393" t="n"/>
      <c r="X81" s="390" t="n"/>
      <c r="Y81" s="390" t="n"/>
      <c r="Z81" s="390" t="n"/>
      <c r="AA81" s="390" t="n"/>
      <c r="AB81" s="390" t="n"/>
      <c r="AC81" s="390" t="n"/>
      <c r="AD81" s="390" t="n"/>
      <c r="AE81" s="390" t="n"/>
      <c r="AF81" s="390" t="n"/>
      <c r="AG81" s="390" t="n"/>
      <c r="AH81" s="390" t="n"/>
      <c r="AI81" s="390" t="n"/>
      <c r="AJ81" s="390" t="n"/>
      <c r="AK81" s="390" t="n"/>
      <c r="AL81" s="390" t="n"/>
      <c r="AM81" s="390" t="n"/>
      <c r="AN81" s="390" t="n"/>
      <c r="AO81" s="390" t="n"/>
      <c r="AP81" s="390" t="n"/>
      <c r="AQ81" s="390" t="n"/>
      <c r="AR81" s="390" t="n"/>
      <c r="AS81" s="390" t="n"/>
      <c r="AT81" s="390" t="n"/>
      <c r="AU81" s="390" t="n"/>
      <c r="AV81" s="390" t="n"/>
      <c r="AW81" s="390" t="n"/>
      <c r="AX81" s="390" t="n"/>
      <c r="AY81" s="390" t="n"/>
      <c r="AZ81" s="390" t="n"/>
      <c r="BA81" s="390" t="n"/>
      <c r="BB81" s="390" t="n"/>
      <c r="BC81" s="390" t="n"/>
      <c r="BD81" s="390" t="n"/>
      <c r="BE81" s="390" t="n"/>
      <c r="BF81" s="390" t="n"/>
      <c r="BG81" s="390" t="n"/>
      <c r="BH81" s="390" t="n"/>
      <c r="BI81" s="390" t="n"/>
      <c r="BJ81" s="390" t="n"/>
      <c r="BK81" s="390" t="n"/>
      <c r="BL81" s="390" t="n"/>
      <c r="BM81" s="390" t="n"/>
      <c r="BN81" s="390" t="n"/>
      <c r="BO81" s="390" t="n"/>
      <c r="BP81" s="390" t="n"/>
      <c r="BQ81" s="390" t="n"/>
      <c r="BR81" s="390" t="n"/>
      <c r="BS81" s="390" t="n"/>
      <c r="BT81" s="390" t="n"/>
      <c r="BU81" s="390" t="n"/>
      <c r="BV81" s="390" t="n"/>
      <c r="BW81" s="390" t="n"/>
      <c r="BX81" s="390" t="n"/>
      <c r="BY81" s="390" t="n"/>
      <c r="BZ81" s="390" t="n"/>
      <c r="CA81" s="390" t="n"/>
      <c r="CB81" s="390" t="n"/>
      <c r="CC81" s="394" t="n"/>
      <c r="CF81" s="254" t="inlineStr">
        <is>
          <t>休日</t>
        </is>
      </c>
      <c r="CG81" s="395" t="n"/>
      <c r="CH81" s="395" t="n"/>
      <c r="CI81" s="396" t="n"/>
      <c r="CJ81" s="386">
        <f>IF(Q78="作業者1",N81-N78,0)</f>
        <v/>
      </c>
      <c r="CK81" s="387" t="n"/>
      <c r="CL81" s="387" t="n"/>
      <c r="CM81" s="387" t="n"/>
      <c r="CN81" s="388" t="n"/>
      <c r="CP81" s="253" t="inlineStr">
        <is>
          <t>休日</t>
        </is>
      </c>
      <c r="CQ81" s="384" t="n"/>
      <c r="CR81" s="384" t="n"/>
      <c r="CS81" s="385" t="n"/>
      <c r="CT81" s="386">
        <f>IF(Q78="作業者2",N81-N78,0)</f>
        <v/>
      </c>
      <c r="CU81" s="387" t="n"/>
      <c r="CV81" s="387" t="n"/>
      <c r="CW81" s="387" t="n"/>
      <c r="CX81" s="388" t="n"/>
      <c r="CZ81" s="254" t="inlineStr">
        <is>
          <t>休日</t>
        </is>
      </c>
      <c r="DA81" s="395" t="n"/>
      <c r="DB81" s="395" t="n"/>
      <c r="DC81" s="396" t="n"/>
      <c r="DD81" s="397">
        <f>IF(Q78="作業者3",N81-N78,0)</f>
        <v/>
      </c>
      <c r="DE81" s="395" t="n"/>
      <c r="DF81" s="395" t="n"/>
      <c r="DG81" s="395" t="n"/>
      <c r="DH81" s="396" t="n"/>
      <c r="DJ81" s="254" t="inlineStr">
        <is>
          <t>休日</t>
        </is>
      </c>
      <c r="DK81" s="395" t="n"/>
      <c r="DL81" s="395" t="n"/>
      <c r="DM81" s="396" t="n"/>
      <c r="DN81" s="397">
        <f>IF(Q78="作業者4",N81-N78,0)</f>
        <v/>
      </c>
      <c r="DO81" s="395" t="n"/>
      <c r="DP81" s="395" t="n"/>
      <c r="DQ81" s="395" t="n"/>
      <c r="DR81" s="396" t="n"/>
      <c r="DT81" s="254" t="inlineStr">
        <is>
          <t>休日</t>
        </is>
      </c>
      <c r="DU81" s="395" t="n"/>
      <c r="DV81" s="395" t="n"/>
      <c r="DW81" s="396" t="n"/>
      <c r="DX81" s="397">
        <f>IF(Q78="作業者5",N81-N78,0)</f>
        <v/>
      </c>
      <c r="DY81" s="395" t="n"/>
      <c r="DZ81" s="395" t="n"/>
      <c r="EA81" s="395" t="n"/>
      <c r="EB81" s="396" t="n"/>
    </row>
    <row r="82" ht="9" customHeight="1" s="337">
      <c r="B82" s="398" t="n"/>
      <c r="C82" s="372" t="n"/>
      <c r="D82" s="373" t="n"/>
      <c r="E82" s="399" t="n"/>
      <c r="F82" s="372" t="n"/>
      <c r="G82" s="373" t="n"/>
      <c r="H82" s="399" t="n"/>
      <c r="I82" s="372" t="n"/>
      <c r="J82" s="373" t="n"/>
      <c r="K82" s="399" t="n"/>
      <c r="L82" s="372" t="n"/>
      <c r="M82" s="373" t="n"/>
      <c r="N82" s="399" t="n"/>
      <c r="O82" s="372" t="n"/>
      <c r="P82" s="373" t="n"/>
      <c r="Q82" s="371" t="n"/>
      <c r="R82" s="372" t="n"/>
      <c r="S82" s="373" t="n"/>
      <c r="T82" s="371" t="n"/>
      <c r="U82" s="372" t="n"/>
      <c r="V82" s="373" t="n"/>
      <c r="W82" s="401" t="n"/>
      <c r="X82" s="372" t="n"/>
      <c r="Y82" s="372" t="n"/>
      <c r="Z82" s="372" t="n"/>
      <c r="AA82" s="372" t="n"/>
      <c r="AB82" s="372" t="n"/>
      <c r="AC82" s="372" t="n"/>
      <c r="AD82" s="372" t="n"/>
      <c r="AE82" s="372" t="n"/>
      <c r="AF82" s="372" t="n"/>
      <c r="AG82" s="372" t="n"/>
      <c r="AH82" s="372" t="n"/>
      <c r="AI82" s="372" t="n"/>
      <c r="AJ82" s="372" t="n"/>
      <c r="AK82" s="372" t="n"/>
      <c r="AL82" s="372" t="n"/>
      <c r="AM82" s="372" t="n"/>
      <c r="AN82" s="372" t="n"/>
      <c r="AO82" s="372" t="n"/>
      <c r="AP82" s="372" t="n"/>
      <c r="AQ82" s="372" t="n"/>
      <c r="AR82" s="372" t="n"/>
      <c r="AS82" s="372" t="n"/>
      <c r="AT82" s="372" t="n"/>
      <c r="AU82" s="372" t="n"/>
      <c r="AV82" s="372" t="n"/>
      <c r="AW82" s="372" t="n"/>
      <c r="AX82" s="372" t="n"/>
      <c r="AY82" s="372" t="n"/>
      <c r="AZ82" s="372" t="n"/>
      <c r="BA82" s="372" t="n"/>
      <c r="BB82" s="372" t="n"/>
      <c r="BC82" s="372" t="n"/>
      <c r="BD82" s="372" t="n"/>
      <c r="BE82" s="372" t="n"/>
      <c r="BF82" s="372" t="n"/>
      <c r="BG82" s="372" t="n"/>
      <c r="BH82" s="372" t="n"/>
      <c r="BI82" s="372" t="n"/>
      <c r="BJ82" s="372" t="n"/>
      <c r="BK82" s="372" t="n"/>
      <c r="BL82" s="372" t="n"/>
      <c r="BM82" s="372" t="n"/>
      <c r="BN82" s="372" t="n"/>
      <c r="BO82" s="372" t="n"/>
      <c r="BP82" s="372" t="n"/>
      <c r="BQ82" s="372" t="n"/>
      <c r="BR82" s="372" t="n"/>
      <c r="BS82" s="372" t="n"/>
      <c r="BT82" s="372" t="n"/>
      <c r="BU82" s="372" t="n"/>
      <c r="BV82" s="372" t="n"/>
      <c r="BW82" s="372" t="n"/>
      <c r="BX82" s="372" t="n"/>
      <c r="BY82" s="372" t="n"/>
      <c r="BZ82" s="372" t="n"/>
      <c r="CA82" s="372" t="n"/>
      <c r="CB82" s="372" t="n"/>
      <c r="CC82" s="402" t="n"/>
      <c r="CF82" s="259" t="inlineStr">
        <is>
          <t>移動</t>
        </is>
      </c>
      <c r="CG82" s="403" t="n"/>
      <c r="CH82" s="403" t="n"/>
      <c r="CI82" s="404" t="n"/>
      <c r="CJ82" s="379">
        <f>IF(Q82="作業者1",E85-E82,0)</f>
        <v/>
      </c>
      <c r="CK82" s="377" t="n"/>
      <c r="CL82" s="377" t="n"/>
      <c r="CM82" s="377" t="n"/>
      <c r="CN82" s="378" t="n"/>
      <c r="CP82" s="248" t="inlineStr">
        <is>
          <t>移動</t>
        </is>
      </c>
      <c r="CQ82" s="377" t="n"/>
      <c r="CR82" s="377" t="n"/>
      <c r="CS82" s="378" t="n"/>
      <c r="CT82" s="379">
        <f>IF(Q82="作業者2",E85-E82,0)</f>
        <v/>
      </c>
      <c r="CU82" s="377" t="n"/>
      <c r="CV82" s="377" t="n"/>
      <c r="CW82" s="377" t="n"/>
      <c r="CX82" s="378" t="n"/>
      <c r="CZ82" s="259" t="inlineStr">
        <is>
          <t>移動</t>
        </is>
      </c>
      <c r="DA82" s="403" t="n"/>
      <c r="DB82" s="403" t="n"/>
      <c r="DC82" s="404" t="n"/>
      <c r="DD82" s="405">
        <f>IF(Q82="作業者3",E85-E82,0)</f>
        <v/>
      </c>
      <c r="DE82" s="406" t="n"/>
      <c r="DF82" s="406" t="n"/>
      <c r="DG82" s="406" t="n"/>
      <c r="DH82" s="407" t="n"/>
      <c r="DJ82" s="259" t="inlineStr">
        <is>
          <t>移動</t>
        </is>
      </c>
      <c r="DK82" s="403" t="n"/>
      <c r="DL82" s="403" t="n"/>
      <c r="DM82" s="404" t="n"/>
      <c r="DN82" s="379">
        <f>IF(Q82="作業者4",E85-E82,0)</f>
        <v/>
      </c>
      <c r="DO82" s="377" t="n"/>
      <c r="DP82" s="377" t="n"/>
      <c r="DQ82" s="377" t="n"/>
      <c r="DR82" s="378" t="n"/>
      <c r="DT82" s="259" t="inlineStr">
        <is>
          <t>移動</t>
        </is>
      </c>
      <c r="DU82" s="403" t="n"/>
      <c r="DV82" s="403" t="n"/>
      <c r="DW82" s="404" t="n"/>
      <c r="DX82" s="379">
        <f>IF(Q82="作業者5",E85-E82,0)</f>
        <v/>
      </c>
      <c r="DY82" s="377" t="n"/>
      <c r="DZ82" s="377" t="n"/>
      <c r="EA82" s="377" t="n"/>
      <c r="EB82" s="378" t="n"/>
    </row>
    <row r="83" ht="9" customHeight="1" s="337">
      <c r="B83" s="350" t="n"/>
      <c r="C83" s="338" t="n"/>
      <c r="D83" s="380" t="n"/>
      <c r="E83" s="381" t="n"/>
      <c r="F83" s="122" t="inlineStr">
        <is>
          <t>～</t>
        </is>
      </c>
      <c r="G83" s="22" t="n"/>
      <c r="H83" s="381" t="n"/>
      <c r="I83" s="122" t="inlineStr">
        <is>
          <t>～</t>
        </is>
      </c>
      <c r="J83" s="22" t="n"/>
      <c r="K83" s="381" t="n"/>
      <c r="L83" s="122" t="inlineStr">
        <is>
          <t>～</t>
        </is>
      </c>
      <c r="M83" s="22" t="n"/>
      <c r="N83" s="381" t="n"/>
      <c r="O83" s="122" t="inlineStr">
        <is>
          <t>～</t>
        </is>
      </c>
      <c r="P83" s="22" t="n"/>
      <c r="Q83" s="382" t="n"/>
      <c r="R83" s="338" t="n"/>
      <c r="S83" s="380" t="n"/>
      <c r="T83" s="382" t="n"/>
      <c r="U83" s="338" t="n"/>
      <c r="V83" s="380" t="n"/>
      <c r="W83" s="382" t="n"/>
      <c r="X83" s="338" t="n"/>
      <c r="Y83" s="338" t="n"/>
      <c r="Z83" s="338" t="n"/>
      <c r="AA83" s="338" t="n"/>
      <c r="AB83" s="338" t="n"/>
      <c r="AC83" s="338" t="n"/>
      <c r="AD83" s="338" t="n"/>
      <c r="AE83" s="338" t="n"/>
      <c r="AF83" s="338" t="n"/>
      <c r="AG83" s="338" t="n"/>
      <c r="AH83" s="338" t="n"/>
      <c r="AI83" s="338" t="n"/>
      <c r="AJ83" s="338" t="n"/>
      <c r="AK83" s="338" t="n"/>
      <c r="AL83" s="338" t="n"/>
      <c r="AM83" s="338" t="n"/>
      <c r="AN83" s="338" t="n"/>
      <c r="AO83" s="338" t="n"/>
      <c r="AP83" s="338" t="n"/>
      <c r="AQ83" s="338" t="n"/>
      <c r="AR83" s="338" t="n"/>
      <c r="AS83" s="338" t="n"/>
      <c r="AT83" s="338" t="n"/>
      <c r="AU83" s="338" t="n"/>
      <c r="AV83" s="338" t="n"/>
      <c r="AW83" s="338" t="n"/>
      <c r="AX83" s="338" t="n"/>
      <c r="AY83" s="338" t="n"/>
      <c r="AZ83" s="338" t="n"/>
      <c r="BA83" s="338" t="n"/>
      <c r="BB83" s="338" t="n"/>
      <c r="BC83" s="338" t="n"/>
      <c r="BD83" s="338" t="n"/>
      <c r="BE83" s="338" t="n"/>
      <c r="BF83" s="338" t="n"/>
      <c r="BG83" s="338" t="n"/>
      <c r="BH83" s="338" t="n"/>
      <c r="BI83" s="338" t="n"/>
      <c r="BJ83" s="338" t="n"/>
      <c r="BK83" s="338" t="n"/>
      <c r="BL83" s="338" t="n"/>
      <c r="BM83" s="338" t="n"/>
      <c r="BN83" s="338" t="n"/>
      <c r="BO83" s="338" t="n"/>
      <c r="BP83" s="338" t="n"/>
      <c r="BQ83" s="338" t="n"/>
      <c r="BR83" s="338" t="n"/>
      <c r="BS83" s="338" t="n"/>
      <c r="BT83" s="338" t="n"/>
      <c r="BU83" s="338" t="n"/>
      <c r="BV83" s="338" t="n"/>
      <c r="BW83" s="338" t="n"/>
      <c r="BX83" s="338" t="n"/>
      <c r="BY83" s="338" t="n"/>
      <c r="BZ83" s="338" t="n"/>
      <c r="CA83" s="338" t="n"/>
      <c r="CB83" s="338" t="n"/>
      <c r="CC83" s="383" t="n"/>
      <c r="CF83" s="253" t="inlineStr">
        <is>
          <t>時間内</t>
        </is>
      </c>
      <c r="CG83" s="384" t="n"/>
      <c r="CH83" s="384" t="n"/>
      <c r="CI83" s="385" t="n"/>
      <c r="CJ83" s="386">
        <f>IF(Q82="作業者1",H85-H82,0)</f>
        <v/>
      </c>
      <c r="CK83" s="387" t="n"/>
      <c r="CL83" s="387" t="n"/>
      <c r="CM83" s="387" t="n"/>
      <c r="CN83" s="388" t="n"/>
      <c r="CP83" s="253" t="inlineStr">
        <is>
          <t>時間内</t>
        </is>
      </c>
      <c r="CQ83" s="384" t="n"/>
      <c r="CR83" s="384" t="n"/>
      <c r="CS83" s="385" t="n"/>
      <c r="CT83" s="386">
        <f>IF(Q82="作業者2",H85-H82,0)</f>
        <v/>
      </c>
      <c r="CU83" s="387" t="n"/>
      <c r="CV83" s="387" t="n"/>
      <c r="CW83" s="387" t="n"/>
      <c r="CX83" s="388" t="n"/>
      <c r="CZ83" s="253" t="inlineStr">
        <is>
          <t>時間内</t>
        </is>
      </c>
      <c r="DA83" s="384" t="n"/>
      <c r="DB83" s="384" t="n"/>
      <c r="DC83" s="385" t="n"/>
      <c r="DD83" s="386">
        <f>IF(Q82="作業者3",H85-H82,0)</f>
        <v/>
      </c>
      <c r="DE83" s="387" t="n"/>
      <c r="DF83" s="387" t="n"/>
      <c r="DG83" s="387" t="n"/>
      <c r="DH83" s="388" t="n"/>
      <c r="DJ83" s="253" t="inlineStr">
        <is>
          <t>時間内</t>
        </is>
      </c>
      <c r="DK83" s="384" t="n"/>
      <c r="DL83" s="384" t="n"/>
      <c r="DM83" s="385" t="n"/>
      <c r="DN83" s="386">
        <f>IF(Q82="作業者4",H85-H82,0)</f>
        <v/>
      </c>
      <c r="DO83" s="387" t="n"/>
      <c r="DP83" s="387" t="n"/>
      <c r="DQ83" s="387" t="n"/>
      <c r="DR83" s="388" t="n"/>
      <c r="DT83" s="253" t="inlineStr">
        <is>
          <t>時間内</t>
        </is>
      </c>
      <c r="DU83" s="384" t="n"/>
      <c r="DV83" s="384" t="n"/>
      <c r="DW83" s="385" t="n"/>
      <c r="DX83" s="386">
        <f>IF(Q82="作業者5",H85-H82,0)</f>
        <v/>
      </c>
      <c r="DY83" s="387" t="n"/>
      <c r="DZ83" s="387" t="n"/>
      <c r="EA83" s="387" t="n"/>
      <c r="EB83" s="388" t="n"/>
    </row>
    <row r="84" ht="9" customHeight="1" s="337">
      <c r="B84" s="350" t="n"/>
      <c r="C84" s="338" t="n"/>
      <c r="D84" s="380" t="n"/>
      <c r="E84" s="23" t="n"/>
      <c r="F84" s="338" t="n"/>
      <c r="G84" s="24" t="n"/>
      <c r="H84" s="23" t="n"/>
      <c r="I84" s="338" t="n"/>
      <c r="J84" s="24" t="n"/>
      <c r="K84" s="23" t="n"/>
      <c r="L84" s="338" t="n"/>
      <c r="M84" s="24" t="n"/>
      <c r="N84" s="23" t="n"/>
      <c r="O84" s="338" t="n"/>
      <c r="P84" s="24" t="n"/>
      <c r="Q84" s="382" t="n"/>
      <c r="R84" s="338" t="n"/>
      <c r="S84" s="380" t="n"/>
      <c r="T84" s="382" t="n"/>
      <c r="U84" s="338" t="n"/>
      <c r="V84" s="380" t="n"/>
      <c r="W84" s="382" t="n"/>
      <c r="X84" s="338" t="n"/>
      <c r="Y84" s="338" t="n"/>
      <c r="Z84" s="338" t="n"/>
      <c r="AA84" s="338" t="n"/>
      <c r="AB84" s="338" t="n"/>
      <c r="AC84" s="338" t="n"/>
      <c r="AD84" s="338" t="n"/>
      <c r="AE84" s="338" t="n"/>
      <c r="AF84" s="338" t="n"/>
      <c r="AG84" s="338" t="n"/>
      <c r="AH84" s="338" t="n"/>
      <c r="AI84" s="338" t="n"/>
      <c r="AJ84" s="338" t="n"/>
      <c r="AK84" s="338" t="n"/>
      <c r="AL84" s="338" t="n"/>
      <c r="AM84" s="338" t="n"/>
      <c r="AN84" s="338" t="n"/>
      <c r="AO84" s="338" t="n"/>
      <c r="AP84" s="338" t="n"/>
      <c r="AQ84" s="338" t="n"/>
      <c r="AR84" s="338" t="n"/>
      <c r="AS84" s="338" t="n"/>
      <c r="AT84" s="338" t="n"/>
      <c r="AU84" s="338" t="n"/>
      <c r="AV84" s="338" t="n"/>
      <c r="AW84" s="338" t="n"/>
      <c r="AX84" s="338" t="n"/>
      <c r="AY84" s="338" t="n"/>
      <c r="AZ84" s="338" t="n"/>
      <c r="BA84" s="338" t="n"/>
      <c r="BB84" s="338" t="n"/>
      <c r="BC84" s="338" t="n"/>
      <c r="BD84" s="338" t="n"/>
      <c r="BE84" s="338" t="n"/>
      <c r="BF84" s="338" t="n"/>
      <c r="BG84" s="338" t="n"/>
      <c r="BH84" s="338" t="n"/>
      <c r="BI84" s="338" t="n"/>
      <c r="BJ84" s="338" t="n"/>
      <c r="BK84" s="338" t="n"/>
      <c r="BL84" s="338" t="n"/>
      <c r="BM84" s="338" t="n"/>
      <c r="BN84" s="338" t="n"/>
      <c r="BO84" s="338" t="n"/>
      <c r="BP84" s="338" t="n"/>
      <c r="BQ84" s="338" t="n"/>
      <c r="BR84" s="338" t="n"/>
      <c r="BS84" s="338" t="n"/>
      <c r="BT84" s="338" t="n"/>
      <c r="BU84" s="338" t="n"/>
      <c r="BV84" s="338" t="n"/>
      <c r="BW84" s="338" t="n"/>
      <c r="BX84" s="338" t="n"/>
      <c r="BY84" s="338" t="n"/>
      <c r="BZ84" s="338" t="n"/>
      <c r="CA84" s="338" t="n"/>
      <c r="CB84" s="338" t="n"/>
      <c r="CC84" s="383" t="n"/>
      <c r="CF84" s="253" t="inlineStr">
        <is>
          <t>時間外</t>
        </is>
      </c>
      <c r="CG84" s="384" t="n"/>
      <c r="CH84" s="384" t="n"/>
      <c r="CI84" s="385" t="n"/>
      <c r="CJ84" s="386">
        <f>IF(Q82="作業者1",K85-K82,0)</f>
        <v/>
      </c>
      <c r="CK84" s="387" t="n"/>
      <c r="CL84" s="387" t="n"/>
      <c r="CM84" s="387" t="n"/>
      <c r="CN84" s="388" t="n"/>
      <c r="CP84" s="253" t="inlineStr">
        <is>
          <t>時間外</t>
        </is>
      </c>
      <c r="CQ84" s="384" t="n"/>
      <c r="CR84" s="384" t="n"/>
      <c r="CS84" s="385" t="n"/>
      <c r="CT84" s="386">
        <f>IF(Q82="作業者2",K85-K82,0)</f>
        <v/>
      </c>
      <c r="CU84" s="387" t="n"/>
      <c r="CV84" s="387" t="n"/>
      <c r="CW84" s="387" t="n"/>
      <c r="CX84" s="388" t="n"/>
      <c r="CZ84" s="253" t="inlineStr">
        <is>
          <t>時間外</t>
        </is>
      </c>
      <c r="DA84" s="384" t="n"/>
      <c r="DB84" s="384" t="n"/>
      <c r="DC84" s="385" t="n"/>
      <c r="DD84" s="386">
        <f>IF(Q82="作業者3",K85-K82,0)</f>
        <v/>
      </c>
      <c r="DE84" s="387" t="n"/>
      <c r="DF84" s="387" t="n"/>
      <c r="DG84" s="387" t="n"/>
      <c r="DH84" s="388" t="n"/>
      <c r="DJ84" s="253" t="inlineStr">
        <is>
          <t>時間外</t>
        </is>
      </c>
      <c r="DK84" s="384" t="n"/>
      <c r="DL84" s="384" t="n"/>
      <c r="DM84" s="385" t="n"/>
      <c r="DN84" s="386">
        <f>IF(Q82="作業者4",K85-K82,0)</f>
        <v/>
      </c>
      <c r="DO84" s="387" t="n"/>
      <c r="DP84" s="387" t="n"/>
      <c r="DQ84" s="387" t="n"/>
      <c r="DR84" s="388" t="n"/>
      <c r="DT84" s="253" t="inlineStr">
        <is>
          <t>時間外</t>
        </is>
      </c>
      <c r="DU84" s="384" t="n"/>
      <c r="DV84" s="384" t="n"/>
      <c r="DW84" s="385" t="n"/>
      <c r="DX84" s="386">
        <f>IF(Q82="作業者5",K85-K82,0)</f>
        <v/>
      </c>
      <c r="DY84" s="387" t="n"/>
      <c r="DZ84" s="387" t="n"/>
      <c r="EA84" s="387" t="n"/>
      <c r="EB84" s="388" t="n"/>
    </row>
    <row r="85" ht="9" customHeight="1" s="337">
      <c r="B85" s="389" t="n"/>
      <c r="C85" s="390" t="n"/>
      <c r="D85" s="391" t="n"/>
      <c r="E85" s="392" t="n"/>
      <c r="F85" s="390" t="n"/>
      <c r="G85" s="391" t="n"/>
      <c r="H85" s="392" t="n"/>
      <c r="I85" s="390" t="n"/>
      <c r="J85" s="391" t="n"/>
      <c r="K85" s="392" t="n"/>
      <c r="L85" s="390" t="n"/>
      <c r="M85" s="391" t="n"/>
      <c r="N85" s="392" t="n"/>
      <c r="O85" s="390" t="n"/>
      <c r="P85" s="391" t="n"/>
      <c r="Q85" s="393" t="n"/>
      <c r="R85" s="390" t="n"/>
      <c r="S85" s="391" t="n"/>
      <c r="T85" s="393" t="n"/>
      <c r="U85" s="390" t="n"/>
      <c r="V85" s="391" t="n"/>
      <c r="W85" s="393" t="n"/>
      <c r="X85" s="390" t="n"/>
      <c r="Y85" s="390" t="n"/>
      <c r="Z85" s="390" t="n"/>
      <c r="AA85" s="390" t="n"/>
      <c r="AB85" s="390" t="n"/>
      <c r="AC85" s="390" t="n"/>
      <c r="AD85" s="390" t="n"/>
      <c r="AE85" s="390" t="n"/>
      <c r="AF85" s="390" t="n"/>
      <c r="AG85" s="390" t="n"/>
      <c r="AH85" s="390" t="n"/>
      <c r="AI85" s="390" t="n"/>
      <c r="AJ85" s="390" t="n"/>
      <c r="AK85" s="390" t="n"/>
      <c r="AL85" s="390" t="n"/>
      <c r="AM85" s="390" t="n"/>
      <c r="AN85" s="390" t="n"/>
      <c r="AO85" s="390" t="n"/>
      <c r="AP85" s="390" t="n"/>
      <c r="AQ85" s="390" t="n"/>
      <c r="AR85" s="390" t="n"/>
      <c r="AS85" s="390" t="n"/>
      <c r="AT85" s="390" t="n"/>
      <c r="AU85" s="390" t="n"/>
      <c r="AV85" s="390" t="n"/>
      <c r="AW85" s="390" t="n"/>
      <c r="AX85" s="390" t="n"/>
      <c r="AY85" s="390" t="n"/>
      <c r="AZ85" s="390" t="n"/>
      <c r="BA85" s="390" t="n"/>
      <c r="BB85" s="390" t="n"/>
      <c r="BC85" s="390" t="n"/>
      <c r="BD85" s="390" t="n"/>
      <c r="BE85" s="390" t="n"/>
      <c r="BF85" s="390" t="n"/>
      <c r="BG85" s="390" t="n"/>
      <c r="BH85" s="390" t="n"/>
      <c r="BI85" s="390" t="n"/>
      <c r="BJ85" s="390" t="n"/>
      <c r="BK85" s="390" t="n"/>
      <c r="BL85" s="390" t="n"/>
      <c r="BM85" s="390" t="n"/>
      <c r="BN85" s="390" t="n"/>
      <c r="BO85" s="390" t="n"/>
      <c r="BP85" s="390" t="n"/>
      <c r="BQ85" s="390" t="n"/>
      <c r="BR85" s="390" t="n"/>
      <c r="BS85" s="390" t="n"/>
      <c r="BT85" s="390" t="n"/>
      <c r="BU85" s="390" t="n"/>
      <c r="BV85" s="390" t="n"/>
      <c r="BW85" s="390" t="n"/>
      <c r="BX85" s="390" t="n"/>
      <c r="BY85" s="390" t="n"/>
      <c r="BZ85" s="390" t="n"/>
      <c r="CA85" s="390" t="n"/>
      <c r="CB85" s="390" t="n"/>
      <c r="CC85" s="394" t="n"/>
      <c r="CF85" s="254" t="inlineStr">
        <is>
          <t>休日</t>
        </is>
      </c>
      <c r="CG85" s="395" t="n"/>
      <c r="CH85" s="395" t="n"/>
      <c r="CI85" s="396" t="n"/>
      <c r="CJ85" s="397">
        <f>IF(Q82="作業者1",N85-N82,0)</f>
        <v/>
      </c>
      <c r="CK85" s="395" t="n"/>
      <c r="CL85" s="395" t="n"/>
      <c r="CM85" s="395" t="n"/>
      <c r="CN85" s="396" t="n"/>
      <c r="CP85" s="254" t="inlineStr">
        <is>
          <t>休日</t>
        </is>
      </c>
      <c r="CQ85" s="395" t="n"/>
      <c r="CR85" s="395" t="n"/>
      <c r="CS85" s="396" t="n"/>
      <c r="CT85" s="397">
        <f>IF(Q82="作業者2",N85-N82,0)</f>
        <v/>
      </c>
      <c r="CU85" s="395" t="n"/>
      <c r="CV85" s="395" t="n"/>
      <c r="CW85" s="395" t="n"/>
      <c r="CX85" s="396" t="n"/>
      <c r="CZ85" s="254" t="inlineStr">
        <is>
          <t>休日</t>
        </is>
      </c>
      <c r="DA85" s="395" t="n"/>
      <c r="DB85" s="395" t="n"/>
      <c r="DC85" s="396" t="n"/>
      <c r="DD85" s="397">
        <f>IF(Q82="作業者3",N85-N82,0)</f>
        <v/>
      </c>
      <c r="DE85" s="395" t="n"/>
      <c r="DF85" s="395" t="n"/>
      <c r="DG85" s="395" t="n"/>
      <c r="DH85" s="396" t="n"/>
      <c r="DJ85" s="254" t="inlineStr">
        <is>
          <t>休日</t>
        </is>
      </c>
      <c r="DK85" s="395" t="n"/>
      <c r="DL85" s="395" t="n"/>
      <c r="DM85" s="396" t="n"/>
      <c r="DN85" s="397">
        <f>IF(Q82="作業者4",N85-N82,0)</f>
        <v/>
      </c>
      <c r="DO85" s="395" t="n"/>
      <c r="DP85" s="395" t="n"/>
      <c r="DQ85" s="395" t="n"/>
      <c r="DR85" s="396" t="n"/>
      <c r="DT85" s="254" t="inlineStr">
        <is>
          <t>休日</t>
        </is>
      </c>
      <c r="DU85" s="395" t="n"/>
      <c r="DV85" s="395" t="n"/>
      <c r="DW85" s="396" t="n"/>
      <c r="DX85" s="397">
        <f>IF(Q82="作業者5",N85-N82,0)</f>
        <v/>
      </c>
      <c r="DY85" s="395" t="n"/>
      <c r="DZ85" s="395" t="n"/>
      <c r="EA85" s="395" t="n"/>
      <c r="EB85" s="396" t="n"/>
    </row>
    <row r="86" ht="9" customHeight="1" s="337">
      <c r="B86" s="398" t="n"/>
      <c r="C86" s="372" t="n"/>
      <c r="D86" s="373" t="n"/>
      <c r="E86" s="399" t="n"/>
      <c r="F86" s="372" t="n"/>
      <c r="G86" s="373" t="n"/>
      <c r="H86" s="399" t="n"/>
      <c r="I86" s="372" t="n"/>
      <c r="J86" s="373" t="n"/>
      <c r="K86" s="399" t="n"/>
      <c r="L86" s="372" t="n"/>
      <c r="M86" s="373" t="n"/>
      <c r="N86" s="399" t="n"/>
      <c r="O86" s="372" t="n"/>
      <c r="P86" s="373" t="n"/>
      <c r="Q86" s="371" t="n"/>
      <c r="R86" s="372" t="n"/>
      <c r="S86" s="373" t="n"/>
      <c r="T86" s="371" t="n"/>
      <c r="U86" s="372" t="n"/>
      <c r="V86" s="373" t="n"/>
      <c r="W86" s="401" t="n"/>
      <c r="X86" s="372" t="n"/>
      <c r="Y86" s="372" t="n"/>
      <c r="Z86" s="372" t="n"/>
      <c r="AA86" s="372" t="n"/>
      <c r="AB86" s="372" t="n"/>
      <c r="AC86" s="372" t="n"/>
      <c r="AD86" s="372" t="n"/>
      <c r="AE86" s="372" t="n"/>
      <c r="AF86" s="372" t="n"/>
      <c r="AG86" s="372" t="n"/>
      <c r="AH86" s="372" t="n"/>
      <c r="AI86" s="372" t="n"/>
      <c r="AJ86" s="372" t="n"/>
      <c r="AK86" s="372" t="n"/>
      <c r="AL86" s="372" t="n"/>
      <c r="AM86" s="372" t="n"/>
      <c r="AN86" s="372" t="n"/>
      <c r="AO86" s="372" t="n"/>
      <c r="AP86" s="372" t="n"/>
      <c r="AQ86" s="372" t="n"/>
      <c r="AR86" s="372" t="n"/>
      <c r="AS86" s="372" t="n"/>
      <c r="AT86" s="372" t="n"/>
      <c r="AU86" s="372" t="n"/>
      <c r="AV86" s="372" t="n"/>
      <c r="AW86" s="372" t="n"/>
      <c r="AX86" s="372" t="n"/>
      <c r="AY86" s="372" t="n"/>
      <c r="AZ86" s="372" t="n"/>
      <c r="BA86" s="372" t="n"/>
      <c r="BB86" s="372" t="n"/>
      <c r="BC86" s="372" t="n"/>
      <c r="BD86" s="372" t="n"/>
      <c r="BE86" s="372" t="n"/>
      <c r="BF86" s="372" t="n"/>
      <c r="BG86" s="372" t="n"/>
      <c r="BH86" s="372" t="n"/>
      <c r="BI86" s="372" t="n"/>
      <c r="BJ86" s="372" t="n"/>
      <c r="BK86" s="372" t="n"/>
      <c r="BL86" s="372" t="n"/>
      <c r="BM86" s="372" t="n"/>
      <c r="BN86" s="372" t="n"/>
      <c r="BO86" s="372" t="n"/>
      <c r="BP86" s="372" t="n"/>
      <c r="BQ86" s="372" t="n"/>
      <c r="BR86" s="372" t="n"/>
      <c r="BS86" s="372" t="n"/>
      <c r="BT86" s="372" t="n"/>
      <c r="BU86" s="372" t="n"/>
      <c r="BV86" s="372" t="n"/>
      <c r="BW86" s="372" t="n"/>
      <c r="BX86" s="372" t="n"/>
      <c r="BY86" s="372" t="n"/>
      <c r="BZ86" s="372" t="n"/>
      <c r="CA86" s="372" t="n"/>
      <c r="CB86" s="372" t="n"/>
      <c r="CC86" s="402" t="n"/>
      <c r="CF86" s="248" t="inlineStr">
        <is>
          <t>移動</t>
        </is>
      </c>
      <c r="CG86" s="377" t="n"/>
      <c r="CH86" s="377" t="n"/>
      <c r="CI86" s="378" t="n"/>
      <c r="CJ86" s="379">
        <f>IF(Q86="作業者1",E89-E86,0)</f>
        <v/>
      </c>
      <c r="CK86" s="377" t="n"/>
      <c r="CL86" s="377" t="n"/>
      <c r="CM86" s="377" t="n"/>
      <c r="CN86" s="378" t="n"/>
      <c r="CP86" s="248" t="inlineStr">
        <is>
          <t>移動</t>
        </is>
      </c>
      <c r="CQ86" s="377" t="n"/>
      <c r="CR86" s="377" t="n"/>
      <c r="CS86" s="378" t="n"/>
      <c r="CT86" s="379">
        <f>IF(Q86="作業者2",E89-E86,0)</f>
        <v/>
      </c>
      <c r="CU86" s="377" t="n"/>
      <c r="CV86" s="377" t="n"/>
      <c r="CW86" s="377" t="n"/>
      <c r="CX86" s="378" t="n"/>
      <c r="CZ86" s="248" t="inlineStr">
        <is>
          <t>移動</t>
        </is>
      </c>
      <c r="DA86" s="377" t="n"/>
      <c r="DB86" s="377" t="n"/>
      <c r="DC86" s="378" t="n"/>
      <c r="DD86" s="379">
        <f>IF(Q86="作業者3",E89-E86,0)</f>
        <v/>
      </c>
      <c r="DE86" s="377" t="n"/>
      <c r="DF86" s="377" t="n"/>
      <c r="DG86" s="377" t="n"/>
      <c r="DH86" s="378" t="n"/>
      <c r="DJ86" s="259" t="inlineStr">
        <is>
          <t>移動</t>
        </is>
      </c>
      <c r="DK86" s="403" t="n"/>
      <c r="DL86" s="403" t="n"/>
      <c r="DM86" s="404" t="n"/>
      <c r="DN86" s="379">
        <f>IF(Q86="作業者4",E89-E86,0)</f>
        <v/>
      </c>
      <c r="DO86" s="377" t="n"/>
      <c r="DP86" s="377" t="n"/>
      <c r="DQ86" s="377" t="n"/>
      <c r="DR86" s="378" t="n"/>
      <c r="DT86" s="259" t="inlineStr">
        <is>
          <t>移動</t>
        </is>
      </c>
      <c r="DU86" s="403" t="n"/>
      <c r="DV86" s="403" t="n"/>
      <c r="DW86" s="404" t="n"/>
      <c r="DX86" s="379">
        <f>IF(Q86="作業者5",E89-E86,0)</f>
        <v/>
      </c>
      <c r="DY86" s="377" t="n"/>
      <c r="DZ86" s="377" t="n"/>
      <c r="EA86" s="377" t="n"/>
      <c r="EB86" s="378" t="n"/>
    </row>
    <row r="87" ht="9" customHeight="1" s="337">
      <c r="B87" s="350" t="n"/>
      <c r="C87" s="338" t="n"/>
      <c r="D87" s="380" t="n"/>
      <c r="E87" s="381" t="n"/>
      <c r="F87" s="122" t="inlineStr">
        <is>
          <t>～</t>
        </is>
      </c>
      <c r="G87" s="22" t="n"/>
      <c r="H87" s="381" t="n"/>
      <c r="I87" s="122" t="inlineStr">
        <is>
          <t>～</t>
        </is>
      </c>
      <c r="J87" s="22" t="n"/>
      <c r="K87" s="381" t="n"/>
      <c r="L87" s="122" t="inlineStr">
        <is>
          <t>～</t>
        </is>
      </c>
      <c r="M87" s="22" t="n"/>
      <c r="N87" s="381" t="n"/>
      <c r="O87" s="122" t="inlineStr">
        <is>
          <t>～</t>
        </is>
      </c>
      <c r="P87" s="22" t="n"/>
      <c r="Q87" s="382" t="n"/>
      <c r="R87" s="338" t="n"/>
      <c r="S87" s="380" t="n"/>
      <c r="T87" s="382" t="n"/>
      <c r="U87" s="338" t="n"/>
      <c r="V87" s="380" t="n"/>
      <c r="W87" s="382" t="n"/>
      <c r="X87" s="338" t="n"/>
      <c r="Y87" s="338" t="n"/>
      <c r="Z87" s="338" t="n"/>
      <c r="AA87" s="338" t="n"/>
      <c r="AB87" s="338" t="n"/>
      <c r="AC87" s="338" t="n"/>
      <c r="AD87" s="338" t="n"/>
      <c r="AE87" s="338" t="n"/>
      <c r="AF87" s="338" t="n"/>
      <c r="AG87" s="338" t="n"/>
      <c r="AH87" s="338" t="n"/>
      <c r="AI87" s="338" t="n"/>
      <c r="AJ87" s="338" t="n"/>
      <c r="AK87" s="338" t="n"/>
      <c r="AL87" s="338" t="n"/>
      <c r="AM87" s="338" t="n"/>
      <c r="AN87" s="338" t="n"/>
      <c r="AO87" s="338" t="n"/>
      <c r="AP87" s="338" t="n"/>
      <c r="AQ87" s="338" t="n"/>
      <c r="AR87" s="338" t="n"/>
      <c r="AS87" s="338" t="n"/>
      <c r="AT87" s="338" t="n"/>
      <c r="AU87" s="338" t="n"/>
      <c r="AV87" s="338" t="n"/>
      <c r="AW87" s="338" t="n"/>
      <c r="AX87" s="338" t="n"/>
      <c r="AY87" s="338" t="n"/>
      <c r="AZ87" s="338" t="n"/>
      <c r="BA87" s="338" t="n"/>
      <c r="BB87" s="338" t="n"/>
      <c r="BC87" s="338" t="n"/>
      <c r="BD87" s="338" t="n"/>
      <c r="BE87" s="338" t="n"/>
      <c r="BF87" s="338" t="n"/>
      <c r="BG87" s="338" t="n"/>
      <c r="BH87" s="338" t="n"/>
      <c r="BI87" s="338" t="n"/>
      <c r="BJ87" s="338" t="n"/>
      <c r="BK87" s="338" t="n"/>
      <c r="BL87" s="338" t="n"/>
      <c r="BM87" s="338" t="n"/>
      <c r="BN87" s="338" t="n"/>
      <c r="BO87" s="338" t="n"/>
      <c r="BP87" s="338" t="n"/>
      <c r="BQ87" s="338" t="n"/>
      <c r="BR87" s="338" t="n"/>
      <c r="BS87" s="338" t="n"/>
      <c r="BT87" s="338" t="n"/>
      <c r="BU87" s="338" t="n"/>
      <c r="BV87" s="338" t="n"/>
      <c r="BW87" s="338" t="n"/>
      <c r="BX87" s="338" t="n"/>
      <c r="BY87" s="338" t="n"/>
      <c r="BZ87" s="338" t="n"/>
      <c r="CA87" s="338" t="n"/>
      <c r="CB87" s="338" t="n"/>
      <c r="CC87" s="383" t="n"/>
      <c r="CF87" s="253" t="inlineStr">
        <is>
          <t>時間内</t>
        </is>
      </c>
      <c r="CG87" s="384" t="n"/>
      <c r="CH87" s="384" t="n"/>
      <c r="CI87" s="385" t="n"/>
      <c r="CJ87" s="386">
        <f>IF(Q86="作業者1",H89-H86,0)</f>
        <v/>
      </c>
      <c r="CK87" s="387" t="n"/>
      <c r="CL87" s="387" t="n"/>
      <c r="CM87" s="387" t="n"/>
      <c r="CN87" s="388" t="n"/>
      <c r="CP87" s="253" t="inlineStr">
        <is>
          <t>時間内</t>
        </is>
      </c>
      <c r="CQ87" s="384" t="n"/>
      <c r="CR87" s="384" t="n"/>
      <c r="CS87" s="385" t="n"/>
      <c r="CT87" s="386">
        <f>IF(Q86="作業者2",H89-H86,0)</f>
        <v/>
      </c>
      <c r="CU87" s="387" t="n"/>
      <c r="CV87" s="387" t="n"/>
      <c r="CW87" s="387" t="n"/>
      <c r="CX87" s="388" t="n"/>
      <c r="CZ87" s="253" t="inlineStr">
        <is>
          <t>時間内</t>
        </is>
      </c>
      <c r="DA87" s="384" t="n"/>
      <c r="DB87" s="384" t="n"/>
      <c r="DC87" s="385" t="n"/>
      <c r="DD87" s="386">
        <f>IF(Q86="作業者3",H89-H86,0)</f>
        <v/>
      </c>
      <c r="DE87" s="387" t="n"/>
      <c r="DF87" s="387" t="n"/>
      <c r="DG87" s="387" t="n"/>
      <c r="DH87" s="388" t="n"/>
      <c r="DJ87" s="253" t="inlineStr">
        <is>
          <t>時間内</t>
        </is>
      </c>
      <c r="DK87" s="384" t="n"/>
      <c r="DL87" s="384" t="n"/>
      <c r="DM87" s="385" t="n"/>
      <c r="DN87" s="386">
        <f>IF(Q86="作業者4",H89-H86,0)</f>
        <v/>
      </c>
      <c r="DO87" s="387" t="n"/>
      <c r="DP87" s="387" t="n"/>
      <c r="DQ87" s="387" t="n"/>
      <c r="DR87" s="388" t="n"/>
      <c r="DT87" s="253" t="inlineStr">
        <is>
          <t>時間内</t>
        </is>
      </c>
      <c r="DU87" s="384" t="n"/>
      <c r="DV87" s="384" t="n"/>
      <c r="DW87" s="385" t="n"/>
      <c r="DX87" s="386">
        <f>IF(Q86="作業者5",H89-H86,0)</f>
        <v/>
      </c>
      <c r="DY87" s="387" t="n"/>
      <c r="DZ87" s="387" t="n"/>
      <c r="EA87" s="387" t="n"/>
      <c r="EB87" s="388" t="n"/>
    </row>
    <row r="88" ht="9" customHeight="1" s="337">
      <c r="B88" s="350" t="n"/>
      <c r="C88" s="338" t="n"/>
      <c r="D88" s="380" t="n"/>
      <c r="E88" s="23" t="n"/>
      <c r="F88" s="338" t="n"/>
      <c r="G88" s="24" t="n"/>
      <c r="H88" s="23" t="n"/>
      <c r="I88" s="338" t="n"/>
      <c r="J88" s="24" t="n"/>
      <c r="K88" s="23" t="n"/>
      <c r="L88" s="338" t="n"/>
      <c r="M88" s="24" t="n"/>
      <c r="N88" s="23" t="n"/>
      <c r="O88" s="338" t="n"/>
      <c r="P88" s="24" t="n"/>
      <c r="Q88" s="382" t="n"/>
      <c r="R88" s="338" t="n"/>
      <c r="S88" s="380" t="n"/>
      <c r="T88" s="382" t="n"/>
      <c r="U88" s="338" t="n"/>
      <c r="V88" s="380" t="n"/>
      <c r="W88" s="382" t="n"/>
      <c r="X88" s="338" t="n"/>
      <c r="Y88" s="338" t="n"/>
      <c r="Z88" s="338" t="n"/>
      <c r="AA88" s="338" t="n"/>
      <c r="AB88" s="338" t="n"/>
      <c r="AC88" s="338" t="n"/>
      <c r="AD88" s="338" t="n"/>
      <c r="AE88" s="338" t="n"/>
      <c r="AF88" s="338" t="n"/>
      <c r="AG88" s="338" t="n"/>
      <c r="AH88" s="338" t="n"/>
      <c r="AI88" s="338" t="n"/>
      <c r="AJ88" s="338" t="n"/>
      <c r="AK88" s="338" t="n"/>
      <c r="AL88" s="338" t="n"/>
      <c r="AM88" s="338" t="n"/>
      <c r="AN88" s="338" t="n"/>
      <c r="AO88" s="338" t="n"/>
      <c r="AP88" s="338" t="n"/>
      <c r="AQ88" s="338" t="n"/>
      <c r="AR88" s="338" t="n"/>
      <c r="AS88" s="338" t="n"/>
      <c r="AT88" s="338" t="n"/>
      <c r="AU88" s="338" t="n"/>
      <c r="AV88" s="338" t="n"/>
      <c r="AW88" s="338" t="n"/>
      <c r="AX88" s="338" t="n"/>
      <c r="AY88" s="338" t="n"/>
      <c r="AZ88" s="338" t="n"/>
      <c r="BA88" s="338" t="n"/>
      <c r="BB88" s="338" t="n"/>
      <c r="BC88" s="338" t="n"/>
      <c r="BD88" s="338" t="n"/>
      <c r="BE88" s="338" t="n"/>
      <c r="BF88" s="338" t="n"/>
      <c r="BG88" s="338" t="n"/>
      <c r="BH88" s="338" t="n"/>
      <c r="BI88" s="338" t="n"/>
      <c r="BJ88" s="338" t="n"/>
      <c r="BK88" s="338" t="n"/>
      <c r="BL88" s="338" t="n"/>
      <c r="BM88" s="338" t="n"/>
      <c r="BN88" s="338" t="n"/>
      <c r="BO88" s="338" t="n"/>
      <c r="BP88" s="338" t="n"/>
      <c r="BQ88" s="338" t="n"/>
      <c r="BR88" s="338" t="n"/>
      <c r="BS88" s="338" t="n"/>
      <c r="BT88" s="338" t="n"/>
      <c r="BU88" s="338" t="n"/>
      <c r="BV88" s="338" t="n"/>
      <c r="BW88" s="338" t="n"/>
      <c r="BX88" s="338" t="n"/>
      <c r="BY88" s="338" t="n"/>
      <c r="BZ88" s="338" t="n"/>
      <c r="CA88" s="338" t="n"/>
      <c r="CB88" s="338" t="n"/>
      <c r="CC88" s="383" t="n"/>
      <c r="CF88" s="253" t="inlineStr">
        <is>
          <t>時間外</t>
        </is>
      </c>
      <c r="CG88" s="384" t="n"/>
      <c r="CH88" s="384" t="n"/>
      <c r="CI88" s="385" t="n"/>
      <c r="CJ88" s="386">
        <f>IF(Q86="作業者1",K89-K86,0)</f>
        <v/>
      </c>
      <c r="CK88" s="387" t="n"/>
      <c r="CL88" s="387" t="n"/>
      <c r="CM88" s="387" t="n"/>
      <c r="CN88" s="388" t="n"/>
      <c r="CP88" s="253" t="inlineStr">
        <is>
          <t>時間外</t>
        </is>
      </c>
      <c r="CQ88" s="384" t="n"/>
      <c r="CR88" s="384" t="n"/>
      <c r="CS88" s="385" t="n"/>
      <c r="CT88" s="386">
        <f>IF(Q86="作業者2",K89-K86,0)</f>
        <v/>
      </c>
      <c r="CU88" s="387" t="n"/>
      <c r="CV88" s="387" t="n"/>
      <c r="CW88" s="387" t="n"/>
      <c r="CX88" s="388" t="n"/>
      <c r="CZ88" s="253" t="inlineStr">
        <is>
          <t>時間外</t>
        </is>
      </c>
      <c r="DA88" s="384" t="n"/>
      <c r="DB88" s="384" t="n"/>
      <c r="DC88" s="385" t="n"/>
      <c r="DD88" s="386">
        <f>IF(Q86="作業者3",K89-K86,0)</f>
        <v/>
      </c>
      <c r="DE88" s="387" t="n"/>
      <c r="DF88" s="387" t="n"/>
      <c r="DG88" s="387" t="n"/>
      <c r="DH88" s="388" t="n"/>
      <c r="DJ88" s="253" t="inlineStr">
        <is>
          <t>時間外</t>
        </is>
      </c>
      <c r="DK88" s="384" t="n"/>
      <c r="DL88" s="384" t="n"/>
      <c r="DM88" s="385" t="n"/>
      <c r="DN88" s="386">
        <f>IF(Q86="作業者4",K89-K86,0)</f>
        <v/>
      </c>
      <c r="DO88" s="387" t="n"/>
      <c r="DP88" s="387" t="n"/>
      <c r="DQ88" s="387" t="n"/>
      <c r="DR88" s="388" t="n"/>
      <c r="DT88" s="253" t="inlineStr">
        <is>
          <t>時間外</t>
        </is>
      </c>
      <c r="DU88" s="384" t="n"/>
      <c r="DV88" s="384" t="n"/>
      <c r="DW88" s="385" t="n"/>
      <c r="DX88" s="386">
        <f>IF(Q86="作業者5",K89-K86,0)</f>
        <v/>
      </c>
      <c r="DY88" s="387" t="n"/>
      <c r="DZ88" s="387" t="n"/>
      <c r="EA88" s="387" t="n"/>
      <c r="EB88" s="388" t="n"/>
    </row>
    <row r="89" ht="9" customHeight="1" s="337">
      <c r="B89" s="389" t="n"/>
      <c r="C89" s="390" t="n"/>
      <c r="D89" s="391" t="n"/>
      <c r="E89" s="392" t="n"/>
      <c r="F89" s="390" t="n"/>
      <c r="G89" s="391" t="n"/>
      <c r="H89" s="392" t="n"/>
      <c r="I89" s="390" t="n"/>
      <c r="J89" s="391" t="n"/>
      <c r="K89" s="392" t="n"/>
      <c r="L89" s="390" t="n"/>
      <c r="M89" s="391" t="n"/>
      <c r="N89" s="392" t="n"/>
      <c r="O89" s="390" t="n"/>
      <c r="P89" s="391" t="n"/>
      <c r="Q89" s="393" t="n"/>
      <c r="R89" s="390" t="n"/>
      <c r="S89" s="391" t="n"/>
      <c r="T89" s="393" t="n"/>
      <c r="U89" s="390" t="n"/>
      <c r="V89" s="391" t="n"/>
      <c r="W89" s="393" t="n"/>
      <c r="X89" s="390" t="n"/>
      <c r="Y89" s="390" t="n"/>
      <c r="Z89" s="390" t="n"/>
      <c r="AA89" s="390" t="n"/>
      <c r="AB89" s="390" t="n"/>
      <c r="AC89" s="390" t="n"/>
      <c r="AD89" s="390" t="n"/>
      <c r="AE89" s="390" t="n"/>
      <c r="AF89" s="390" t="n"/>
      <c r="AG89" s="390" t="n"/>
      <c r="AH89" s="390" t="n"/>
      <c r="AI89" s="390" t="n"/>
      <c r="AJ89" s="390" t="n"/>
      <c r="AK89" s="390" t="n"/>
      <c r="AL89" s="390" t="n"/>
      <c r="AM89" s="390" t="n"/>
      <c r="AN89" s="390" t="n"/>
      <c r="AO89" s="390" t="n"/>
      <c r="AP89" s="390" t="n"/>
      <c r="AQ89" s="390" t="n"/>
      <c r="AR89" s="390" t="n"/>
      <c r="AS89" s="390" t="n"/>
      <c r="AT89" s="390" t="n"/>
      <c r="AU89" s="390" t="n"/>
      <c r="AV89" s="390" t="n"/>
      <c r="AW89" s="390" t="n"/>
      <c r="AX89" s="390" t="n"/>
      <c r="AY89" s="390" t="n"/>
      <c r="AZ89" s="390" t="n"/>
      <c r="BA89" s="390" t="n"/>
      <c r="BB89" s="390" t="n"/>
      <c r="BC89" s="390" t="n"/>
      <c r="BD89" s="390" t="n"/>
      <c r="BE89" s="390" t="n"/>
      <c r="BF89" s="390" t="n"/>
      <c r="BG89" s="390" t="n"/>
      <c r="BH89" s="390" t="n"/>
      <c r="BI89" s="390" t="n"/>
      <c r="BJ89" s="390" t="n"/>
      <c r="BK89" s="390" t="n"/>
      <c r="BL89" s="390" t="n"/>
      <c r="BM89" s="390" t="n"/>
      <c r="BN89" s="390" t="n"/>
      <c r="BO89" s="390" t="n"/>
      <c r="BP89" s="390" t="n"/>
      <c r="BQ89" s="390" t="n"/>
      <c r="BR89" s="390" t="n"/>
      <c r="BS89" s="390" t="n"/>
      <c r="BT89" s="390" t="n"/>
      <c r="BU89" s="390" t="n"/>
      <c r="BV89" s="390" t="n"/>
      <c r="BW89" s="390" t="n"/>
      <c r="BX89" s="390" t="n"/>
      <c r="BY89" s="390" t="n"/>
      <c r="BZ89" s="390" t="n"/>
      <c r="CA89" s="390" t="n"/>
      <c r="CB89" s="390" t="n"/>
      <c r="CC89" s="394" t="n"/>
      <c r="CF89" s="254" t="inlineStr">
        <is>
          <t>休日</t>
        </is>
      </c>
      <c r="CG89" s="395" t="n"/>
      <c r="CH89" s="395" t="n"/>
      <c r="CI89" s="396" t="n"/>
      <c r="CJ89" s="386">
        <f>IF(Q86="作業者1",N89-N86,0)</f>
        <v/>
      </c>
      <c r="CK89" s="387" t="n"/>
      <c r="CL89" s="387" t="n"/>
      <c r="CM89" s="387" t="n"/>
      <c r="CN89" s="388" t="n"/>
      <c r="CP89" s="253" t="inlineStr">
        <is>
          <t>休日</t>
        </is>
      </c>
      <c r="CQ89" s="384" t="n"/>
      <c r="CR89" s="384" t="n"/>
      <c r="CS89" s="385" t="n"/>
      <c r="CT89" s="386">
        <f>IF(Q86="作業者2",N89-N86,0)</f>
        <v/>
      </c>
      <c r="CU89" s="387" t="n"/>
      <c r="CV89" s="387" t="n"/>
      <c r="CW89" s="387" t="n"/>
      <c r="CX89" s="388" t="n"/>
      <c r="CZ89" s="254" t="inlineStr">
        <is>
          <t>休日</t>
        </is>
      </c>
      <c r="DA89" s="395" t="n"/>
      <c r="DB89" s="395" t="n"/>
      <c r="DC89" s="396" t="n"/>
      <c r="DD89" s="397">
        <f>IF(Q86="作業者3",N89-N86,0)</f>
        <v/>
      </c>
      <c r="DE89" s="395" t="n"/>
      <c r="DF89" s="395" t="n"/>
      <c r="DG89" s="395" t="n"/>
      <c r="DH89" s="396" t="n"/>
      <c r="DJ89" s="254" t="inlineStr">
        <is>
          <t>休日</t>
        </is>
      </c>
      <c r="DK89" s="395" t="n"/>
      <c r="DL89" s="395" t="n"/>
      <c r="DM89" s="396" t="n"/>
      <c r="DN89" s="397">
        <f>IF(Q86="作業者4",N89-N86,0)</f>
        <v/>
      </c>
      <c r="DO89" s="395" t="n"/>
      <c r="DP89" s="395" t="n"/>
      <c r="DQ89" s="395" t="n"/>
      <c r="DR89" s="396" t="n"/>
      <c r="DT89" s="254" t="inlineStr">
        <is>
          <t>休日</t>
        </is>
      </c>
      <c r="DU89" s="395" t="n"/>
      <c r="DV89" s="395" t="n"/>
      <c r="DW89" s="396" t="n"/>
      <c r="DX89" s="397">
        <f>IF(Q86="作業者5",N89-N86,0)</f>
        <v/>
      </c>
      <c r="DY89" s="395" t="n"/>
      <c r="DZ89" s="395" t="n"/>
      <c r="EA89" s="395" t="n"/>
      <c r="EB89" s="396" t="n"/>
    </row>
    <row r="90" ht="9" customHeight="1" s="337">
      <c r="B90" s="398" t="n"/>
      <c r="C90" s="372" t="n"/>
      <c r="D90" s="373" t="n"/>
      <c r="E90" s="399" t="n"/>
      <c r="F90" s="372" t="n"/>
      <c r="G90" s="373" t="n"/>
      <c r="H90" s="399" t="n"/>
      <c r="I90" s="372" t="n"/>
      <c r="J90" s="373" t="n"/>
      <c r="K90" s="399" t="n"/>
      <c r="L90" s="372" t="n"/>
      <c r="M90" s="373" t="n"/>
      <c r="N90" s="399" t="n"/>
      <c r="O90" s="372" t="n"/>
      <c r="P90" s="373" t="n"/>
      <c r="Q90" s="371" t="n"/>
      <c r="R90" s="372" t="n"/>
      <c r="S90" s="373" t="n"/>
      <c r="T90" s="371" t="n"/>
      <c r="U90" s="372" t="n"/>
      <c r="V90" s="373" t="n"/>
      <c r="W90" s="401" t="n"/>
      <c r="X90" s="372" t="n"/>
      <c r="Y90" s="372" t="n"/>
      <c r="Z90" s="372" t="n"/>
      <c r="AA90" s="372" t="n"/>
      <c r="AB90" s="372" t="n"/>
      <c r="AC90" s="372" t="n"/>
      <c r="AD90" s="372" t="n"/>
      <c r="AE90" s="372" t="n"/>
      <c r="AF90" s="372" t="n"/>
      <c r="AG90" s="372" t="n"/>
      <c r="AH90" s="372" t="n"/>
      <c r="AI90" s="372" t="n"/>
      <c r="AJ90" s="372" t="n"/>
      <c r="AK90" s="372" t="n"/>
      <c r="AL90" s="372" t="n"/>
      <c r="AM90" s="372" t="n"/>
      <c r="AN90" s="372" t="n"/>
      <c r="AO90" s="372" t="n"/>
      <c r="AP90" s="372" t="n"/>
      <c r="AQ90" s="372" t="n"/>
      <c r="AR90" s="372" t="n"/>
      <c r="AS90" s="372" t="n"/>
      <c r="AT90" s="372" t="n"/>
      <c r="AU90" s="372" t="n"/>
      <c r="AV90" s="372" t="n"/>
      <c r="AW90" s="372" t="n"/>
      <c r="AX90" s="372" t="n"/>
      <c r="AY90" s="372" t="n"/>
      <c r="AZ90" s="372" t="n"/>
      <c r="BA90" s="372" t="n"/>
      <c r="BB90" s="372" t="n"/>
      <c r="BC90" s="372" t="n"/>
      <c r="BD90" s="372" t="n"/>
      <c r="BE90" s="372" t="n"/>
      <c r="BF90" s="372" t="n"/>
      <c r="BG90" s="372" t="n"/>
      <c r="BH90" s="372" t="n"/>
      <c r="BI90" s="372" t="n"/>
      <c r="BJ90" s="372" t="n"/>
      <c r="BK90" s="372" t="n"/>
      <c r="BL90" s="372" t="n"/>
      <c r="BM90" s="372" t="n"/>
      <c r="BN90" s="372" t="n"/>
      <c r="BO90" s="372" t="n"/>
      <c r="BP90" s="372" t="n"/>
      <c r="BQ90" s="372" t="n"/>
      <c r="BR90" s="372" t="n"/>
      <c r="BS90" s="372" t="n"/>
      <c r="BT90" s="372" t="n"/>
      <c r="BU90" s="372" t="n"/>
      <c r="BV90" s="372" t="n"/>
      <c r="BW90" s="372" t="n"/>
      <c r="BX90" s="372" t="n"/>
      <c r="BY90" s="372" t="n"/>
      <c r="BZ90" s="372" t="n"/>
      <c r="CA90" s="372" t="n"/>
      <c r="CB90" s="372" t="n"/>
      <c r="CC90" s="402" t="n"/>
      <c r="CF90" s="259" t="inlineStr">
        <is>
          <t>移動</t>
        </is>
      </c>
      <c r="CG90" s="403" t="n"/>
      <c r="CH90" s="403" t="n"/>
      <c r="CI90" s="404" t="n"/>
      <c r="CJ90" s="379">
        <f>IF(Q90="作業者1",E93-E90,0)</f>
        <v/>
      </c>
      <c r="CK90" s="377" t="n"/>
      <c r="CL90" s="377" t="n"/>
      <c r="CM90" s="377" t="n"/>
      <c r="CN90" s="378" t="n"/>
      <c r="CP90" s="248" t="inlineStr">
        <is>
          <t>移動</t>
        </is>
      </c>
      <c r="CQ90" s="377" t="n"/>
      <c r="CR90" s="377" t="n"/>
      <c r="CS90" s="378" t="n"/>
      <c r="CT90" s="379">
        <f>IF(Q90="作業者2",E93-E90,0)</f>
        <v/>
      </c>
      <c r="CU90" s="377" t="n"/>
      <c r="CV90" s="377" t="n"/>
      <c r="CW90" s="377" t="n"/>
      <c r="CX90" s="378" t="n"/>
      <c r="CZ90" s="259" t="inlineStr">
        <is>
          <t>移動</t>
        </is>
      </c>
      <c r="DA90" s="403" t="n"/>
      <c r="DB90" s="403" t="n"/>
      <c r="DC90" s="404" t="n"/>
      <c r="DD90" s="405">
        <f>IF(Q90="作業者3",E93-E90,0)</f>
        <v/>
      </c>
      <c r="DE90" s="406" t="n"/>
      <c r="DF90" s="406" t="n"/>
      <c r="DG90" s="406" t="n"/>
      <c r="DH90" s="407" t="n"/>
      <c r="DJ90" s="259" t="inlineStr">
        <is>
          <t>移動</t>
        </is>
      </c>
      <c r="DK90" s="403" t="n"/>
      <c r="DL90" s="403" t="n"/>
      <c r="DM90" s="404" t="n"/>
      <c r="DN90" s="379">
        <f>IF(Q90="作業者4",E93-E90,0)</f>
        <v/>
      </c>
      <c r="DO90" s="377" t="n"/>
      <c r="DP90" s="377" t="n"/>
      <c r="DQ90" s="377" t="n"/>
      <c r="DR90" s="378" t="n"/>
      <c r="DT90" s="259" t="inlineStr">
        <is>
          <t>移動</t>
        </is>
      </c>
      <c r="DU90" s="403" t="n"/>
      <c r="DV90" s="403" t="n"/>
      <c r="DW90" s="404" t="n"/>
      <c r="DX90" s="379">
        <f>IF(Q90="作業者5",E93-E90,0)</f>
        <v/>
      </c>
      <c r="DY90" s="377" t="n"/>
      <c r="DZ90" s="377" t="n"/>
      <c r="EA90" s="377" t="n"/>
      <c r="EB90" s="378" t="n"/>
    </row>
    <row r="91" ht="9" customHeight="1" s="337">
      <c r="B91" s="350" t="n"/>
      <c r="C91" s="338" t="n"/>
      <c r="D91" s="380" t="n"/>
      <c r="E91" s="381" t="n"/>
      <c r="F91" s="122" t="inlineStr">
        <is>
          <t>～</t>
        </is>
      </c>
      <c r="G91" s="22" t="n"/>
      <c r="H91" s="381" t="n"/>
      <c r="I91" s="122" t="inlineStr">
        <is>
          <t>～</t>
        </is>
      </c>
      <c r="J91" s="22" t="n"/>
      <c r="K91" s="381" t="n"/>
      <c r="L91" s="122" t="inlineStr">
        <is>
          <t>～</t>
        </is>
      </c>
      <c r="M91" s="22" t="n"/>
      <c r="N91" s="381" t="n"/>
      <c r="O91" s="122" t="inlineStr">
        <is>
          <t>～</t>
        </is>
      </c>
      <c r="P91" s="22" t="n"/>
      <c r="Q91" s="382" t="n"/>
      <c r="R91" s="338" t="n"/>
      <c r="S91" s="380" t="n"/>
      <c r="T91" s="382" t="n"/>
      <c r="U91" s="338" t="n"/>
      <c r="V91" s="380" t="n"/>
      <c r="W91" s="382" t="n"/>
      <c r="X91" s="338" t="n"/>
      <c r="Y91" s="338" t="n"/>
      <c r="Z91" s="338" t="n"/>
      <c r="AA91" s="338" t="n"/>
      <c r="AB91" s="338" t="n"/>
      <c r="AC91" s="338" t="n"/>
      <c r="AD91" s="338" t="n"/>
      <c r="AE91" s="338" t="n"/>
      <c r="AF91" s="338" t="n"/>
      <c r="AG91" s="338" t="n"/>
      <c r="AH91" s="338" t="n"/>
      <c r="AI91" s="338" t="n"/>
      <c r="AJ91" s="338" t="n"/>
      <c r="AK91" s="338" t="n"/>
      <c r="AL91" s="338" t="n"/>
      <c r="AM91" s="338" t="n"/>
      <c r="AN91" s="338" t="n"/>
      <c r="AO91" s="338" t="n"/>
      <c r="AP91" s="338" t="n"/>
      <c r="AQ91" s="338" t="n"/>
      <c r="AR91" s="338" t="n"/>
      <c r="AS91" s="338" t="n"/>
      <c r="AT91" s="338" t="n"/>
      <c r="AU91" s="338" t="n"/>
      <c r="AV91" s="338" t="n"/>
      <c r="AW91" s="338" t="n"/>
      <c r="AX91" s="338" t="n"/>
      <c r="AY91" s="338" t="n"/>
      <c r="AZ91" s="338" t="n"/>
      <c r="BA91" s="338" t="n"/>
      <c r="BB91" s="338" t="n"/>
      <c r="BC91" s="338" t="n"/>
      <c r="BD91" s="338" t="n"/>
      <c r="BE91" s="338" t="n"/>
      <c r="BF91" s="338" t="n"/>
      <c r="BG91" s="338" t="n"/>
      <c r="BH91" s="338" t="n"/>
      <c r="BI91" s="338" t="n"/>
      <c r="BJ91" s="338" t="n"/>
      <c r="BK91" s="338" t="n"/>
      <c r="BL91" s="338" t="n"/>
      <c r="BM91" s="338" t="n"/>
      <c r="BN91" s="338" t="n"/>
      <c r="BO91" s="338" t="n"/>
      <c r="BP91" s="338" t="n"/>
      <c r="BQ91" s="338" t="n"/>
      <c r="BR91" s="338" t="n"/>
      <c r="BS91" s="338" t="n"/>
      <c r="BT91" s="338" t="n"/>
      <c r="BU91" s="338" t="n"/>
      <c r="BV91" s="338" t="n"/>
      <c r="BW91" s="338" t="n"/>
      <c r="BX91" s="338" t="n"/>
      <c r="BY91" s="338" t="n"/>
      <c r="BZ91" s="338" t="n"/>
      <c r="CA91" s="338" t="n"/>
      <c r="CB91" s="338" t="n"/>
      <c r="CC91" s="383" t="n"/>
      <c r="CF91" s="253" t="inlineStr">
        <is>
          <t>時間内</t>
        </is>
      </c>
      <c r="CG91" s="384" t="n"/>
      <c r="CH91" s="384" t="n"/>
      <c r="CI91" s="385" t="n"/>
      <c r="CJ91" s="386">
        <f>IF(Q90="作業者1",H93-H90,0)</f>
        <v/>
      </c>
      <c r="CK91" s="387" t="n"/>
      <c r="CL91" s="387" t="n"/>
      <c r="CM91" s="387" t="n"/>
      <c r="CN91" s="388" t="n"/>
      <c r="CP91" s="253" t="inlineStr">
        <is>
          <t>時間内</t>
        </is>
      </c>
      <c r="CQ91" s="384" t="n"/>
      <c r="CR91" s="384" t="n"/>
      <c r="CS91" s="385" t="n"/>
      <c r="CT91" s="386">
        <f>IF(Q90="作業者2",H93-H90,0)</f>
        <v/>
      </c>
      <c r="CU91" s="387" t="n"/>
      <c r="CV91" s="387" t="n"/>
      <c r="CW91" s="387" t="n"/>
      <c r="CX91" s="388" t="n"/>
      <c r="CZ91" s="253" t="inlineStr">
        <is>
          <t>時間内</t>
        </is>
      </c>
      <c r="DA91" s="384" t="n"/>
      <c r="DB91" s="384" t="n"/>
      <c r="DC91" s="385" t="n"/>
      <c r="DD91" s="386">
        <f>IF(Q90="作業者3",H93-H90,0)</f>
        <v/>
      </c>
      <c r="DE91" s="387" t="n"/>
      <c r="DF91" s="387" t="n"/>
      <c r="DG91" s="387" t="n"/>
      <c r="DH91" s="388" t="n"/>
      <c r="DJ91" s="253" t="inlineStr">
        <is>
          <t>時間内</t>
        </is>
      </c>
      <c r="DK91" s="384" t="n"/>
      <c r="DL91" s="384" t="n"/>
      <c r="DM91" s="385" t="n"/>
      <c r="DN91" s="386">
        <f>IF(Q90="作業者4",H93-H90,0)</f>
        <v/>
      </c>
      <c r="DO91" s="387" t="n"/>
      <c r="DP91" s="387" t="n"/>
      <c r="DQ91" s="387" t="n"/>
      <c r="DR91" s="388" t="n"/>
      <c r="DT91" s="253" t="inlineStr">
        <is>
          <t>時間内</t>
        </is>
      </c>
      <c r="DU91" s="384" t="n"/>
      <c r="DV91" s="384" t="n"/>
      <c r="DW91" s="385" t="n"/>
      <c r="DX91" s="386">
        <f>IF(Q90="作業者5",H93-H90,0)</f>
        <v/>
      </c>
      <c r="DY91" s="387" t="n"/>
      <c r="DZ91" s="387" t="n"/>
      <c r="EA91" s="387" t="n"/>
      <c r="EB91" s="388" t="n"/>
    </row>
    <row r="92" ht="9" customHeight="1" s="337">
      <c r="B92" s="350" t="n"/>
      <c r="C92" s="338" t="n"/>
      <c r="D92" s="380" t="n"/>
      <c r="E92" s="23" t="n"/>
      <c r="F92" s="338" t="n"/>
      <c r="G92" s="24" t="n"/>
      <c r="H92" s="23" t="n"/>
      <c r="I92" s="338" t="n"/>
      <c r="J92" s="24" t="n"/>
      <c r="K92" s="23" t="n"/>
      <c r="L92" s="338" t="n"/>
      <c r="M92" s="24" t="n"/>
      <c r="N92" s="23" t="n"/>
      <c r="O92" s="338" t="n"/>
      <c r="P92" s="24" t="n"/>
      <c r="Q92" s="382" t="n"/>
      <c r="R92" s="338" t="n"/>
      <c r="S92" s="380" t="n"/>
      <c r="T92" s="382" t="n"/>
      <c r="U92" s="338" t="n"/>
      <c r="V92" s="380" t="n"/>
      <c r="W92" s="382" t="n"/>
      <c r="X92" s="338" t="n"/>
      <c r="Y92" s="338" t="n"/>
      <c r="Z92" s="338" t="n"/>
      <c r="AA92" s="338" t="n"/>
      <c r="AB92" s="338" t="n"/>
      <c r="AC92" s="338" t="n"/>
      <c r="AD92" s="338" t="n"/>
      <c r="AE92" s="338" t="n"/>
      <c r="AF92" s="338" t="n"/>
      <c r="AG92" s="338" t="n"/>
      <c r="AH92" s="338" t="n"/>
      <c r="AI92" s="338" t="n"/>
      <c r="AJ92" s="338" t="n"/>
      <c r="AK92" s="338" t="n"/>
      <c r="AL92" s="338" t="n"/>
      <c r="AM92" s="338" t="n"/>
      <c r="AN92" s="338" t="n"/>
      <c r="AO92" s="338" t="n"/>
      <c r="AP92" s="338" t="n"/>
      <c r="AQ92" s="338" t="n"/>
      <c r="AR92" s="338" t="n"/>
      <c r="AS92" s="338" t="n"/>
      <c r="AT92" s="338" t="n"/>
      <c r="AU92" s="338" t="n"/>
      <c r="AV92" s="338" t="n"/>
      <c r="AW92" s="338" t="n"/>
      <c r="AX92" s="338" t="n"/>
      <c r="AY92" s="338" t="n"/>
      <c r="AZ92" s="338" t="n"/>
      <c r="BA92" s="338" t="n"/>
      <c r="BB92" s="338" t="n"/>
      <c r="BC92" s="338" t="n"/>
      <c r="BD92" s="338" t="n"/>
      <c r="BE92" s="338" t="n"/>
      <c r="BF92" s="338" t="n"/>
      <c r="BG92" s="338" t="n"/>
      <c r="BH92" s="338" t="n"/>
      <c r="BI92" s="338" t="n"/>
      <c r="BJ92" s="338" t="n"/>
      <c r="BK92" s="338" t="n"/>
      <c r="BL92" s="338" t="n"/>
      <c r="BM92" s="338" t="n"/>
      <c r="BN92" s="338" t="n"/>
      <c r="BO92" s="338" t="n"/>
      <c r="BP92" s="338" t="n"/>
      <c r="BQ92" s="338" t="n"/>
      <c r="BR92" s="338" t="n"/>
      <c r="BS92" s="338" t="n"/>
      <c r="BT92" s="338" t="n"/>
      <c r="BU92" s="338" t="n"/>
      <c r="BV92" s="338" t="n"/>
      <c r="BW92" s="338" t="n"/>
      <c r="BX92" s="338" t="n"/>
      <c r="BY92" s="338" t="n"/>
      <c r="BZ92" s="338" t="n"/>
      <c r="CA92" s="338" t="n"/>
      <c r="CB92" s="338" t="n"/>
      <c r="CC92" s="383" t="n"/>
      <c r="CF92" s="253" t="inlineStr">
        <is>
          <t>時間外</t>
        </is>
      </c>
      <c r="CG92" s="384" t="n"/>
      <c r="CH92" s="384" t="n"/>
      <c r="CI92" s="385" t="n"/>
      <c r="CJ92" s="386">
        <f>IF(Q90="作業者1",K93-K90,0)</f>
        <v/>
      </c>
      <c r="CK92" s="387" t="n"/>
      <c r="CL92" s="387" t="n"/>
      <c r="CM92" s="387" t="n"/>
      <c r="CN92" s="388" t="n"/>
      <c r="CP92" s="253" t="inlineStr">
        <is>
          <t>時間外</t>
        </is>
      </c>
      <c r="CQ92" s="384" t="n"/>
      <c r="CR92" s="384" t="n"/>
      <c r="CS92" s="385" t="n"/>
      <c r="CT92" s="386">
        <f>IF(Q90="作業者2",K93-K90,0)</f>
        <v/>
      </c>
      <c r="CU92" s="387" t="n"/>
      <c r="CV92" s="387" t="n"/>
      <c r="CW92" s="387" t="n"/>
      <c r="CX92" s="388" t="n"/>
      <c r="CZ92" s="253" t="inlineStr">
        <is>
          <t>時間外</t>
        </is>
      </c>
      <c r="DA92" s="384" t="n"/>
      <c r="DB92" s="384" t="n"/>
      <c r="DC92" s="385" t="n"/>
      <c r="DD92" s="386">
        <f>IF(Q90="作業者3",K93-K90,0)</f>
        <v/>
      </c>
      <c r="DE92" s="387" t="n"/>
      <c r="DF92" s="387" t="n"/>
      <c r="DG92" s="387" t="n"/>
      <c r="DH92" s="388" t="n"/>
      <c r="DJ92" s="253" t="inlineStr">
        <is>
          <t>時間外</t>
        </is>
      </c>
      <c r="DK92" s="384" t="n"/>
      <c r="DL92" s="384" t="n"/>
      <c r="DM92" s="385" t="n"/>
      <c r="DN92" s="386">
        <f>IF(Q90="作業者4",K93-K90,0)</f>
        <v/>
      </c>
      <c r="DO92" s="387" t="n"/>
      <c r="DP92" s="387" t="n"/>
      <c r="DQ92" s="387" t="n"/>
      <c r="DR92" s="388" t="n"/>
      <c r="DT92" s="253" t="inlineStr">
        <is>
          <t>時間外</t>
        </is>
      </c>
      <c r="DU92" s="384" t="n"/>
      <c r="DV92" s="384" t="n"/>
      <c r="DW92" s="385" t="n"/>
      <c r="DX92" s="386">
        <f>IF(Q90="作業者5",K93-K90,0)</f>
        <v/>
      </c>
      <c r="DY92" s="387" t="n"/>
      <c r="DZ92" s="387" t="n"/>
      <c r="EA92" s="387" t="n"/>
      <c r="EB92" s="388" t="n"/>
    </row>
    <row r="93" ht="9" customHeight="1" s="337">
      <c r="B93" s="389" t="n"/>
      <c r="C93" s="390" t="n"/>
      <c r="D93" s="391" t="n"/>
      <c r="E93" s="392" t="n"/>
      <c r="F93" s="390" t="n"/>
      <c r="G93" s="391" t="n"/>
      <c r="H93" s="392" t="n"/>
      <c r="I93" s="390" t="n"/>
      <c r="J93" s="391" t="n"/>
      <c r="K93" s="392" t="n"/>
      <c r="L93" s="390" t="n"/>
      <c r="M93" s="391" t="n"/>
      <c r="N93" s="392" t="n"/>
      <c r="O93" s="390" t="n"/>
      <c r="P93" s="391" t="n"/>
      <c r="Q93" s="393" t="n"/>
      <c r="R93" s="390" t="n"/>
      <c r="S93" s="391" t="n"/>
      <c r="T93" s="393" t="n"/>
      <c r="U93" s="390" t="n"/>
      <c r="V93" s="391" t="n"/>
      <c r="W93" s="393" t="n"/>
      <c r="X93" s="390" t="n"/>
      <c r="Y93" s="390" t="n"/>
      <c r="Z93" s="390" t="n"/>
      <c r="AA93" s="390" t="n"/>
      <c r="AB93" s="390" t="n"/>
      <c r="AC93" s="390" t="n"/>
      <c r="AD93" s="390" t="n"/>
      <c r="AE93" s="390" t="n"/>
      <c r="AF93" s="390" t="n"/>
      <c r="AG93" s="390" t="n"/>
      <c r="AH93" s="390" t="n"/>
      <c r="AI93" s="390" t="n"/>
      <c r="AJ93" s="390" t="n"/>
      <c r="AK93" s="390" t="n"/>
      <c r="AL93" s="390" t="n"/>
      <c r="AM93" s="390" t="n"/>
      <c r="AN93" s="390" t="n"/>
      <c r="AO93" s="390" t="n"/>
      <c r="AP93" s="390" t="n"/>
      <c r="AQ93" s="390" t="n"/>
      <c r="AR93" s="390" t="n"/>
      <c r="AS93" s="390" t="n"/>
      <c r="AT93" s="390" t="n"/>
      <c r="AU93" s="390" t="n"/>
      <c r="AV93" s="390" t="n"/>
      <c r="AW93" s="390" t="n"/>
      <c r="AX93" s="390" t="n"/>
      <c r="AY93" s="390" t="n"/>
      <c r="AZ93" s="390" t="n"/>
      <c r="BA93" s="390" t="n"/>
      <c r="BB93" s="390" t="n"/>
      <c r="BC93" s="390" t="n"/>
      <c r="BD93" s="390" t="n"/>
      <c r="BE93" s="390" t="n"/>
      <c r="BF93" s="390" t="n"/>
      <c r="BG93" s="390" t="n"/>
      <c r="BH93" s="390" t="n"/>
      <c r="BI93" s="390" t="n"/>
      <c r="BJ93" s="390" t="n"/>
      <c r="BK93" s="390" t="n"/>
      <c r="BL93" s="390" t="n"/>
      <c r="BM93" s="390" t="n"/>
      <c r="BN93" s="390" t="n"/>
      <c r="BO93" s="390" t="n"/>
      <c r="BP93" s="390" t="n"/>
      <c r="BQ93" s="390" t="n"/>
      <c r="BR93" s="390" t="n"/>
      <c r="BS93" s="390" t="n"/>
      <c r="BT93" s="390" t="n"/>
      <c r="BU93" s="390" t="n"/>
      <c r="BV93" s="390" t="n"/>
      <c r="BW93" s="390" t="n"/>
      <c r="BX93" s="390" t="n"/>
      <c r="BY93" s="390" t="n"/>
      <c r="BZ93" s="390" t="n"/>
      <c r="CA93" s="390" t="n"/>
      <c r="CB93" s="390" t="n"/>
      <c r="CC93" s="394" t="n"/>
      <c r="CF93" s="254" t="inlineStr">
        <is>
          <t>休日</t>
        </is>
      </c>
      <c r="CG93" s="395" t="n"/>
      <c r="CH93" s="395" t="n"/>
      <c r="CI93" s="396" t="n"/>
      <c r="CJ93" s="397">
        <f>IF(Q90="作業者1",N93-N90,0)</f>
        <v/>
      </c>
      <c r="CK93" s="395" t="n"/>
      <c r="CL93" s="395" t="n"/>
      <c r="CM93" s="395" t="n"/>
      <c r="CN93" s="396" t="n"/>
      <c r="CP93" s="254" t="inlineStr">
        <is>
          <t>休日</t>
        </is>
      </c>
      <c r="CQ93" s="395" t="n"/>
      <c r="CR93" s="395" t="n"/>
      <c r="CS93" s="396" t="n"/>
      <c r="CT93" s="397">
        <f>IF(Q90="作業者2",N93-N90,0)</f>
        <v/>
      </c>
      <c r="CU93" s="395" t="n"/>
      <c r="CV93" s="395" t="n"/>
      <c r="CW93" s="395" t="n"/>
      <c r="CX93" s="396" t="n"/>
      <c r="CZ93" s="254" t="inlineStr">
        <is>
          <t>休日</t>
        </is>
      </c>
      <c r="DA93" s="395" t="n"/>
      <c r="DB93" s="395" t="n"/>
      <c r="DC93" s="396" t="n"/>
      <c r="DD93" s="397">
        <f>IF(Q90="作業者3",N93-N90,0)</f>
        <v/>
      </c>
      <c r="DE93" s="395" t="n"/>
      <c r="DF93" s="395" t="n"/>
      <c r="DG93" s="395" t="n"/>
      <c r="DH93" s="396" t="n"/>
      <c r="DJ93" s="254" t="inlineStr">
        <is>
          <t>休日</t>
        </is>
      </c>
      <c r="DK93" s="395" t="n"/>
      <c r="DL93" s="395" t="n"/>
      <c r="DM93" s="396" t="n"/>
      <c r="DN93" s="397">
        <f>IF(Q90="作業者4",N93-N90,0)</f>
        <v/>
      </c>
      <c r="DO93" s="395" t="n"/>
      <c r="DP93" s="395" t="n"/>
      <c r="DQ93" s="395" t="n"/>
      <c r="DR93" s="396" t="n"/>
      <c r="DT93" s="254" t="inlineStr">
        <is>
          <t>休日</t>
        </is>
      </c>
      <c r="DU93" s="395" t="n"/>
      <c r="DV93" s="395" t="n"/>
      <c r="DW93" s="396" t="n"/>
      <c r="DX93" s="397">
        <f>IF(Q90="作業者5",N93-N90,0)</f>
        <v/>
      </c>
      <c r="DY93" s="395" t="n"/>
      <c r="DZ93" s="395" t="n"/>
      <c r="EA93" s="395" t="n"/>
      <c r="EB93" s="396" t="n"/>
    </row>
    <row r="94" ht="9" customHeight="1" s="337">
      <c r="B94" s="398" t="n"/>
      <c r="C94" s="372" t="n"/>
      <c r="D94" s="373" t="n"/>
      <c r="E94" s="399" t="n"/>
      <c r="F94" s="372" t="n"/>
      <c r="G94" s="373" t="n"/>
      <c r="H94" s="399" t="n"/>
      <c r="I94" s="372" t="n"/>
      <c r="J94" s="373" t="n"/>
      <c r="K94" s="399" t="n"/>
      <c r="L94" s="372" t="n"/>
      <c r="M94" s="373" t="n"/>
      <c r="N94" s="399" t="n"/>
      <c r="O94" s="372" t="n"/>
      <c r="P94" s="373" t="n"/>
      <c r="Q94" s="371" t="n"/>
      <c r="R94" s="372" t="n"/>
      <c r="S94" s="373" t="n"/>
      <c r="T94" s="371" t="n"/>
      <c r="U94" s="372" t="n"/>
      <c r="V94" s="373" t="n"/>
      <c r="W94" s="401" t="n"/>
      <c r="X94" s="372" t="n"/>
      <c r="Y94" s="372" t="n"/>
      <c r="Z94" s="372" t="n"/>
      <c r="AA94" s="372" t="n"/>
      <c r="AB94" s="372" t="n"/>
      <c r="AC94" s="372" t="n"/>
      <c r="AD94" s="372" t="n"/>
      <c r="AE94" s="372" t="n"/>
      <c r="AF94" s="372" t="n"/>
      <c r="AG94" s="372" t="n"/>
      <c r="AH94" s="372" t="n"/>
      <c r="AI94" s="372" t="n"/>
      <c r="AJ94" s="372" t="n"/>
      <c r="AK94" s="372" t="n"/>
      <c r="AL94" s="372" t="n"/>
      <c r="AM94" s="372" t="n"/>
      <c r="AN94" s="372" t="n"/>
      <c r="AO94" s="372" t="n"/>
      <c r="AP94" s="372" t="n"/>
      <c r="AQ94" s="372" t="n"/>
      <c r="AR94" s="372" t="n"/>
      <c r="AS94" s="372" t="n"/>
      <c r="AT94" s="372" t="n"/>
      <c r="AU94" s="372" t="n"/>
      <c r="AV94" s="372" t="n"/>
      <c r="AW94" s="372" t="n"/>
      <c r="AX94" s="372" t="n"/>
      <c r="AY94" s="372" t="n"/>
      <c r="AZ94" s="372" t="n"/>
      <c r="BA94" s="372" t="n"/>
      <c r="BB94" s="372" t="n"/>
      <c r="BC94" s="372" t="n"/>
      <c r="BD94" s="372" t="n"/>
      <c r="BE94" s="372" t="n"/>
      <c r="BF94" s="372" t="n"/>
      <c r="BG94" s="372" t="n"/>
      <c r="BH94" s="372" t="n"/>
      <c r="BI94" s="372" t="n"/>
      <c r="BJ94" s="372" t="n"/>
      <c r="BK94" s="372" t="n"/>
      <c r="BL94" s="372" t="n"/>
      <c r="BM94" s="372" t="n"/>
      <c r="BN94" s="372" t="n"/>
      <c r="BO94" s="372" t="n"/>
      <c r="BP94" s="372" t="n"/>
      <c r="BQ94" s="372" t="n"/>
      <c r="BR94" s="372" t="n"/>
      <c r="BS94" s="372" t="n"/>
      <c r="BT94" s="372" t="n"/>
      <c r="BU94" s="372" t="n"/>
      <c r="BV94" s="372" t="n"/>
      <c r="BW94" s="372" t="n"/>
      <c r="BX94" s="372" t="n"/>
      <c r="BY94" s="372" t="n"/>
      <c r="BZ94" s="372" t="n"/>
      <c r="CA94" s="372" t="n"/>
      <c r="CB94" s="372" t="n"/>
      <c r="CC94" s="402" t="n"/>
      <c r="CF94" s="248" t="inlineStr">
        <is>
          <t>移動</t>
        </is>
      </c>
      <c r="CG94" s="377" t="n"/>
      <c r="CH94" s="377" t="n"/>
      <c r="CI94" s="378" t="n"/>
      <c r="CJ94" s="379">
        <f>IF(Q94="作業者1",E97-E94,0)</f>
        <v/>
      </c>
      <c r="CK94" s="377" t="n"/>
      <c r="CL94" s="377" t="n"/>
      <c r="CM94" s="377" t="n"/>
      <c r="CN94" s="378" t="n"/>
      <c r="CP94" s="248" t="inlineStr">
        <is>
          <t>移動</t>
        </is>
      </c>
      <c r="CQ94" s="377" t="n"/>
      <c r="CR94" s="377" t="n"/>
      <c r="CS94" s="378" t="n"/>
      <c r="CT94" s="379">
        <f>IF(Q94="作業者2",E97-E94,0)</f>
        <v/>
      </c>
      <c r="CU94" s="377" t="n"/>
      <c r="CV94" s="377" t="n"/>
      <c r="CW94" s="377" t="n"/>
      <c r="CX94" s="378" t="n"/>
      <c r="CZ94" s="248" t="inlineStr">
        <is>
          <t>移動</t>
        </is>
      </c>
      <c r="DA94" s="377" t="n"/>
      <c r="DB94" s="377" t="n"/>
      <c r="DC94" s="378" t="n"/>
      <c r="DD94" s="379">
        <f>IF(Q94="作業者3",E97-E94,0)</f>
        <v/>
      </c>
      <c r="DE94" s="377" t="n"/>
      <c r="DF94" s="377" t="n"/>
      <c r="DG94" s="377" t="n"/>
      <c r="DH94" s="378" t="n"/>
      <c r="DJ94" s="259" t="inlineStr">
        <is>
          <t>移動</t>
        </is>
      </c>
      <c r="DK94" s="403" t="n"/>
      <c r="DL94" s="403" t="n"/>
      <c r="DM94" s="404" t="n"/>
      <c r="DN94" s="379">
        <f>IF(Q94="作業者4",E97-E94,0)</f>
        <v/>
      </c>
      <c r="DO94" s="377" t="n"/>
      <c r="DP94" s="377" t="n"/>
      <c r="DQ94" s="377" t="n"/>
      <c r="DR94" s="378" t="n"/>
      <c r="DT94" s="259" t="inlineStr">
        <is>
          <t>移動</t>
        </is>
      </c>
      <c r="DU94" s="403" t="n"/>
      <c r="DV94" s="403" t="n"/>
      <c r="DW94" s="404" t="n"/>
      <c r="DX94" s="379">
        <f>IF(Q94="作業者5",E97-E94,0)</f>
        <v/>
      </c>
      <c r="DY94" s="377" t="n"/>
      <c r="DZ94" s="377" t="n"/>
      <c r="EA94" s="377" t="n"/>
      <c r="EB94" s="378" t="n"/>
    </row>
    <row r="95" ht="9" customHeight="1" s="337">
      <c r="B95" s="350" t="n"/>
      <c r="C95" s="338" t="n"/>
      <c r="D95" s="380" t="n"/>
      <c r="E95" s="381" t="n"/>
      <c r="F95" s="122" t="inlineStr">
        <is>
          <t>～</t>
        </is>
      </c>
      <c r="G95" s="22" t="n"/>
      <c r="H95" s="381" t="n"/>
      <c r="I95" s="122" t="inlineStr">
        <is>
          <t>～</t>
        </is>
      </c>
      <c r="J95" s="22" t="n"/>
      <c r="K95" s="381" t="n"/>
      <c r="L95" s="122" t="inlineStr">
        <is>
          <t>～</t>
        </is>
      </c>
      <c r="M95" s="22" t="n"/>
      <c r="N95" s="381" t="n"/>
      <c r="O95" s="122" t="inlineStr">
        <is>
          <t>～</t>
        </is>
      </c>
      <c r="P95" s="22" t="n"/>
      <c r="Q95" s="382" t="n"/>
      <c r="R95" s="338" t="n"/>
      <c r="S95" s="380" t="n"/>
      <c r="T95" s="382" t="n"/>
      <c r="U95" s="338" t="n"/>
      <c r="V95" s="380" t="n"/>
      <c r="W95" s="382" t="n"/>
      <c r="X95" s="338" t="n"/>
      <c r="Y95" s="338" t="n"/>
      <c r="Z95" s="338" t="n"/>
      <c r="AA95" s="338" t="n"/>
      <c r="AB95" s="338" t="n"/>
      <c r="AC95" s="338" t="n"/>
      <c r="AD95" s="338" t="n"/>
      <c r="AE95" s="338" t="n"/>
      <c r="AF95" s="338" t="n"/>
      <c r="AG95" s="338" t="n"/>
      <c r="AH95" s="338" t="n"/>
      <c r="AI95" s="338" t="n"/>
      <c r="AJ95" s="338" t="n"/>
      <c r="AK95" s="338" t="n"/>
      <c r="AL95" s="338" t="n"/>
      <c r="AM95" s="338" t="n"/>
      <c r="AN95" s="338" t="n"/>
      <c r="AO95" s="338" t="n"/>
      <c r="AP95" s="338" t="n"/>
      <c r="AQ95" s="338" t="n"/>
      <c r="AR95" s="338" t="n"/>
      <c r="AS95" s="338" t="n"/>
      <c r="AT95" s="338" t="n"/>
      <c r="AU95" s="338" t="n"/>
      <c r="AV95" s="338" t="n"/>
      <c r="AW95" s="338" t="n"/>
      <c r="AX95" s="338" t="n"/>
      <c r="AY95" s="338" t="n"/>
      <c r="AZ95" s="338" t="n"/>
      <c r="BA95" s="338" t="n"/>
      <c r="BB95" s="338" t="n"/>
      <c r="BC95" s="338" t="n"/>
      <c r="BD95" s="338" t="n"/>
      <c r="BE95" s="338" t="n"/>
      <c r="BF95" s="338" t="n"/>
      <c r="BG95" s="338" t="n"/>
      <c r="BH95" s="338" t="n"/>
      <c r="BI95" s="338" t="n"/>
      <c r="BJ95" s="338" t="n"/>
      <c r="BK95" s="338" t="n"/>
      <c r="BL95" s="338" t="n"/>
      <c r="BM95" s="338" t="n"/>
      <c r="BN95" s="338" t="n"/>
      <c r="BO95" s="338" t="n"/>
      <c r="BP95" s="338" t="n"/>
      <c r="BQ95" s="338" t="n"/>
      <c r="BR95" s="338" t="n"/>
      <c r="BS95" s="338" t="n"/>
      <c r="BT95" s="338" t="n"/>
      <c r="BU95" s="338" t="n"/>
      <c r="BV95" s="338" t="n"/>
      <c r="BW95" s="338" t="n"/>
      <c r="BX95" s="338" t="n"/>
      <c r="BY95" s="338" t="n"/>
      <c r="BZ95" s="338" t="n"/>
      <c r="CA95" s="338" t="n"/>
      <c r="CB95" s="338" t="n"/>
      <c r="CC95" s="383" t="n"/>
      <c r="CF95" s="253" t="inlineStr">
        <is>
          <t>時間内</t>
        </is>
      </c>
      <c r="CG95" s="384" t="n"/>
      <c r="CH95" s="384" t="n"/>
      <c r="CI95" s="385" t="n"/>
      <c r="CJ95" s="386">
        <f>IF(Q94="作業者1",H97-H94,0)</f>
        <v/>
      </c>
      <c r="CK95" s="387" t="n"/>
      <c r="CL95" s="387" t="n"/>
      <c r="CM95" s="387" t="n"/>
      <c r="CN95" s="388" t="n"/>
      <c r="CP95" s="253" t="inlineStr">
        <is>
          <t>時間内</t>
        </is>
      </c>
      <c r="CQ95" s="384" t="n"/>
      <c r="CR95" s="384" t="n"/>
      <c r="CS95" s="385" t="n"/>
      <c r="CT95" s="386">
        <f>IF(Q94="作業者2",H97-H94,0)</f>
        <v/>
      </c>
      <c r="CU95" s="387" t="n"/>
      <c r="CV95" s="387" t="n"/>
      <c r="CW95" s="387" t="n"/>
      <c r="CX95" s="388" t="n"/>
      <c r="CZ95" s="253" t="inlineStr">
        <is>
          <t>時間内</t>
        </is>
      </c>
      <c r="DA95" s="384" t="n"/>
      <c r="DB95" s="384" t="n"/>
      <c r="DC95" s="385" t="n"/>
      <c r="DD95" s="386">
        <f>IF(Q94="作業者3",H97-H94,0)</f>
        <v/>
      </c>
      <c r="DE95" s="387" t="n"/>
      <c r="DF95" s="387" t="n"/>
      <c r="DG95" s="387" t="n"/>
      <c r="DH95" s="388" t="n"/>
      <c r="DJ95" s="253" t="inlineStr">
        <is>
          <t>時間内</t>
        </is>
      </c>
      <c r="DK95" s="384" t="n"/>
      <c r="DL95" s="384" t="n"/>
      <c r="DM95" s="385" t="n"/>
      <c r="DN95" s="386">
        <f>IF(Q94="作業者4",H97-H94,0)</f>
        <v/>
      </c>
      <c r="DO95" s="387" t="n"/>
      <c r="DP95" s="387" t="n"/>
      <c r="DQ95" s="387" t="n"/>
      <c r="DR95" s="388" t="n"/>
      <c r="DT95" s="253" t="inlineStr">
        <is>
          <t>時間内</t>
        </is>
      </c>
      <c r="DU95" s="384" t="n"/>
      <c r="DV95" s="384" t="n"/>
      <c r="DW95" s="385" t="n"/>
      <c r="DX95" s="386">
        <f>IF(Q94="作業者5",H97-H94,0)</f>
        <v/>
      </c>
      <c r="DY95" s="387" t="n"/>
      <c r="DZ95" s="387" t="n"/>
      <c r="EA95" s="387" t="n"/>
      <c r="EB95" s="388" t="n"/>
    </row>
    <row r="96" ht="9" customHeight="1" s="337">
      <c r="B96" s="350" t="n"/>
      <c r="C96" s="338" t="n"/>
      <c r="D96" s="380" t="n"/>
      <c r="E96" s="23" t="n"/>
      <c r="F96" s="338" t="n"/>
      <c r="G96" s="24" t="n"/>
      <c r="H96" s="23" t="n"/>
      <c r="I96" s="338" t="n"/>
      <c r="J96" s="24" t="n"/>
      <c r="K96" s="23" t="n"/>
      <c r="L96" s="338" t="n"/>
      <c r="M96" s="24" t="n"/>
      <c r="N96" s="23" t="n"/>
      <c r="O96" s="338" t="n"/>
      <c r="P96" s="24" t="n"/>
      <c r="Q96" s="382" t="n"/>
      <c r="R96" s="338" t="n"/>
      <c r="S96" s="380" t="n"/>
      <c r="T96" s="382" t="n"/>
      <c r="U96" s="338" t="n"/>
      <c r="V96" s="380" t="n"/>
      <c r="W96" s="382" t="n"/>
      <c r="X96" s="338" t="n"/>
      <c r="Y96" s="338" t="n"/>
      <c r="Z96" s="338" t="n"/>
      <c r="AA96" s="338" t="n"/>
      <c r="AB96" s="338" t="n"/>
      <c r="AC96" s="338" t="n"/>
      <c r="AD96" s="338" t="n"/>
      <c r="AE96" s="338" t="n"/>
      <c r="AF96" s="338" t="n"/>
      <c r="AG96" s="338" t="n"/>
      <c r="AH96" s="338" t="n"/>
      <c r="AI96" s="338" t="n"/>
      <c r="AJ96" s="338" t="n"/>
      <c r="AK96" s="338" t="n"/>
      <c r="AL96" s="338" t="n"/>
      <c r="AM96" s="338" t="n"/>
      <c r="AN96" s="338" t="n"/>
      <c r="AO96" s="338" t="n"/>
      <c r="AP96" s="338" t="n"/>
      <c r="AQ96" s="338" t="n"/>
      <c r="AR96" s="338" t="n"/>
      <c r="AS96" s="338" t="n"/>
      <c r="AT96" s="338" t="n"/>
      <c r="AU96" s="338" t="n"/>
      <c r="AV96" s="338" t="n"/>
      <c r="AW96" s="338" t="n"/>
      <c r="AX96" s="338" t="n"/>
      <c r="AY96" s="338" t="n"/>
      <c r="AZ96" s="338" t="n"/>
      <c r="BA96" s="338" t="n"/>
      <c r="BB96" s="338" t="n"/>
      <c r="BC96" s="338" t="n"/>
      <c r="BD96" s="338" t="n"/>
      <c r="BE96" s="338" t="n"/>
      <c r="BF96" s="338" t="n"/>
      <c r="BG96" s="338" t="n"/>
      <c r="BH96" s="338" t="n"/>
      <c r="BI96" s="338" t="n"/>
      <c r="BJ96" s="338" t="n"/>
      <c r="BK96" s="338" t="n"/>
      <c r="BL96" s="338" t="n"/>
      <c r="BM96" s="338" t="n"/>
      <c r="BN96" s="338" t="n"/>
      <c r="BO96" s="338" t="n"/>
      <c r="BP96" s="338" t="n"/>
      <c r="BQ96" s="338" t="n"/>
      <c r="BR96" s="338" t="n"/>
      <c r="BS96" s="338" t="n"/>
      <c r="BT96" s="338" t="n"/>
      <c r="BU96" s="338" t="n"/>
      <c r="BV96" s="338" t="n"/>
      <c r="BW96" s="338" t="n"/>
      <c r="BX96" s="338" t="n"/>
      <c r="BY96" s="338" t="n"/>
      <c r="BZ96" s="338" t="n"/>
      <c r="CA96" s="338" t="n"/>
      <c r="CB96" s="338" t="n"/>
      <c r="CC96" s="383" t="n"/>
      <c r="CF96" s="253" t="inlineStr">
        <is>
          <t>時間外</t>
        </is>
      </c>
      <c r="CG96" s="384" t="n"/>
      <c r="CH96" s="384" t="n"/>
      <c r="CI96" s="385" t="n"/>
      <c r="CJ96" s="386">
        <f>IF(Q94="作業者1",K97-K94,0)</f>
        <v/>
      </c>
      <c r="CK96" s="387" t="n"/>
      <c r="CL96" s="387" t="n"/>
      <c r="CM96" s="387" t="n"/>
      <c r="CN96" s="388" t="n"/>
      <c r="CP96" s="253" t="inlineStr">
        <is>
          <t>時間外</t>
        </is>
      </c>
      <c r="CQ96" s="384" t="n"/>
      <c r="CR96" s="384" t="n"/>
      <c r="CS96" s="385" t="n"/>
      <c r="CT96" s="386">
        <f>IF(Q94="作業者2",K97-K94,0)</f>
        <v/>
      </c>
      <c r="CU96" s="387" t="n"/>
      <c r="CV96" s="387" t="n"/>
      <c r="CW96" s="387" t="n"/>
      <c r="CX96" s="388" t="n"/>
      <c r="CZ96" s="253" t="inlineStr">
        <is>
          <t>時間外</t>
        </is>
      </c>
      <c r="DA96" s="384" t="n"/>
      <c r="DB96" s="384" t="n"/>
      <c r="DC96" s="385" t="n"/>
      <c r="DD96" s="386">
        <f>IF(Q94="作業者3",K97-K94,0)</f>
        <v/>
      </c>
      <c r="DE96" s="387" t="n"/>
      <c r="DF96" s="387" t="n"/>
      <c r="DG96" s="387" t="n"/>
      <c r="DH96" s="388" t="n"/>
      <c r="DJ96" s="253" t="inlineStr">
        <is>
          <t>時間外</t>
        </is>
      </c>
      <c r="DK96" s="384" t="n"/>
      <c r="DL96" s="384" t="n"/>
      <c r="DM96" s="385" t="n"/>
      <c r="DN96" s="386">
        <f>IF(Q94="作業者4",K97-K94,0)</f>
        <v/>
      </c>
      <c r="DO96" s="387" t="n"/>
      <c r="DP96" s="387" t="n"/>
      <c r="DQ96" s="387" t="n"/>
      <c r="DR96" s="388" t="n"/>
      <c r="DT96" s="253" t="inlineStr">
        <is>
          <t>時間外</t>
        </is>
      </c>
      <c r="DU96" s="384" t="n"/>
      <c r="DV96" s="384" t="n"/>
      <c r="DW96" s="385" t="n"/>
      <c r="DX96" s="386">
        <f>IF(Q94="作業者5",K97-K94,0)</f>
        <v/>
      </c>
      <c r="DY96" s="387" t="n"/>
      <c r="DZ96" s="387" t="n"/>
      <c r="EA96" s="387" t="n"/>
      <c r="EB96" s="388" t="n"/>
    </row>
    <row r="97" ht="9" customHeight="1" s="337">
      <c r="B97" s="389" t="n"/>
      <c r="C97" s="390" t="n"/>
      <c r="D97" s="391" t="n"/>
      <c r="E97" s="392" t="n"/>
      <c r="F97" s="390" t="n"/>
      <c r="G97" s="391" t="n"/>
      <c r="H97" s="392" t="n"/>
      <c r="I97" s="390" t="n"/>
      <c r="J97" s="391" t="n"/>
      <c r="K97" s="392" t="n"/>
      <c r="L97" s="390" t="n"/>
      <c r="M97" s="391" t="n"/>
      <c r="N97" s="392" t="n"/>
      <c r="O97" s="390" t="n"/>
      <c r="P97" s="391" t="n"/>
      <c r="Q97" s="393" t="n"/>
      <c r="R97" s="390" t="n"/>
      <c r="S97" s="391" t="n"/>
      <c r="T97" s="393" t="n"/>
      <c r="U97" s="390" t="n"/>
      <c r="V97" s="391" t="n"/>
      <c r="W97" s="393" t="n"/>
      <c r="X97" s="390" t="n"/>
      <c r="Y97" s="390" t="n"/>
      <c r="Z97" s="390" t="n"/>
      <c r="AA97" s="390" t="n"/>
      <c r="AB97" s="390" t="n"/>
      <c r="AC97" s="390" t="n"/>
      <c r="AD97" s="390" t="n"/>
      <c r="AE97" s="390" t="n"/>
      <c r="AF97" s="390" t="n"/>
      <c r="AG97" s="390" t="n"/>
      <c r="AH97" s="390" t="n"/>
      <c r="AI97" s="390" t="n"/>
      <c r="AJ97" s="390" t="n"/>
      <c r="AK97" s="390" t="n"/>
      <c r="AL97" s="390" t="n"/>
      <c r="AM97" s="390" t="n"/>
      <c r="AN97" s="390" t="n"/>
      <c r="AO97" s="390" t="n"/>
      <c r="AP97" s="390" t="n"/>
      <c r="AQ97" s="390" t="n"/>
      <c r="AR97" s="390" t="n"/>
      <c r="AS97" s="390" t="n"/>
      <c r="AT97" s="390" t="n"/>
      <c r="AU97" s="390" t="n"/>
      <c r="AV97" s="390" t="n"/>
      <c r="AW97" s="390" t="n"/>
      <c r="AX97" s="390" t="n"/>
      <c r="AY97" s="390" t="n"/>
      <c r="AZ97" s="390" t="n"/>
      <c r="BA97" s="390" t="n"/>
      <c r="BB97" s="390" t="n"/>
      <c r="BC97" s="390" t="n"/>
      <c r="BD97" s="390" t="n"/>
      <c r="BE97" s="390" t="n"/>
      <c r="BF97" s="390" t="n"/>
      <c r="BG97" s="390" t="n"/>
      <c r="BH97" s="390" t="n"/>
      <c r="BI97" s="390" t="n"/>
      <c r="BJ97" s="390" t="n"/>
      <c r="BK97" s="390" t="n"/>
      <c r="BL97" s="390" t="n"/>
      <c r="BM97" s="390" t="n"/>
      <c r="BN97" s="390" t="n"/>
      <c r="BO97" s="390" t="n"/>
      <c r="BP97" s="390" t="n"/>
      <c r="BQ97" s="390" t="n"/>
      <c r="BR97" s="390" t="n"/>
      <c r="BS97" s="390" t="n"/>
      <c r="BT97" s="390" t="n"/>
      <c r="BU97" s="390" t="n"/>
      <c r="BV97" s="390" t="n"/>
      <c r="BW97" s="390" t="n"/>
      <c r="BX97" s="390" t="n"/>
      <c r="BY97" s="390" t="n"/>
      <c r="BZ97" s="390" t="n"/>
      <c r="CA97" s="390" t="n"/>
      <c r="CB97" s="390" t="n"/>
      <c r="CC97" s="394" t="n"/>
      <c r="CF97" s="254" t="inlineStr">
        <is>
          <t>休日</t>
        </is>
      </c>
      <c r="CG97" s="395" t="n"/>
      <c r="CH97" s="395" t="n"/>
      <c r="CI97" s="396" t="n"/>
      <c r="CJ97" s="386">
        <f>IF(Q94="作業者1",N97-N94,0)</f>
        <v/>
      </c>
      <c r="CK97" s="387" t="n"/>
      <c r="CL97" s="387" t="n"/>
      <c r="CM97" s="387" t="n"/>
      <c r="CN97" s="388" t="n"/>
      <c r="CP97" s="253" t="inlineStr">
        <is>
          <t>休日</t>
        </is>
      </c>
      <c r="CQ97" s="384" t="n"/>
      <c r="CR97" s="384" t="n"/>
      <c r="CS97" s="385" t="n"/>
      <c r="CT97" s="386">
        <f>IF(Q94="作業者2",N97-N94,0)</f>
        <v/>
      </c>
      <c r="CU97" s="387" t="n"/>
      <c r="CV97" s="387" t="n"/>
      <c r="CW97" s="387" t="n"/>
      <c r="CX97" s="388" t="n"/>
      <c r="CZ97" s="254" t="inlineStr">
        <is>
          <t>休日</t>
        </is>
      </c>
      <c r="DA97" s="395" t="n"/>
      <c r="DB97" s="395" t="n"/>
      <c r="DC97" s="396" t="n"/>
      <c r="DD97" s="397">
        <f>IF(Q94="作業者3",N97-N94,0)</f>
        <v/>
      </c>
      <c r="DE97" s="395" t="n"/>
      <c r="DF97" s="395" t="n"/>
      <c r="DG97" s="395" t="n"/>
      <c r="DH97" s="396" t="n"/>
      <c r="DJ97" s="254" t="inlineStr">
        <is>
          <t>休日</t>
        </is>
      </c>
      <c r="DK97" s="395" t="n"/>
      <c r="DL97" s="395" t="n"/>
      <c r="DM97" s="396" t="n"/>
      <c r="DN97" s="397">
        <f>IF(Q94="作業者4",N97-N94,0)</f>
        <v/>
      </c>
      <c r="DO97" s="395" t="n"/>
      <c r="DP97" s="395" t="n"/>
      <c r="DQ97" s="395" t="n"/>
      <c r="DR97" s="396" t="n"/>
      <c r="DT97" s="254" t="inlineStr">
        <is>
          <t>休日</t>
        </is>
      </c>
      <c r="DU97" s="395" t="n"/>
      <c r="DV97" s="395" t="n"/>
      <c r="DW97" s="396" t="n"/>
      <c r="DX97" s="397">
        <f>IF(Q94="作業者5",N97-N94,0)</f>
        <v/>
      </c>
      <c r="DY97" s="395" t="n"/>
      <c r="DZ97" s="395" t="n"/>
      <c r="EA97" s="395" t="n"/>
      <c r="EB97" s="396" t="n"/>
    </row>
    <row r="98" ht="9" customHeight="1" s="337">
      <c r="B98" s="398" t="n"/>
      <c r="C98" s="372" t="n"/>
      <c r="D98" s="373" t="n"/>
      <c r="E98" s="399" t="n"/>
      <c r="F98" s="372" t="n"/>
      <c r="G98" s="373" t="n"/>
      <c r="H98" s="399" t="n"/>
      <c r="I98" s="372" t="n"/>
      <c r="J98" s="373" t="n"/>
      <c r="K98" s="399" t="n"/>
      <c r="L98" s="372" t="n"/>
      <c r="M98" s="373" t="n"/>
      <c r="N98" s="399" t="n"/>
      <c r="O98" s="372" t="n"/>
      <c r="P98" s="373" t="n"/>
      <c r="Q98" s="371" t="n"/>
      <c r="R98" s="372" t="n"/>
      <c r="S98" s="373" t="n"/>
      <c r="T98" s="371" t="n"/>
      <c r="U98" s="372" t="n"/>
      <c r="V98" s="373" t="n"/>
      <c r="W98" s="401" t="n"/>
      <c r="X98" s="372" t="n"/>
      <c r="Y98" s="372" t="n"/>
      <c r="Z98" s="372" t="n"/>
      <c r="AA98" s="372" t="n"/>
      <c r="AB98" s="372" t="n"/>
      <c r="AC98" s="372" t="n"/>
      <c r="AD98" s="372" t="n"/>
      <c r="AE98" s="372" t="n"/>
      <c r="AF98" s="372" t="n"/>
      <c r="AG98" s="372" t="n"/>
      <c r="AH98" s="372" t="n"/>
      <c r="AI98" s="372" t="n"/>
      <c r="AJ98" s="372" t="n"/>
      <c r="AK98" s="372" t="n"/>
      <c r="AL98" s="372" t="n"/>
      <c r="AM98" s="372" t="n"/>
      <c r="AN98" s="372" t="n"/>
      <c r="AO98" s="372" t="n"/>
      <c r="AP98" s="372" t="n"/>
      <c r="AQ98" s="372" t="n"/>
      <c r="AR98" s="372" t="n"/>
      <c r="AS98" s="372" t="n"/>
      <c r="AT98" s="372" t="n"/>
      <c r="AU98" s="372" t="n"/>
      <c r="AV98" s="372" t="n"/>
      <c r="AW98" s="372" t="n"/>
      <c r="AX98" s="372" t="n"/>
      <c r="AY98" s="372" t="n"/>
      <c r="AZ98" s="372" t="n"/>
      <c r="BA98" s="372" t="n"/>
      <c r="BB98" s="372" t="n"/>
      <c r="BC98" s="372" t="n"/>
      <c r="BD98" s="372" t="n"/>
      <c r="BE98" s="372" t="n"/>
      <c r="BF98" s="372" t="n"/>
      <c r="BG98" s="372" t="n"/>
      <c r="BH98" s="372" t="n"/>
      <c r="BI98" s="372" t="n"/>
      <c r="BJ98" s="372" t="n"/>
      <c r="BK98" s="372" t="n"/>
      <c r="BL98" s="372" t="n"/>
      <c r="BM98" s="372" t="n"/>
      <c r="BN98" s="372" t="n"/>
      <c r="BO98" s="372" t="n"/>
      <c r="BP98" s="372" t="n"/>
      <c r="BQ98" s="372" t="n"/>
      <c r="BR98" s="372" t="n"/>
      <c r="BS98" s="372" t="n"/>
      <c r="BT98" s="372" t="n"/>
      <c r="BU98" s="372" t="n"/>
      <c r="BV98" s="372" t="n"/>
      <c r="BW98" s="372" t="n"/>
      <c r="BX98" s="372" t="n"/>
      <c r="BY98" s="372" t="n"/>
      <c r="BZ98" s="372" t="n"/>
      <c r="CA98" s="372" t="n"/>
      <c r="CB98" s="372" t="n"/>
      <c r="CC98" s="402" t="n"/>
      <c r="CF98" s="259" t="inlineStr">
        <is>
          <t>移動</t>
        </is>
      </c>
      <c r="CG98" s="403" t="n"/>
      <c r="CH98" s="403" t="n"/>
      <c r="CI98" s="404" t="n"/>
      <c r="CJ98" s="379">
        <f>IF(Q98="作業者1",E101-E98,0)</f>
        <v/>
      </c>
      <c r="CK98" s="377" t="n"/>
      <c r="CL98" s="377" t="n"/>
      <c r="CM98" s="377" t="n"/>
      <c r="CN98" s="378" t="n"/>
      <c r="CP98" s="248" t="inlineStr">
        <is>
          <t>移動</t>
        </is>
      </c>
      <c r="CQ98" s="377" t="n"/>
      <c r="CR98" s="377" t="n"/>
      <c r="CS98" s="378" t="n"/>
      <c r="CT98" s="379">
        <f>IF(Q98="作業者2",E101-E98,0)</f>
        <v/>
      </c>
      <c r="CU98" s="377" t="n"/>
      <c r="CV98" s="377" t="n"/>
      <c r="CW98" s="377" t="n"/>
      <c r="CX98" s="378" t="n"/>
      <c r="CZ98" s="259" t="inlineStr">
        <is>
          <t>移動</t>
        </is>
      </c>
      <c r="DA98" s="403" t="n"/>
      <c r="DB98" s="403" t="n"/>
      <c r="DC98" s="404" t="n"/>
      <c r="DD98" s="405">
        <f>IF(Q98="作業者3",E101-E98,0)</f>
        <v/>
      </c>
      <c r="DE98" s="406" t="n"/>
      <c r="DF98" s="406" t="n"/>
      <c r="DG98" s="406" t="n"/>
      <c r="DH98" s="407" t="n"/>
      <c r="DJ98" s="259" t="inlineStr">
        <is>
          <t>移動</t>
        </is>
      </c>
      <c r="DK98" s="403" t="n"/>
      <c r="DL98" s="403" t="n"/>
      <c r="DM98" s="404" t="n"/>
      <c r="DN98" s="379">
        <f>IF(Q98="作業者4",E101-E98,0)</f>
        <v/>
      </c>
      <c r="DO98" s="377" t="n"/>
      <c r="DP98" s="377" t="n"/>
      <c r="DQ98" s="377" t="n"/>
      <c r="DR98" s="378" t="n"/>
      <c r="DT98" s="259" t="inlineStr">
        <is>
          <t>移動</t>
        </is>
      </c>
      <c r="DU98" s="403" t="n"/>
      <c r="DV98" s="403" t="n"/>
      <c r="DW98" s="404" t="n"/>
      <c r="DX98" s="379">
        <f>IF(Q98="作業者5",E101-E98,0)</f>
        <v/>
      </c>
      <c r="DY98" s="377" t="n"/>
      <c r="DZ98" s="377" t="n"/>
      <c r="EA98" s="377" t="n"/>
      <c r="EB98" s="378" t="n"/>
    </row>
    <row r="99" ht="9" customHeight="1" s="337">
      <c r="B99" s="350" t="n"/>
      <c r="C99" s="338" t="n"/>
      <c r="D99" s="380" t="n"/>
      <c r="E99" s="381" t="n"/>
      <c r="F99" s="122" t="inlineStr">
        <is>
          <t>～</t>
        </is>
      </c>
      <c r="G99" s="22" t="n"/>
      <c r="H99" s="381" t="n"/>
      <c r="I99" s="122" t="inlineStr">
        <is>
          <t>～</t>
        </is>
      </c>
      <c r="J99" s="22" t="n"/>
      <c r="K99" s="381" t="n"/>
      <c r="L99" s="122" t="inlineStr">
        <is>
          <t>～</t>
        </is>
      </c>
      <c r="M99" s="22" t="n"/>
      <c r="N99" s="381" t="n"/>
      <c r="O99" s="122" t="inlineStr">
        <is>
          <t>～</t>
        </is>
      </c>
      <c r="P99" s="22" t="n"/>
      <c r="Q99" s="382" t="n"/>
      <c r="R99" s="338" t="n"/>
      <c r="S99" s="380" t="n"/>
      <c r="T99" s="382" t="n"/>
      <c r="U99" s="338" t="n"/>
      <c r="V99" s="380" t="n"/>
      <c r="W99" s="382" t="n"/>
      <c r="X99" s="338" t="n"/>
      <c r="Y99" s="338" t="n"/>
      <c r="Z99" s="338" t="n"/>
      <c r="AA99" s="338" t="n"/>
      <c r="AB99" s="338" t="n"/>
      <c r="AC99" s="338" t="n"/>
      <c r="AD99" s="338" t="n"/>
      <c r="AE99" s="338" t="n"/>
      <c r="AF99" s="338" t="n"/>
      <c r="AG99" s="338" t="n"/>
      <c r="AH99" s="338" t="n"/>
      <c r="AI99" s="338" t="n"/>
      <c r="AJ99" s="338" t="n"/>
      <c r="AK99" s="338" t="n"/>
      <c r="AL99" s="338" t="n"/>
      <c r="AM99" s="338" t="n"/>
      <c r="AN99" s="338" t="n"/>
      <c r="AO99" s="338" t="n"/>
      <c r="AP99" s="338" t="n"/>
      <c r="AQ99" s="338" t="n"/>
      <c r="AR99" s="338" t="n"/>
      <c r="AS99" s="338" t="n"/>
      <c r="AT99" s="338" t="n"/>
      <c r="AU99" s="338" t="n"/>
      <c r="AV99" s="338" t="n"/>
      <c r="AW99" s="338" t="n"/>
      <c r="AX99" s="338" t="n"/>
      <c r="AY99" s="338" t="n"/>
      <c r="AZ99" s="338" t="n"/>
      <c r="BA99" s="338" t="n"/>
      <c r="BB99" s="338" t="n"/>
      <c r="BC99" s="338" t="n"/>
      <c r="BD99" s="338" t="n"/>
      <c r="BE99" s="338" t="n"/>
      <c r="BF99" s="338" t="n"/>
      <c r="BG99" s="338" t="n"/>
      <c r="BH99" s="338" t="n"/>
      <c r="BI99" s="338" t="n"/>
      <c r="BJ99" s="338" t="n"/>
      <c r="BK99" s="338" t="n"/>
      <c r="BL99" s="338" t="n"/>
      <c r="BM99" s="338" t="n"/>
      <c r="BN99" s="338" t="n"/>
      <c r="BO99" s="338" t="n"/>
      <c r="BP99" s="338" t="n"/>
      <c r="BQ99" s="338" t="n"/>
      <c r="BR99" s="338" t="n"/>
      <c r="BS99" s="338" t="n"/>
      <c r="BT99" s="338" t="n"/>
      <c r="BU99" s="338" t="n"/>
      <c r="BV99" s="338" t="n"/>
      <c r="BW99" s="338" t="n"/>
      <c r="BX99" s="338" t="n"/>
      <c r="BY99" s="338" t="n"/>
      <c r="BZ99" s="338" t="n"/>
      <c r="CA99" s="338" t="n"/>
      <c r="CB99" s="338" t="n"/>
      <c r="CC99" s="383" t="n"/>
      <c r="CF99" s="253" t="inlineStr">
        <is>
          <t>時間内</t>
        </is>
      </c>
      <c r="CG99" s="384" t="n"/>
      <c r="CH99" s="384" t="n"/>
      <c r="CI99" s="385" t="n"/>
      <c r="CJ99" s="386">
        <f>IF(Q98="作業者1",H101-H98,0)</f>
        <v/>
      </c>
      <c r="CK99" s="387" t="n"/>
      <c r="CL99" s="387" t="n"/>
      <c r="CM99" s="387" t="n"/>
      <c r="CN99" s="388" t="n"/>
      <c r="CP99" s="253" t="inlineStr">
        <is>
          <t>時間内</t>
        </is>
      </c>
      <c r="CQ99" s="384" t="n"/>
      <c r="CR99" s="384" t="n"/>
      <c r="CS99" s="385" t="n"/>
      <c r="CT99" s="386">
        <f>IF(Q98="作業者2",H101-H98,0)</f>
        <v/>
      </c>
      <c r="CU99" s="387" t="n"/>
      <c r="CV99" s="387" t="n"/>
      <c r="CW99" s="387" t="n"/>
      <c r="CX99" s="388" t="n"/>
      <c r="CZ99" s="253" t="inlineStr">
        <is>
          <t>時間内</t>
        </is>
      </c>
      <c r="DA99" s="384" t="n"/>
      <c r="DB99" s="384" t="n"/>
      <c r="DC99" s="385" t="n"/>
      <c r="DD99" s="386">
        <f>IF(Q98="作業者3",H101-H98,0)</f>
        <v/>
      </c>
      <c r="DE99" s="387" t="n"/>
      <c r="DF99" s="387" t="n"/>
      <c r="DG99" s="387" t="n"/>
      <c r="DH99" s="388" t="n"/>
      <c r="DJ99" s="253" t="inlineStr">
        <is>
          <t>時間内</t>
        </is>
      </c>
      <c r="DK99" s="384" t="n"/>
      <c r="DL99" s="384" t="n"/>
      <c r="DM99" s="385" t="n"/>
      <c r="DN99" s="386">
        <f>IF(Q98="作業者4",H101-H98,0)</f>
        <v/>
      </c>
      <c r="DO99" s="387" t="n"/>
      <c r="DP99" s="387" t="n"/>
      <c r="DQ99" s="387" t="n"/>
      <c r="DR99" s="388" t="n"/>
      <c r="DT99" s="253" t="inlineStr">
        <is>
          <t>時間内</t>
        </is>
      </c>
      <c r="DU99" s="384" t="n"/>
      <c r="DV99" s="384" t="n"/>
      <c r="DW99" s="385" t="n"/>
      <c r="DX99" s="386">
        <f>IF(Q98="作業者5",H101-H98,0)</f>
        <v/>
      </c>
      <c r="DY99" s="387" t="n"/>
      <c r="DZ99" s="387" t="n"/>
      <c r="EA99" s="387" t="n"/>
      <c r="EB99" s="388" t="n"/>
    </row>
    <row r="100" ht="9" customHeight="1" s="337">
      <c r="B100" s="350" t="n"/>
      <c r="C100" s="338" t="n"/>
      <c r="D100" s="380" t="n"/>
      <c r="E100" s="23" t="n"/>
      <c r="F100" s="338" t="n"/>
      <c r="G100" s="24" t="n"/>
      <c r="H100" s="23" t="n"/>
      <c r="I100" s="338" t="n"/>
      <c r="J100" s="24" t="n"/>
      <c r="K100" s="23" t="n"/>
      <c r="L100" s="338" t="n"/>
      <c r="M100" s="24" t="n"/>
      <c r="N100" s="23" t="n"/>
      <c r="O100" s="338" t="n"/>
      <c r="P100" s="24" t="n"/>
      <c r="Q100" s="382" t="n"/>
      <c r="R100" s="338" t="n"/>
      <c r="S100" s="380" t="n"/>
      <c r="T100" s="382" t="n"/>
      <c r="U100" s="338" t="n"/>
      <c r="V100" s="380" t="n"/>
      <c r="W100" s="382" t="n"/>
      <c r="X100" s="338" t="n"/>
      <c r="Y100" s="338" t="n"/>
      <c r="Z100" s="338" t="n"/>
      <c r="AA100" s="338" t="n"/>
      <c r="AB100" s="338" t="n"/>
      <c r="AC100" s="338" t="n"/>
      <c r="AD100" s="338" t="n"/>
      <c r="AE100" s="338" t="n"/>
      <c r="AF100" s="338" t="n"/>
      <c r="AG100" s="338" t="n"/>
      <c r="AH100" s="338" t="n"/>
      <c r="AI100" s="338" t="n"/>
      <c r="AJ100" s="338" t="n"/>
      <c r="AK100" s="338" t="n"/>
      <c r="AL100" s="338" t="n"/>
      <c r="AM100" s="338" t="n"/>
      <c r="AN100" s="338" t="n"/>
      <c r="AO100" s="338" t="n"/>
      <c r="AP100" s="338" t="n"/>
      <c r="AQ100" s="338" t="n"/>
      <c r="AR100" s="338" t="n"/>
      <c r="AS100" s="338" t="n"/>
      <c r="AT100" s="338" t="n"/>
      <c r="AU100" s="338" t="n"/>
      <c r="AV100" s="338" t="n"/>
      <c r="AW100" s="338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83" t="n"/>
      <c r="CF100" s="253" t="inlineStr">
        <is>
          <t>時間外</t>
        </is>
      </c>
      <c r="CG100" s="384" t="n"/>
      <c r="CH100" s="384" t="n"/>
      <c r="CI100" s="385" t="n"/>
      <c r="CJ100" s="386">
        <f>IF(Q98="作業者1",K101-K98,0)</f>
        <v/>
      </c>
      <c r="CK100" s="387" t="n"/>
      <c r="CL100" s="387" t="n"/>
      <c r="CM100" s="387" t="n"/>
      <c r="CN100" s="388" t="n"/>
      <c r="CP100" s="253" t="inlineStr">
        <is>
          <t>時間外</t>
        </is>
      </c>
      <c r="CQ100" s="384" t="n"/>
      <c r="CR100" s="384" t="n"/>
      <c r="CS100" s="385" t="n"/>
      <c r="CT100" s="386">
        <f>IF(Q98="作業者2",K101-K98,0)</f>
        <v/>
      </c>
      <c r="CU100" s="387" t="n"/>
      <c r="CV100" s="387" t="n"/>
      <c r="CW100" s="387" t="n"/>
      <c r="CX100" s="388" t="n"/>
      <c r="CZ100" s="253" t="inlineStr">
        <is>
          <t>時間外</t>
        </is>
      </c>
      <c r="DA100" s="384" t="n"/>
      <c r="DB100" s="384" t="n"/>
      <c r="DC100" s="385" t="n"/>
      <c r="DD100" s="386">
        <f>IF(Q98="作業者3",K101-K98,0)</f>
        <v/>
      </c>
      <c r="DE100" s="387" t="n"/>
      <c r="DF100" s="387" t="n"/>
      <c r="DG100" s="387" t="n"/>
      <c r="DH100" s="388" t="n"/>
      <c r="DJ100" s="253" t="inlineStr">
        <is>
          <t>時間外</t>
        </is>
      </c>
      <c r="DK100" s="384" t="n"/>
      <c r="DL100" s="384" t="n"/>
      <c r="DM100" s="385" t="n"/>
      <c r="DN100" s="386">
        <f>IF(Q98="作業者4",K101-K98,0)</f>
        <v/>
      </c>
      <c r="DO100" s="387" t="n"/>
      <c r="DP100" s="387" t="n"/>
      <c r="DQ100" s="387" t="n"/>
      <c r="DR100" s="388" t="n"/>
      <c r="DT100" s="253" t="inlineStr">
        <is>
          <t>時間外</t>
        </is>
      </c>
      <c r="DU100" s="384" t="n"/>
      <c r="DV100" s="384" t="n"/>
      <c r="DW100" s="385" t="n"/>
      <c r="DX100" s="386">
        <f>IF(Q98="作業者5",K101-K98,0)</f>
        <v/>
      </c>
      <c r="DY100" s="387" t="n"/>
      <c r="DZ100" s="387" t="n"/>
      <c r="EA100" s="387" t="n"/>
      <c r="EB100" s="388" t="n"/>
    </row>
    <row r="101" ht="9" customHeight="1" s="337">
      <c r="B101" s="389" t="n"/>
      <c r="C101" s="390" t="n"/>
      <c r="D101" s="391" t="n"/>
      <c r="E101" s="392" t="n"/>
      <c r="F101" s="390" t="n"/>
      <c r="G101" s="391" t="n"/>
      <c r="H101" s="392" t="n"/>
      <c r="I101" s="390" t="n"/>
      <c r="J101" s="391" t="n"/>
      <c r="K101" s="392" t="n"/>
      <c r="L101" s="390" t="n"/>
      <c r="M101" s="391" t="n"/>
      <c r="N101" s="392" t="n"/>
      <c r="O101" s="390" t="n"/>
      <c r="P101" s="391" t="n"/>
      <c r="Q101" s="393" t="n"/>
      <c r="R101" s="390" t="n"/>
      <c r="S101" s="391" t="n"/>
      <c r="T101" s="393" t="n"/>
      <c r="U101" s="390" t="n"/>
      <c r="V101" s="391" t="n"/>
      <c r="W101" s="393" t="n"/>
      <c r="X101" s="390" t="n"/>
      <c r="Y101" s="390" t="n"/>
      <c r="Z101" s="390" t="n"/>
      <c r="AA101" s="390" t="n"/>
      <c r="AB101" s="390" t="n"/>
      <c r="AC101" s="390" t="n"/>
      <c r="AD101" s="390" t="n"/>
      <c r="AE101" s="390" t="n"/>
      <c r="AF101" s="390" t="n"/>
      <c r="AG101" s="390" t="n"/>
      <c r="AH101" s="390" t="n"/>
      <c r="AI101" s="390" t="n"/>
      <c r="AJ101" s="390" t="n"/>
      <c r="AK101" s="390" t="n"/>
      <c r="AL101" s="390" t="n"/>
      <c r="AM101" s="390" t="n"/>
      <c r="AN101" s="390" t="n"/>
      <c r="AO101" s="390" t="n"/>
      <c r="AP101" s="390" t="n"/>
      <c r="AQ101" s="390" t="n"/>
      <c r="AR101" s="390" t="n"/>
      <c r="AS101" s="390" t="n"/>
      <c r="AT101" s="390" t="n"/>
      <c r="AU101" s="390" t="n"/>
      <c r="AV101" s="390" t="n"/>
      <c r="AW101" s="390" t="n"/>
      <c r="AX101" s="390" t="n"/>
      <c r="AY101" s="390" t="n"/>
      <c r="AZ101" s="390" t="n"/>
      <c r="BA101" s="390" t="n"/>
      <c r="BB101" s="390" t="n"/>
      <c r="BC101" s="390" t="n"/>
      <c r="BD101" s="390" t="n"/>
      <c r="BE101" s="390" t="n"/>
      <c r="BF101" s="390" t="n"/>
      <c r="BG101" s="390" t="n"/>
      <c r="BH101" s="390" t="n"/>
      <c r="BI101" s="390" t="n"/>
      <c r="BJ101" s="390" t="n"/>
      <c r="BK101" s="390" t="n"/>
      <c r="BL101" s="390" t="n"/>
      <c r="BM101" s="390" t="n"/>
      <c r="BN101" s="390" t="n"/>
      <c r="BO101" s="390" t="n"/>
      <c r="BP101" s="390" t="n"/>
      <c r="BQ101" s="390" t="n"/>
      <c r="BR101" s="390" t="n"/>
      <c r="BS101" s="390" t="n"/>
      <c r="BT101" s="390" t="n"/>
      <c r="BU101" s="390" t="n"/>
      <c r="BV101" s="390" t="n"/>
      <c r="BW101" s="390" t="n"/>
      <c r="BX101" s="390" t="n"/>
      <c r="BY101" s="390" t="n"/>
      <c r="BZ101" s="390" t="n"/>
      <c r="CA101" s="390" t="n"/>
      <c r="CB101" s="390" t="n"/>
      <c r="CC101" s="394" t="n"/>
      <c r="CF101" s="254" t="inlineStr">
        <is>
          <t>休日</t>
        </is>
      </c>
      <c r="CG101" s="395" t="n"/>
      <c r="CH101" s="395" t="n"/>
      <c r="CI101" s="396" t="n"/>
      <c r="CJ101" s="397">
        <f>IF(Q98="作業者1",N101-N98,0)</f>
        <v/>
      </c>
      <c r="CK101" s="395" t="n"/>
      <c r="CL101" s="395" t="n"/>
      <c r="CM101" s="395" t="n"/>
      <c r="CN101" s="396" t="n"/>
      <c r="CP101" s="254" t="inlineStr">
        <is>
          <t>休日</t>
        </is>
      </c>
      <c r="CQ101" s="395" t="n"/>
      <c r="CR101" s="395" t="n"/>
      <c r="CS101" s="396" t="n"/>
      <c r="CT101" s="397">
        <f>IF(Q98="作業者2",N101-N98,0)</f>
        <v/>
      </c>
      <c r="CU101" s="395" t="n"/>
      <c r="CV101" s="395" t="n"/>
      <c r="CW101" s="395" t="n"/>
      <c r="CX101" s="396" t="n"/>
      <c r="CZ101" s="254" t="inlineStr">
        <is>
          <t>休日</t>
        </is>
      </c>
      <c r="DA101" s="395" t="n"/>
      <c r="DB101" s="395" t="n"/>
      <c r="DC101" s="396" t="n"/>
      <c r="DD101" s="397">
        <f>IF(Q98="作業者3",N101-N98,0)</f>
        <v/>
      </c>
      <c r="DE101" s="395" t="n"/>
      <c r="DF101" s="395" t="n"/>
      <c r="DG101" s="395" t="n"/>
      <c r="DH101" s="396" t="n"/>
      <c r="DJ101" s="254" t="inlineStr">
        <is>
          <t>休日</t>
        </is>
      </c>
      <c r="DK101" s="395" t="n"/>
      <c r="DL101" s="395" t="n"/>
      <c r="DM101" s="396" t="n"/>
      <c r="DN101" s="397">
        <f>IF(Q98="作業者4",N101-N98,0)</f>
        <v/>
      </c>
      <c r="DO101" s="395" t="n"/>
      <c r="DP101" s="395" t="n"/>
      <c r="DQ101" s="395" t="n"/>
      <c r="DR101" s="396" t="n"/>
      <c r="DT101" s="254" t="inlineStr">
        <is>
          <t>休日</t>
        </is>
      </c>
      <c r="DU101" s="395" t="n"/>
      <c r="DV101" s="395" t="n"/>
      <c r="DW101" s="396" t="n"/>
      <c r="DX101" s="397">
        <f>IF(Q98="作業者5",N101-N98,0)</f>
        <v/>
      </c>
      <c r="DY101" s="395" t="n"/>
      <c r="DZ101" s="395" t="n"/>
      <c r="EA101" s="395" t="n"/>
      <c r="EB101" s="396" t="n"/>
    </row>
    <row r="102" ht="9" customHeight="1" s="337">
      <c r="B102" s="398" t="n"/>
      <c r="C102" s="372" t="n"/>
      <c r="D102" s="373" t="n"/>
      <c r="E102" s="399" t="n"/>
      <c r="F102" s="372" t="n"/>
      <c r="G102" s="373" t="n"/>
      <c r="H102" s="399" t="n"/>
      <c r="I102" s="372" t="n"/>
      <c r="J102" s="373" t="n"/>
      <c r="K102" s="399" t="n"/>
      <c r="L102" s="372" t="n"/>
      <c r="M102" s="373" t="n"/>
      <c r="N102" s="399" t="n"/>
      <c r="O102" s="372" t="n"/>
      <c r="P102" s="373" t="n"/>
      <c r="Q102" s="371" t="n"/>
      <c r="R102" s="372" t="n"/>
      <c r="S102" s="373" t="n"/>
      <c r="T102" s="371" t="n"/>
      <c r="U102" s="372" t="n"/>
      <c r="V102" s="373" t="n"/>
      <c r="W102" s="401" t="n"/>
      <c r="X102" s="372" t="n"/>
      <c r="Y102" s="372" t="n"/>
      <c r="Z102" s="372" t="n"/>
      <c r="AA102" s="372" t="n"/>
      <c r="AB102" s="372" t="n"/>
      <c r="AC102" s="372" t="n"/>
      <c r="AD102" s="372" t="n"/>
      <c r="AE102" s="372" t="n"/>
      <c r="AF102" s="372" t="n"/>
      <c r="AG102" s="372" t="n"/>
      <c r="AH102" s="372" t="n"/>
      <c r="AI102" s="372" t="n"/>
      <c r="AJ102" s="372" t="n"/>
      <c r="AK102" s="372" t="n"/>
      <c r="AL102" s="372" t="n"/>
      <c r="AM102" s="372" t="n"/>
      <c r="AN102" s="372" t="n"/>
      <c r="AO102" s="372" t="n"/>
      <c r="AP102" s="372" t="n"/>
      <c r="AQ102" s="372" t="n"/>
      <c r="AR102" s="372" t="n"/>
      <c r="AS102" s="372" t="n"/>
      <c r="AT102" s="372" t="n"/>
      <c r="AU102" s="372" t="n"/>
      <c r="AV102" s="372" t="n"/>
      <c r="AW102" s="372" t="n"/>
      <c r="AX102" s="372" t="n"/>
      <c r="AY102" s="372" t="n"/>
      <c r="AZ102" s="372" t="n"/>
      <c r="BA102" s="372" t="n"/>
      <c r="BB102" s="372" t="n"/>
      <c r="BC102" s="372" t="n"/>
      <c r="BD102" s="372" t="n"/>
      <c r="BE102" s="372" t="n"/>
      <c r="BF102" s="372" t="n"/>
      <c r="BG102" s="372" t="n"/>
      <c r="BH102" s="372" t="n"/>
      <c r="BI102" s="372" t="n"/>
      <c r="BJ102" s="372" t="n"/>
      <c r="BK102" s="372" t="n"/>
      <c r="BL102" s="372" t="n"/>
      <c r="BM102" s="372" t="n"/>
      <c r="BN102" s="372" t="n"/>
      <c r="BO102" s="372" t="n"/>
      <c r="BP102" s="372" t="n"/>
      <c r="BQ102" s="372" t="n"/>
      <c r="BR102" s="372" t="n"/>
      <c r="BS102" s="372" t="n"/>
      <c r="BT102" s="372" t="n"/>
      <c r="BU102" s="372" t="n"/>
      <c r="BV102" s="372" t="n"/>
      <c r="BW102" s="372" t="n"/>
      <c r="BX102" s="372" t="n"/>
      <c r="BY102" s="372" t="n"/>
      <c r="BZ102" s="372" t="n"/>
      <c r="CA102" s="372" t="n"/>
      <c r="CB102" s="372" t="n"/>
      <c r="CC102" s="402" t="n"/>
      <c r="CF102" s="248" t="inlineStr">
        <is>
          <t>移動</t>
        </is>
      </c>
      <c r="CG102" s="377" t="n"/>
      <c r="CH102" s="377" t="n"/>
      <c r="CI102" s="378" t="n"/>
      <c r="CJ102" s="379">
        <f>IF(Q102="作業者1",E105-E102,0)</f>
        <v/>
      </c>
      <c r="CK102" s="377" t="n"/>
      <c r="CL102" s="377" t="n"/>
      <c r="CM102" s="377" t="n"/>
      <c r="CN102" s="378" t="n"/>
      <c r="CP102" s="248" t="inlineStr">
        <is>
          <t>移動</t>
        </is>
      </c>
      <c r="CQ102" s="377" t="n"/>
      <c r="CR102" s="377" t="n"/>
      <c r="CS102" s="378" t="n"/>
      <c r="CT102" s="379">
        <f>IF(Q102="作業者2",E105-E102,0)</f>
        <v/>
      </c>
      <c r="CU102" s="377" t="n"/>
      <c r="CV102" s="377" t="n"/>
      <c r="CW102" s="377" t="n"/>
      <c r="CX102" s="378" t="n"/>
      <c r="CZ102" s="248" t="inlineStr">
        <is>
          <t>移動</t>
        </is>
      </c>
      <c r="DA102" s="377" t="n"/>
      <c r="DB102" s="377" t="n"/>
      <c r="DC102" s="378" t="n"/>
      <c r="DD102" s="379">
        <f>IF(Q102="作業者3",E105-E102,0)</f>
        <v/>
      </c>
      <c r="DE102" s="377" t="n"/>
      <c r="DF102" s="377" t="n"/>
      <c r="DG102" s="377" t="n"/>
      <c r="DH102" s="378" t="n"/>
      <c r="DJ102" s="259" t="inlineStr">
        <is>
          <t>移動</t>
        </is>
      </c>
      <c r="DK102" s="403" t="n"/>
      <c r="DL102" s="403" t="n"/>
      <c r="DM102" s="404" t="n"/>
      <c r="DN102" s="379">
        <f>IF(Q102="作業者4",E105-E102,0)</f>
        <v/>
      </c>
      <c r="DO102" s="377" t="n"/>
      <c r="DP102" s="377" t="n"/>
      <c r="DQ102" s="377" t="n"/>
      <c r="DR102" s="378" t="n"/>
      <c r="DT102" s="259" t="inlineStr">
        <is>
          <t>移動</t>
        </is>
      </c>
      <c r="DU102" s="403" t="n"/>
      <c r="DV102" s="403" t="n"/>
      <c r="DW102" s="404" t="n"/>
      <c r="DX102" s="379">
        <f>IF(Q102="作業者5",E105-E102,0)</f>
        <v/>
      </c>
      <c r="DY102" s="377" t="n"/>
      <c r="DZ102" s="377" t="n"/>
      <c r="EA102" s="377" t="n"/>
      <c r="EB102" s="378" t="n"/>
    </row>
    <row r="103" ht="9" customHeight="1" s="337">
      <c r="B103" s="350" t="n"/>
      <c r="C103" s="338" t="n"/>
      <c r="D103" s="380" t="n"/>
      <c r="E103" s="381" t="n"/>
      <c r="F103" s="122" t="inlineStr">
        <is>
          <t>～</t>
        </is>
      </c>
      <c r="G103" s="22" t="n"/>
      <c r="H103" s="381" t="n"/>
      <c r="I103" s="122" t="inlineStr">
        <is>
          <t>～</t>
        </is>
      </c>
      <c r="J103" s="22" t="n"/>
      <c r="K103" s="381" t="n"/>
      <c r="L103" s="122" t="inlineStr">
        <is>
          <t>～</t>
        </is>
      </c>
      <c r="M103" s="22" t="n"/>
      <c r="N103" s="381" t="n"/>
      <c r="O103" s="122" t="inlineStr">
        <is>
          <t>～</t>
        </is>
      </c>
      <c r="P103" s="22" t="n"/>
      <c r="Q103" s="382" t="n"/>
      <c r="R103" s="338" t="n"/>
      <c r="S103" s="380" t="n"/>
      <c r="T103" s="382" t="n"/>
      <c r="U103" s="338" t="n"/>
      <c r="V103" s="380" t="n"/>
      <c r="W103" s="382" t="n"/>
      <c r="X103" s="338" t="n"/>
      <c r="Y103" s="338" t="n"/>
      <c r="Z103" s="338" t="n"/>
      <c r="AA103" s="338" t="n"/>
      <c r="AB103" s="338" t="n"/>
      <c r="AC103" s="338" t="n"/>
      <c r="AD103" s="338" t="n"/>
      <c r="AE103" s="338" t="n"/>
      <c r="AF103" s="338" t="n"/>
      <c r="AG103" s="338" t="n"/>
      <c r="AH103" s="338" t="n"/>
      <c r="AI103" s="338" t="n"/>
      <c r="AJ103" s="338" t="n"/>
      <c r="AK103" s="338" t="n"/>
      <c r="AL103" s="338" t="n"/>
      <c r="AM103" s="338" t="n"/>
      <c r="AN103" s="338" t="n"/>
      <c r="AO103" s="338" t="n"/>
      <c r="AP103" s="338" t="n"/>
      <c r="AQ103" s="338" t="n"/>
      <c r="AR103" s="338" t="n"/>
      <c r="AS103" s="338" t="n"/>
      <c r="AT103" s="338" t="n"/>
      <c r="AU103" s="338" t="n"/>
      <c r="AV103" s="338" t="n"/>
      <c r="AW103" s="338" t="n"/>
      <c r="AX103" s="338" t="n"/>
      <c r="AY103" s="338" t="n"/>
      <c r="AZ103" s="338" t="n"/>
      <c r="BA103" s="338" t="n"/>
      <c r="BB103" s="338" t="n"/>
      <c r="BC103" s="338" t="n"/>
      <c r="BD103" s="338" t="n"/>
      <c r="BE103" s="338" t="n"/>
      <c r="BF103" s="338" t="n"/>
      <c r="BG103" s="338" t="n"/>
      <c r="BH103" s="338" t="n"/>
      <c r="BI103" s="338" t="n"/>
      <c r="BJ103" s="338" t="n"/>
      <c r="BK103" s="338" t="n"/>
      <c r="BL103" s="338" t="n"/>
      <c r="BM103" s="338" t="n"/>
      <c r="BN103" s="338" t="n"/>
      <c r="BO103" s="338" t="n"/>
      <c r="BP103" s="338" t="n"/>
      <c r="BQ103" s="338" t="n"/>
      <c r="BR103" s="338" t="n"/>
      <c r="BS103" s="338" t="n"/>
      <c r="BT103" s="338" t="n"/>
      <c r="BU103" s="338" t="n"/>
      <c r="BV103" s="338" t="n"/>
      <c r="BW103" s="338" t="n"/>
      <c r="BX103" s="338" t="n"/>
      <c r="BY103" s="338" t="n"/>
      <c r="BZ103" s="338" t="n"/>
      <c r="CA103" s="338" t="n"/>
      <c r="CB103" s="338" t="n"/>
      <c r="CC103" s="383" t="n"/>
      <c r="CF103" s="253" t="inlineStr">
        <is>
          <t>時間内</t>
        </is>
      </c>
      <c r="CG103" s="384" t="n"/>
      <c r="CH103" s="384" t="n"/>
      <c r="CI103" s="385" t="n"/>
      <c r="CJ103" s="386">
        <f>IF(Q102="作業者1",H105-H102,0)</f>
        <v/>
      </c>
      <c r="CK103" s="387" t="n"/>
      <c r="CL103" s="387" t="n"/>
      <c r="CM103" s="387" t="n"/>
      <c r="CN103" s="388" t="n"/>
      <c r="CP103" s="253" t="inlineStr">
        <is>
          <t>時間内</t>
        </is>
      </c>
      <c r="CQ103" s="384" t="n"/>
      <c r="CR103" s="384" t="n"/>
      <c r="CS103" s="385" t="n"/>
      <c r="CT103" s="386">
        <f>IF(Q102="作業者2",H105-H102,0)</f>
        <v/>
      </c>
      <c r="CU103" s="387" t="n"/>
      <c r="CV103" s="387" t="n"/>
      <c r="CW103" s="387" t="n"/>
      <c r="CX103" s="388" t="n"/>
      <c r="CZ103" s="253" t="inlineStr">
        <is>
          <t>時間内</t>
        </is>
      </c>
      <c r="DA103" s="384" t="n"/>
      <c r="DB103" s="384" t="n"/>
      <c r="DC103" s="385" t="n"/>
      <c r="DD103" s="386">
        <f>IF(Q102="作業者3",H105-H102,0)</f>
        <v/>
      </c>
      <c r="DE103" s="387" t="n"/>
      <c r="DF103" s="387" t="n"/>
      <c r="DG103" s="387" t="n"/>
      <c r="DH103" s="388" t="n"/>
      <c r="DJ103" s="253" t="inlineStr">
        <is>
          <t>時間内</t>
        </is>
      </c>
      <c r="DK103" s="384" t="n"/>
      <c r="DL103" s="384" t="n"/>
      <c r="DM103" s="385" t="n"/>
      <c r="DN103" s="386">
        <f>IF(Q102="作業者4",H105-H102,0)</f>
        <v/>
      </c>
      <c r="DO103" s="387" t="n"/>
      <c r="DP103" s="387" t="n"/>
      <c r="DQ103" s="387" t="n"/>
      <c r="DR103" s="388" t="n"/>
      <c r="DT103" s="253" t="inlineStr">
        <is>
          <t>時間内</t>
        </is>
      </c>
      <c r="DU103" s="384" t="n"/>
      <c r="DV103" s="384" t="n"/>
      <c r="DW103" s="385" t="n"/>
      <c r="DX103" s="386">
        <f>IF(Q102="作業者5",H105-H102,0)</f>
        <v/>
      </c>
      <c r="DY103" s="387" t="n"/>
      <c r="DZ103" s="387" t="n"/>
      <c r="EA103" s="387" t="n"/>
      <c r="EB103" s="388" t="n"/>
    </row>
    <row r="104" ht="9" customHeight="1" s="337">
      <c r="B104" s="350" t="n"/>
      <c r="C104" s="338" t="n"/>
      <c r="D104" s="380" t="n"/>
      <c r="E104" s="23" t="n"/>
      <c r="F104" s="338" t="n"/>
      <c r="G104" s="24" t="n"/>
      <c r="H104" s="23" t="n"/>
      <c r="I104" s="338" t="n"/>
      <c r="J104" s="24" t="n"/>
      <c r="K104" s="23" t="n"/>
      <c r="L104" s="338" t="n"/>
      <c r="M104" s="24" t="n"/>
      <c r="N104" s="23" t="n"/>
      <c r="O104" s="338" t="n"/>
      <c r="P104" s="24" t="n"/>
      <c r="Q104" s="382" t="n"/>
      <c r="R104" s="338" t="n"/>
      <c r="S104" s="380" t="n"/>
      <c r="T104" s="382" t="n"/>
      <c r="U104" s="338" t="n"/>
      <c r="V104" s="380" t="n"/>
      <c r="W104" s="382" t="n"/>
      <c r="X104" s="338" t="n"/>
      <c r="Y104" s="338" t="n"/>
      <c r="Z104" s="338" t="n"/>
      <c r="AA104" s="338" t="n"/>
      <c r="AB104" s="338" t="n"/>
      <c r="AC104" s="338" t="n"/>
      <c r="AD104" s="338" t="n"/>
      <c r="AE104" s="338" t="n"/>
      <c r="AF104" s="338" t="n"/>
      <c r="AG104" s="338" t="n"/>
      <c r="AH104" s="338" t="n"/>
      <c r="AI104" s="338" t="n"/>
      <c r="AJ104" s="338" t="n"/>
      <c r="AK104" s="338" t="n"/>
      <c r="AL104" s="338" t="n"/>
      <c r="AM104" s="338" t="n"/>
      <c r="AN104" s="338" t="n"/>
      <c r="AO104" s="338" t="n"/>
      <c r="AP104" s="338" t="n"/>
      <c r="AQ104" s="338" t="n"/>
      <c r="AR104" s="338" t="n"/>
      <c r="AS104" s="338" t="n"/>
      <c r="AT104" s="338" t="n"/>
      <c r="AU104" s="338" t="n"/>
      <c r="AV104" s="338" t="n"/>
      <c r="AW104" s="338" t="n"/>
      <c r="AX104" s="338" t="n"/>
      <c r="AY104" s="338" t="n"/>
      <c r="AZ104" s="338" t="n"/>
      <c r="BA104" s="338" t="n"/>
      <c r="BB104" s="338" t="n"/>
      <c r="BC104" s="338" t="n"/>
      <c r="BD104" s="338" t="n"/>
      <c r="BE104" s="338" t="n"/>
      <c r="BF104" s="338" t="n"/>
      <c r="BG104" s="338" t="n"/>
      <c r="BH104" s="338" t="n"/>
      <c r="BI104" s="338" t="n"/>
      <c r="BJ104" s="338" t="n"/>
      <c r="BK104" s="338" t="n"/>
      <c r="BL104" s="338" t="n"/>
      <c r="BM104" s="338" t="n"/>
      <c r="BN104" s="338" t="n"/>
      <c r="BO104" s="338" t="n"/>
      <c r="BP104" s="338" t="n"/>
      <c r="BQ104" s="338" t="n"/>
      <c r="BR104" s="338" t="n"/>
      <c r="BS104" s="338" t="n"/>
      <c r="BT104" s="338" t="n"/>
      <c r="BU104" s="338" t="n"/>
      <c r="BV104" s="338" t="n"/>
      <c r="BW104" s="338" t="n"/>
      <c r="BX104" s="338" t="n"/>
      <c r="BY104" s="338" t="n"/>
      <c r="BZ104" s="338" t="n"/>
      <c r="CA104" s="338" t="n"/>
      <c r="CB104" s="338" t="n"/>
      <c r="CC104" s="383" t="n"/>
      <c r="CF104" s="253" t="inlineStr">
        <is>
          <t>時間外</t>
        </is>
      </c>
      <c r="CG104" s="384" t="n"/>
      <c r="CH104" s="384" t="n"/>
      <c r="CI104" s="385" t="n"/>
      <c r="CJ104" s="386">
        <f>IF(Q102="作業者1",K105-K102,0)</f>
        <v/>
      </c>
      <c r="CK104" s="387" t="n"/>
      <c r="CL104" s="387" t="n"/>
      <c r="CM104" s="387" t="n"/>
      <c r="CN104" s="388" t="n"/>
      <c r="CP104" s="253" t="inlineStr">
        <is>
          <t>時間外</t>
        </is>
      </c>
      <c r="CQ104" s="384" t="n"/>
      <c r="CR104" s="384" t="n"/>
      <c r="CS104" s="385" t="n"/>
      <c r="CT104" s="386">
        <f>IF(Q102="作業者2",K105-K102,0)</f>
        <v/>
      </c>
      <c r="CU104" s="387" t="n"/>
      <c r="CV104" s="387" t="n"/>
      <c r="CW104" s="387" t="n"/>
      <c r="CX104" s="388" t="n"/>
      <c r="CZ104" s="253" t="inlineStr">
        <is>
          <t>時間外</t>
        </is>
      </c>
      <c r="DA104" s="384" t="n"/>
      <c r="DB104" s="384" t="n"/>
      <c r="DC104" s="385" t="n"/>
      <c r="DD104" s="386">
        <f>IF(Q102="作業者3",K105-K102,0)</f>
        <v/>
      </c>
      <c r="DE104" s="387" t="n"/>
      <c r="DF104" s="387" t="n"/>
      <c r="DG104" s="387" t="n"/>
      <c r="DH104" s="388" t="n"/>
      <c r="DJ104" s="253" t="inlineStr">
        <is>
          <t>時間外</t>
        </is>
      </c>
      <c r="DK104" s="384" t="n"/>
      <c r="DL104" s="384" t="n"/>
      <c r="DM104" s="385" t="n"/>
      <c r="DN104" s="386">
        <f>IF(Q102="作業者4",K105-K102,0)</f>
        <v/>
      </c>
      <c r="DO104" s="387" t="n"/>
      <c r="DP104" s="387" t="n"/>
      <c r="DQ104" s="387" t="n"/>
      <c r="DR104" s="388" t="n"/>
      <c r="DT104" s="253" t="inlineStr">
        <is>
          <t>時間外</t>
        </is>
      </c>
      <c r="DU104" s="384" t="n"/>
      <c r="DV104" s="384" t="n"/>
      <c r="DW104" s="385" t="n"/>
      <c r="DX104" s="386">
        <f>IF(Q102="作業者5",K105-K102,0)</f>
        <v/>
      </c>
      <c r="DY104" s="387" t="n"/>
      <c r="DZ104" s="387" t="n"/>
      <c r="EA104" s="387" t="n"/>
      <c r="EB104" s="388" t="n"/>
    </row>
    <row r="105" ht="9" customHeight="1" s="337">
      <c r="B105" s="389" t="n"/>
      <c r="C105" s="390" t="n"/>
      <c r="D105" s="391" t="n"/>
      <c r="E105" s="392" t="n"/>
      <c r="F105" s="390" t="n"/>
      <c r="G105" s="391" t="n"/>
      <c r="H105" s="392" t="n"/>
      <c r="I105" s="390" t="n"/>
      <c r="J105" s="391" t="n"/>
      <c r="K105" s="392" t="n"/>
      <c r="L105" s="390" t="n"/>
      <c r="M105" s="391" t="n"/>
      <c r="N105" s="392" t="n"/>
      <c r="O105" s="390" t="n"/>
      <c r="P105" s="391" t="n"/>
      <c r="Q105" s="393" t="n"/>
      <c r="R105" s="390" t="n"/>
      <c r="S105" s="391" t="n"/>
      <c r="T105" s="393" t="n"/>
      <c r="U105" s="390" t="n"/>
      <c r="V105" s="391" t="n"/>
      <c r="W105" s="393" t="n"/>
      <c r="X105" s="390" t="n"/>
      <c r="Y105" s="390" t="n"/>
      <c r="Z105" s="390" t="n"/>
      <c r="AA105" s="390" t="n"/>
      <c r="AB105" s="390" t="n"/>
      <c r="AC105" s="390" t="n"/>
      <c r="AD105" s="390" t="n"/>
      <c r="AE105" s="390" t="n"/>
      <c r="AF105" s="390" t="n"/>
      <c r="AG105" s="390" t="n"/>
      <c r="AH105" s="390" t="n"/>
      <c r="AI105" s="390" t="n"/>
      <c r="AJ105" s="390" t="n"/>
      <c r="AK105" s="390" t="n"/>
      <c r="AL105" s="390" t="n"/>
      <c r="AM105" s="390" t="n"/>
      <c r="AN105" s="390" t="n"/>
      <c r="AO105" s="390" t="n"/>
      <c r="AP105" s="390" t="n"/>
      <c r="AQ105" s="390" t="n"/>
      <c r="AR105" s="390" t="n"/>
      <c r="AS105" s="390" t="n"/>
      <c r="AT105" s="390" t="n"/>
      <c r="AU105" s="390" t="n"/>
      <c r="AV105" s="390" t="n"/>
      <c r="AW105" s="390" t="n"/>
      <c r="AX105" s="390" t="n"/>
      <c r="AY105" s="390" t="n"/>
      <c r="AZ105" s="390" t="n"/>
      <c r="BA105" s="390" t="n"/>
      <c r="BB105" s="390" t="n"/>
      <c r="BC105" s="390" t="n"/>
      <c r="BD105" s="390" t="n"/>
      <c r="BE105" s="390" t="n"/>
      <c r="BF105" s="390" t="n"/>
      <c r="BG105" s="390" t="n"/>
      <c r="BH105" s="390" t="n"/>
      <c r="BI105" s="390" t="n"/>
      <c r="BJ105" s="390" t="n"/>
      <c r="BK105" s="390" t="n"/>
      <c r="BL105" s="390" t="n"/>
      <c r="BM105" s="390" t="n"/>
      <c r="BN105" s="390" t="n"/>
      <c r="BO105" s="390" t="n"/>
      <c r="BP105" s="390" t="n"/>
      <c r="BQ105" s="390" t="n"/>
      <c r="BR105" s="390" t="n"/>
      <c r="BS105" s="390" t="n"/>
      <c r="BT105" s="390" t="n"/>
      <c r="BU105" s="390" t="n"/>
      <c r="BV105" s="390" t="n"/>
      <c r="BW105" s="390" t="n"/>
      <c r="BX105" s="390" t="n"/>
      <c r="BY105" s="390" t="n"/>
      <c r="BZ105" s="390" t="n"/>
      <c r="CA105" s="390" t="n"/>
      <c r="CB105" s="390" t="n"/>
      <c r="CC105" s="394" t="n"/>
      <c r="CF105" s="254" t="inlineStr">
        <is>
          <t>休日</t>
        </is>
      </c>
      <c r="CG105" s="395" t="n"/>
      <c r="CH105" s="395" t="n"/>
      <c r="CI105" s="396" t="n"/>
      <c r="CJ105" s="386">
        <f>IF(Q102="作業者1",N105-N102,0)</f>
        <v/>
      </c>
      <c r="CK105" s="387" t="n"/>
      <c r="CL105" s="387" t="n"/>
      <c r="CM105" s="387" t="n"/>
      <c r="CN105" s="388" t="n"/>
      <c r="CP105" s="253" t="inlineStr">
        <is>
          <t>休日</t>
        </is>
      </c>
      <c r="CQ105" s="384" t="n"/>
      <c r="CR105" s="384" t="n"/>
      <c r="CS105" s="385" t="n"/>
      <c r="CT105" s="386">
        <f>IF(Q102="作業者2",N105-N102,0)</f>
        <v/>
      </c>
      <c r="CU105" s="387" t="n"/>
      <c r="CV105" s="387" t="n"/>
      <c r="CW105" s="387" t="n"/>
      <c r="CX105" s="388" t="n"/>
      <c r="CZ105" s="254" t="inlineStr">
        <is>
          <t>休日</t>
        </is>
      </c>
      <c r="DA105" s="395" t="n"/>
      <c r="DB105" s="395" t="n"/>
      <c r="DC105" s="396" t="n"/>
      <c r="DD105" s="397">
        <f>IF(Q102="作業者3",N105-N102,0)</f>
        <v/>
      </c>
      <c r="DE105" s="395" t="n"/>
      <c r="DF105" s="395" t="n"/>
      <c r="DG105" s="395" t="n"/>
      <c r="DH105" s="396" t="n"/>
      <c r="DJ105" s="254" t="inlineStr">
        <is>
          <t>休日</t>
        </is>
      </c>
      <c r="DK105" s="395" t="n"/>
      <c r="DL105" s="395" t="n"/>
      <c r="DM105" s="396" t="n"/>
      <c r="DN105" s="397">
        <f>IF(Q102="作業者4",N105-N102,0)</f>
        <v/>
      </c>
      <c r="DO105" s="395" t="n"/>
      <c r="DP105" s="395" t="n"/>
      <c r="DQ105" s="395" t="n"/>
      <c r="DR105" s="396" t="n"/>
      <c r="DT105" s="254" t="inlineStr">
        <is>
          <t>休日</t>
        </is>
      </c>
      <c r="DU105" s="395" t="n"/>
      <c r="DV105" s="395" t="n"/>
      <c r="DW105" s="396" t="n"/>
      <c r="DX105" s="397">
        <f>IF(Q102="作業者5",N105-N102,0)</f>
        <v/>
      </c>
      <c r="DY105" s="395" t="n"/>
      <c r="DZ105" s="395" t="n"/>
      <c r="EA105" s="395" t="n"/>
      <c r="EB105" s="396" t="n"/>
    </row>
    <row r="106" ht="9" customHeight="1" s="337">
      <c r="B106" s="398" t="n"/>
      <c r="C106" s="372" t="n"/>
      <c r="D106" s="373" t="n"/>
      <c r="E106" s="399" t="n"/>
      <c r="F106" s="372" t="n"/>
      <c r="G106" s="373" t="n"/>
      <c r="H106" s="399" t="n"/>
      <c r="I106" s="372" t="n"/>
      <c r="J106" s="373" t="n"/>
      <c r="K106" s="399" t="n"/>
      <c r="L106" s="372" t="n"/>
      <c r="M106" s="373" t="n"/>
      <c r="N106" s="399" t="n"/>
      <c r="O106" s="372" t="n"/>
      <c r="P106" s="373" t="n"/>
      <c r="Q106" s="371" t="n"/>
      <c r="R106" s="372" t="n"/>
      <c r="S106" s="373" t="n"/>
      <c r="T106" s="371" t="n"/>
      <c r="U106" s="372" t="n"/>
      <c r="V106" s="373" t="n"/>
      <c r="W106" s="401" t="n"/>
      <c r="X106" s="372" t="n"/>
      <c r="Y106" s="372" t="n"/>
      <c r="Z106" s="372" t="n"/>
      <c r="AA106" s="372" t="n"/>
      <c r="AB106" s="372" t="n"/>
      <c r="AC106" s="372" t="n"/>
      <c r="AD106" s="372" t="n"/>
      <c r="AE106" s="372" t="n"/>
      <c r="AF106" s="372" t="n"/>
      <c r="AG106" s="372" t="n"/>
      <c r="AH106" s="372" t="n"/>
      <c r="AI106" s="372" t="n"/>
      <c r="AJ106" s="372" t="n"/>
      <c r="AK106" s="372" t="n"/>
      <c r="AL106" s="372" t="n"/>
      <c r="AM106" s="372" t="n"/>
      <c r="AN106" s="372" t="n"/>
      <c r="AO106" s="372" t="n"/>
      <c r="AP106" s="372" t="n"/>
      <c r="AQ106" s="372" t="n"/>
      <c r="AR106" s="372" t="n"/>
      <c r="AS106" s="372" t="n"/>
      <c r="AT106" s="372" t="n"/>
      <c r="AU106" s="372" t="n"/>
      <c r="AV106" s="372" t="n"/>
      <c r="AW106" s="372" t="n"/>
      <c r="AX106" s="372" t="n"/>
      <c r="AY106" s="372" t="n"/>
      <c r="AZ106" s="372" t="n"/>
      <c r="BA106" s="372" t="n"/>
      <c r="BB106" s="372" t="n"/>
      <c r="BC106" s="372" t="n"/>
      <c r="BD106" s="372" t="n"/>
      <c r="BE106" s="372" t="n"/>
      <c r="BF106" s="372" t="n"/>
      <c r="BG106" s="372" t="n"/>
      <c r="BH106" s="372" t="n"/>
      <c r="BI106" s="372" t="n"/>
      <c r="BJ106" s="372" t="n"/>
      <c r="BK106" s="372" t="n"/>
      <c r="BL106" s="372" t="n"/>
      <c r="BM106" s="372" t="n"/>
      <c r="BN106" s="372" t="n"/>
      <c r="BO106" s="372" t="n"/>
      <c r="BP106" s="372" t="n"/>
      <c r="BQ106" s="372" t="n"/>
      <c r="BR106" s="372" t="n"/>
      <c r="BS106" s="372" t="n"/>
      <c r="BT106" s="372" t="n"/>
      <c r="BU106" s="372" t="n"/>
      <c r="BV106" s="372" t="n"/>
      <c r="BW106" s="372" t="n"/>
      <c r="BX106" s="372" t="n"/>
      <c r="BY106" s="372" t="n"/>
      <c r="BZ106" s="372" t="n"/>
      <c r="CA106" s="372" t="n"/>
      <c r="CB106" s="372" t="n"/>
      <c r="CC106" s="402" t="n"/>
      <c r="CF106" s="259" t="inlineStr">
        <is>
          <t>移動</t>
        </is>
      </c>
      <c r="CG106" s="403" t="n"/>
      <c r="CH106" s="403" t="n"/>
      <c r="CI106" s="404" t="n"/>
      <c r="CJ106" s="379">
        <f>IF(Q106="作業者1",E109-E106,0)</f>
        <v/>
      </c>
      <c r="CK106" s="377" t="n"/>
      <c r="CL106" s="377" t="n"/>
      <c r="CM106" s="377" t="n"/>
      <c r="CN106" s="378" t="n"/>
      <c r="CP106" s="248" t="inlineStr">
        <is>
          <t>移動</t>
        </is>
      </c>
      <c r="CQ106" s="377" t="n"/>
      <c r="CR106" s="377" t="n"/>
      <c r="CS106" s="378" t="n"/>
      <c r="CT106" s="379">
        <f>IF(Q106="作業者2",E109-E106,0)</f>
        <v/>
      </c>
      <c r="CU106" s="377" t="n"/>
      <c r="CV106" s="377" t="n"/>
      <c r="CW106" s="377" t="n"/>
      <c r="CX106" s="378" t="n"/>
      <c r="CZ106" s="259" t="inlineStr">
        <is>
          <t>移動</t>
        </is>
      </c>
      <c r="DA106" s="403" t="n"/>
      <c r="DB106" s="403" t="n"/>
      <c r="DC106" s="404" t="n"/>
      <c r="DD106" s="405">
        <f>IF(Q106="作業者3",E109-E106,0)</f>
        <v/>
      </c>
      <c r="DE106" s="406" t="n"/>
      <c r="DF106" s="406" t="n"/>
      <c r="DG106" s="406" t="n"/>
      <c r="DH106" s="407" t="n"/>
      <c r="DJ106" s="259" t="inlineStr">
        <is>
          <t>移動</t>
        </is>
      </c>
      <c r="DK106" s="403" t="n"/>
      <c r="DL106" s="403" t="n"/>
      <c r="DM106" s="404" t="n"/>
      <c r="DN106" s="379">
        <f>IF(Q106="作業者4",E109-E106,0)</f>
        <v/>
      </c>
      <c r="DO106" s="377" t="n"/>
      <c r="DP106" s="377" t="n"/>
      <c r="DQ106" s="377" t="n"/>
      <c r="DR106" s="378" t="n"/>
      <c r="DT106" s="259" t="inlineStr">
        <is>
          <t>移動</t>
        </is>
      </c>
      <c r="DU106" s="403" t="n"/>
      <c r="DV106" s="403" t="n"/>
      <c r="DW106" s="404" t="n"/>
      <c r="DX106" s="379">
        <f>IF(Q106="作業者5",E109-E106,0)</f>
        <v/>
      </c>
      <c r="DY106" s="377" t="n"/>
      <c r="DZ106" s="377" t="n"/>
      <c r="EA106" s="377" t="n"/>
      <c r="EB106" s="378" t="n"/>
    </row>
    <row r="107" ht="9" customHeight="1" s="337">
      <c r="B107" s="350" t="n"/>
      <c r="C107" s="338" t="n"/>
      <c r="D107" s="380" t="n"/>
      <c r="E107" s="381" t="n"/>
      <c r="F107" s="122" t="inlineStr">
        <is>
          <t>～</t>
        </is>
      </c>
      <c r="G107" s="22" t="n"/>
      <c r="H107" s="381" t="n"/>
      <c r="I107" s="122" t="inlineStr">
        <is>
          <t>～</t>
        </is>
      </c>
      <c r="J107" s="22" t="n"/>
      <c r="K107" s="381" t="n"/>
      <c r="L107" s="122" t="inlineStr">
        <is>
          <t>～</t>
        </is>
      </c>
      <c r="M107" s="22" t="n"/>
      <c r="N107" s="381" t="n"/>
      <c r="O107" s="122" t="inlineStr">
        <is>
          <t>～</t>
        </is>
      </c>
      <c r="P107" s="22" t="n"/>
      <c r="Q107" s="382" t="n"/>
      <c r="R107" s="338" t="n"/>
      <c r="S107" s="380" t="n"/>
      <c r="T107" s="382" t="n"/>
      <c r="U107" s="338" t="n"/>
      <c r="V107" s="380" t="n"/>
      <c r="W107" s="382" t="n"/>
      <c r="X107" s="338" t="n"/>
      <c r="Y107" s="338" t="n"/>
      <c r="Z107" s="338" t="n"/>
      <c r="AA107" s="338" t="n"/>
      <c r="AB107" s="338" t="n"/>
      <c r="AC107" s="338" t="n"/>
      <c r="AD107" s="338" t="n"/>
      <c r="AE107" s="338" t="n"/>
      <c r="AF107" s="338" t="n"/>
      <c r="AG107" s="338" t="n"/>
      <c r="AH107" s="338" t="n"/>
      <c r="AI107" s="338" t="n"/>
      <c r="AJ107" s="338" t="n"/>
      <c r="AK107" s="338" t="n"/>
      <c r="AL107" s="338" t="n"/>
      <c r="AM107" s="338" t="n"/>
      <c r="AN107" s="338" t="n"/>
      <c r="AO107" s="338" t="n"/>
      <c r="AP107" s="338" t="n"/>
      <c r="AQ107" s="338" t="n"/>
      <c r="AR107" s="338" t="n"/>
      <c r="AS107" s="338" t="n"/>
      <c r="AT107" s="338" t="n"/>
      <c r="AU107" s="338" t="n"/>
      <c r="AV107" s="338" t="n"/>
      <c r="AW107" s="338" t="n"/>
      <c r="AX107" s="338" t="n"/>
      <c r="AY107" s="338" t="n"/>
      <c r="AZ107" s="338" t="n"/>
      <c r="BA107" s="338" t="n"/>
      <c r="BB107" s="338" t="n"/>
      <c r="BC107" s="338" t="n"/>
      <c r="BD107" s="338" t="n"/>
      <c r="BE107" s="338" t="n"/>
      <c r="BF107" s="338" t="n"/>
      <c r="BG107" s="338" t="n"/>
      <c r="BH107" s="338" t="n"/>
      <c r="BI107" s="338" t="n"/>
      <c r="BJ107" s="338" t="n"/>
      <c r="BK107" s="338" t="n"/>
      <c r="BL107" s="338" t="n"/>
      <c r="BM107" s="338" t="n"/>
      <c r="BN107" s="338" t="n"/>
      <c r="BO107" s="338" t="n"/>
      <c r="BP107" s="338" t="n"/>
      <c r="BQ107" s="338" t="n"/>
      <c r="BR107" s="338" t="n"/>
      <c r="BS107" s="338" t="n"/>
      <c r="BT107" s="338" t="n"/>
      <c r="BU107" s="338" t="n"/>
      <c r="BV107" s="338" t="n"/>
      <c r="BW107" s="338" t="n"/>
      <c r="BX107" s="338" t="n"/>
      <c r="BY107" s="338" t="n"/>
      <c r="BZ107" s="338" t="n"/>
      <c r="CA107" s="338" t="n"/>
      <c r="CB107" s="338" t="n"/>
      <c r="CC107" s="383" t="n"/>
      <c r="CF107" s="253" t="inlineStr">
        <is>
          <t>時間内</t>
        </is>
      </c>
      <c r="CG107" s="384" t="n"/>
      <c r="CH107" s="384" t="n"/>
      <c r="CI107" s="385" t="n"/>
      <c r="CJ107" s="386">
        <f>IF(Q106="作業者1",H109-H106,0)</f>
        <v/>
      </c>
      <c r="CK107" s="387" t="n"/>
      <c r="CL107" s="387" t="n"/>
      <c r="CM107" s="387" t="n"/>
      <c r="CN107" s="388" t="n"/>
      <c r="CP107" s="253" t="inlineStr">
        <is>
          <t>時間内</t>
        </is>
      </c>
      <c r="CQ107" s="384" t="n"/>
      <c r="CR107" s="384" t="n"/>
      <c r="CS107" s="385" t="n"/>
      <c r="CT107" s="386">
        <f>IF(Q106="作業者2",H109-H106,0)</f>
        <v/>
      </c>
      <c r="CU107" s="387" t="n"/>
      <c r="CV107" s="387" t="n"/>
      <c r="CW107" s="387" t="n"/>
      <c r="CX107" s="388" t="n"/>
      <c r="CZ107" s="253" t="inlineStr">
        <is>
          <t>時間内</t>
        </is>
      </c>
      <c r="DA107" s="384" t="n"/>
      <c r="DB107" s="384" t="n"/>
      <c r="DC107" s="385" t="n"/>
      <c r="DD107" s="386">
        <f>IF(Q106="作業者3",H109-H106,0)</f>
        <v/>
      </c>
      <c r="DE107" s="387" t="n"/>
      <c r="DF107" s="387" t="n"/>
      <c r="DG107" s="387" t="n"/>
      <c r="DH107" s="388" t="n"/>
      <c r="DJ107" s="253" t="inlineStr">
        <is>
          <t>時間内</t>
        </is>
      </c>
      <c r="DK107" s="384" t="n"/>
      <c r="DL107" s="384" t="n"/>
      <c r="DM107" s="385" t="n"/>
      <c r="DN107" s="386">
        <f>IF(Q106="作業者4",H109-H106,0)</f>
        <v/>
      </c>
      <c r="DO107" s="387" t="n"/>
      <c r="DP107" s="387" t="n"/>
      <c r="DQ107" s="387" t="n"/>
      <c r="DR107" s="388" t="n"/>
      <c r="DT107" s="253" t="inlineStr">
        <is>
          <t>時間内</t>
        </is>
      </c>
      <c r="DU107" s="384" t="n"/>
      <c r="DV107" s="384" t="n"/>
      <c r="DW107" s="385" t="n"/>
      <c r="DX107" s="386">
        <f>IF(Q106="作業者5",H109-H106,0)</f>
        <v/>
      </c>
      <c r="DY107" s="387" t="n"/>
      <c r="DZ107" s="387" t="n"/>
      <c r="EA107" s="387" t="n"/>
      <c r="EB107" s="388" t="n"/>
    </row>
    <row r="108" ht="9" customHeight="1" s="337">
      <c r="B108" s="350" t="n"/>
      <c r="C108" s="338" t="n"/>
      <c r="D108" s="380" t="n"/>
      <c r="E108" s="23" t="n"/>
      <c r="F108" s="338" t="n"/>
      <c r="G108" s="24" t="n"/>
      <c r="H108" s="23" t="n"/>
      <c r="I108" s="338" t="n"/>
      <c r="J108" s="24" t="n"/>
      <c r="K108" s="23" t="n"/>
      <c r="L108" s="338" t="n"/>
      <c r="M108" s="24" t="n"/>
      <c r="N108" s="23" t="n"/>
      <c r="O108" s="338" t="n"/>
      <c r="P108" s="24" t="n"/>
      <c r="Q108" s="382" t="n"/>
      <c r="R108" s="338" t="n"/>
      <c r="S108" s="380" t="n"/>
      <c r="T108" s="382" t="n"/>
      <c r="U108" s="338" t="n"/>
      <c r="V108" s="380" t="n"/>
      <c r="W108" s="382" t="n"/>
      <c r="X108" s="338" t="n"/>
      <c r="Y108" s="338" t="n"/>
      <c r="Z108" s="338" t="n"/>
      <c r="AA108" s="338" t="n"/>
      <c r="AB108" s="338" t="n"/>
      <c r="AC108" s="338" t="n"/>
      <c r="AD108" s="338" t="n"/>
      <c r="AE108" s="338" t="n"/>
      <c r="AF108" s="338" t="n"/>
      <c r="AG108" s="338" t="n"/>
      <c r="AH108" s="338" t="n"/>
      <c r="AI108" s="338" t="n"/>
      <c r="AJ108" s="338" t="n"/>
      <c r="AK108" s="338" t="n"/>
      <c r="AL108" s="338" t="n"/>
      <c r="AM108" s="338" t="n"/>
      <c r="AN108" s="338" t="n"/>
      <c r="AO108" s="338" t="n"/>
      <c r="AP108" s="338" t="n"/>
      <c r="AQ108" s="338" t="n"/>
      <c r="AR108" s="338" t="n"/>
      <c r="AS108" s="338" t="n"/>
      <c r="AT108" s="338" t="n"/>
      <c r="AU108" s="338" t="n"/>
      <c r="AV108" s="338" t="n"/>
      <c r="AW108" s="338" t="n"/>
      <c r="AX108" s="338" t="n"/>
      <c r="AY108" s="338" t="n"/>
      <c r="AZ108" s="338" t="n"/>
      <c r="BA108" s="338" t="n"/>
      <c r="BB108" s="338" t="n"/>
      <c r="BC108" s="338" t="n"/>
      <c r="BD108" s="338" t="n"/>
      <c r="BE108" s="338" t="n"/>
      <c r="BF108" s="338" t="n"/>
      <c r="BG108" s="338" t="n"/>
      <c r="BH108" s="338" t="n"/>
      <c r="BI108" s="338" t="n"/>
      <c r="BJ108" s="338" t="n"/>
      <c r="BK108" s="338" t="n"/>
      <c r="BL108" s="338" t="n"/>
      <c r="BM108" s="338" t="n"/>
      <c r="BN108" s="338" t="n"/>
      <c r="BO108" s="338" t="n"/>
      <c r="BP108" s="338" t="n"/>
      <c r="BQ108" s="338" t="n"/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83" t="n"/>
      <c r="CF108" s="253" t="inlineStr">
        <is>
          <t>時間外</t>
        </is>
      </c>
      <c r="CG108" s="384" t="n"/>
      <c r="CH108" s="384" t="n"/>
      <c r="CI108" s="385" t="n"/>
      <c r="CJ108" s="386">
        <f>IF(Q106="作業者1",K109-K106,0)</f>
        <v/>
      </c>
      <c r="CK108" s="387" t="n"/>
      <c r="CL108" s="387" t="n"/>
      <c r="CM108" s="387" t="n"/>
      <c r="CN108" s="388" t="n"/>
      <c r="CP108" s="253" t="inlineStr">
        <is>
          <t>時間外</t>
        </is>
      </c>
      <c r="CQ108" s="384" t="n"/>
      <c r="CR108" s="384" t="n"/>
      <c r="CS108" s="385" t="n"/>
      <c r="CT108" s="386">
        <f>IF(Q106="作業者2",K109-K106,0)</f>
        <v/>
      </c>
      <c r="CU108" s="387" t="n"/>
      <c r="CV108" s="387" t="n"/>
      <c r="CW108" s="387" t="n"/>
      <c r="CX108" s="388" t="n"/>
      <c r="CZ108" s="253" t="inlineStr">
        <is>
          <t>時間外</t>
        </is>
      </c>
      <c r="DA108" s="384" t="n"/>
      <c r="DB108" s="384" t="n"/>
      <c r="DC108" s="385" t="n"/>
      <c r="DD108" s="386">
        <f>IF(Q106="作業者3",K109-K106,0)</f>
        <v/>
      </c>
      <c r="DE108" s="387" t="n"/>
      <c r="DF108" s="387" t="n"/>
      <c r="DG108" s="387" t="n"/>
      <c r="DH108" s="388" t="n"/>
      <c r="DJ108" s="253" t="inlineStr">
        <is>
          <t>時間外</t>
        </is>
      </c>
      <c r="DK108" s="384" t="n"/>
      <c r="DL108" s="384" t="n"/>
      <c r="DM108" s="385" t="n"/>
      <c r="DN108" s="386">
        <f>IF(Q106="作業者4",K109-K106,0)</f>
        <v/>
      </c>
      <c r="DO108" s="387" t="n"/>
      <c r="DP108" s="387" t="n"/>
      <c r="DQ108" s="387" t="n"/>
      <c r="DR108" s="388" t="n"/>
      <c r="DT108" s="253" t="inlineStr">
        <is>
          <t>時間外</t>
        </is>
      </c>
      <c r="DU108" s="384" t="n"/>
      <c r="DV108" s="384" t="n"/>
      <c r="DW108" s="385" t="n"/>
      <c r="DX108" s="386">
        <f>IF(Q106="作業者5",K109-K106,0)</f>
        <v/>
      </c>
      <c r="DY108" s="387" t="n"/>
      <c r="DZ108" s="387" t="n"/>
      <c r="EA108" s="387" t="n"/>
      <c r="EB108" s="388" t="n"/>
    </row>
    <row r="109" ht="9" customHeight="1" s="337">
      <c r="B109" s="389" t="n"/>
      <c r="C109" s="390" t="n"/>
      <c r="D109" s="391" t="n"/>
      <c r="E109" s="392" t="n"/>
      <c r="F109" s="390" t="n"/>
      <c r="G109" s="391" t="n"/>
      <c r="H109" s="392" t="n"/>
      <c r="I109" s="390" t="n"/>
      <c r="J109" s="391" t="n"/>
      <c r="K109" s="392" t="n"/>
      <c r="L109" s="390" t="n"/>
      <c r="M109" s="391" t="n"/>
      <c r="N109" s="392" t="n"/>
      <c r="O109" s="390" t="n"/>
      <c r="P109" s="391" t="n"/>
      <c r="Q109" s="393" t="n"/>
      <c r="R109" s="390" t="n"/>
      <c r="S109" s="391" t="n"/>
      <c r="T109" s="393" t="n"/>
      <c r="U109" s="390" t="n"/>
      <c r="V109" s="391" t="n"/>
      <c r="W109" s="393" t="n"/>
      <c r="X109" s="390" t="n"/>
      <c r="Y109" s="390" t="n"/>
      <c r="Z109" s="390" t="n"/>
      <c r="AA109" s="390" t="n"/>
      <c r="AB109" s="390" t="n"/>
      <c r="AC109" s="390" t="n"/>
      <c r="AD109" s="390" t="n"/>
      <c r="AE109" s="390" t="n"/>
      <c r="AF109" s="390" t="n"/>
      <c r="AG109" s="390" t="n"/>
      <c r="AH109" s="390" t="n"/>
      <c r="AI109" s="390" t="n"/>
      <c r="AJ109" s="390" t="n"/>
      <c r="AK109" s="390" t="n"/>
      <c r="AL109" s="390" t="n"/>
      <c r="AM109" s="390" t="n"/>
      <c r="AN109" s="390" t="n"/>
      <c r="AO109" s="390" t="n"/>
      <c r="AP109" s="390" t="n"/>
      <c r="AQ109" s="390" t="n"/>
      <c r="AR109" s="390" t="n"/>
      <c r="AS109" s="390" t="n"/>
      <c r="AT109" s="390" t="n"/>
      <c r="AU109" s="390" t="n"/>
      <c r="AV109" s="390" t="n"/>
      <c r="AW109" s="390" t="n"/>
      <c r="AX109" s="390" t="n"/>
      <c r="AY109" s="390" t="n"/>
      <c r="AZ109" s="390" t="n"/>
      <c r="BA109" s="390" t="n"/>
      <c r="BB109" s="390" t="n"/>
      <c r="BC109" s="390" t="n"/>
      <c r="BD109" s="390" t="n"/>
      <c r="BE109" s="390" t="n"/>
      <c r="BF109" s="390" t="n"/>
      <c r="BG109" s="390" t="n"/>
      <c r="BH109" s="390" t="n"/>
      <c r="BI109" s="390" t="n"/>
      <c r="BJ109" s="390" t="n"/>
      <c r="BK109" s="390" t="n"/>
      <c r="BL109" s="390" t="n"/>
      <c r="BM109" s="390" t="n"/>
      <c r="BN109" s="390" t="n"/>
      <c r="BO109" s="390" t="n"/>
      <c r="BP109" s="390" t="n"/>
      <c r="BQ109" s="390" t="n"/>
      <c r="BR109" s="390" t="n"/>
      <c r="BS109" s="390" t="n"/>
      <c r="BT109" s="390" t="n"/>
      <c r="BU109" s="390" t="n"/>
      <c r="BV109" s="390" t="n"/>
      <c r="BW109" s="390" t="n"/>
      <c r="BX109" s="390" t="n"/>
      <c r="BY109" s="390" t="n"/>
      <c r="BZ109" s="390" t="n"/>
      <c r="CA109" s="390" t="n"/>
      <c r="CB109" s="390" t="n"/>
      <c r="CC109" s="394" t="n"/>
      <c r="CF109" s="254" t="inlineStr">
        <is>
          <t>休日</t>
        </is>
      </c>
      <c r="CG109" s="395" t="n"/>
      <c r="CH109" s="395" t="n"/>
      <c r="CI109" s="396" t="n"/>
      <c r="CJ109" s="397">
        <f>IF(Q106="作業者1",N109-N106,0)</f>
        <v/>
      </c>
      <c r="CK109" s="395" t="n"/>
      <c r="CL109" s="395" t="n"/>
      <c r="CM109" s="395" t="n"/>
      <c r="CN109" s="396" t="n"/>
      <c r="CP109" s="254" t="inlineStr">
        <is>
          <t>休日</t>
        </is>
      </c>
      <c r="CQ109" s="395" t="n"/>
      <c r="CR109" s="395" t="n"/>
      <c r="CS109" s="396" t="n"/>
      <c r="CT109" s="397">
        <f>IF(Q106="作業者2",N109-N106,0)</f>
        <v/>
      </c>
      <c r="CU109" s="395" t="n"/>
      <c r="CV109" s="395" t="n"/>
      <c r="CW109" s="395" t="n"/>
      <c r="CX109" s="396" t="n"/>
      <c r="CZ109" s="254" t="inlineStr">
        <is>
          <t>休日</t>
        </is>
      </c>
      <c r="DA109" s="395" t="n"/>
      <c r="DB109" s="395" t="n"/>
      <c r="DC109" s="396" t="n"/>
      <c r="DD109" s="397">
        <f>IF(Q106="作業者3",N109-N106,0)</f>
        <v/>
      </c>
      <c r="DE109" s="395" t="n"/>
      <c r="DF109" s="395" t="n"/>
      <c r="DG109" s="395" t="n"/>
      <c r="DH109" s="396" t="n"/>
      <c r="DJ109" s="254" t="inlineStr">
        <is>
          <t>休日</t>
        </is>
      </c>
      <c r="DK109" s="395" t="n"/>
      <c r="DL109" s="395" t="n"/>
      <c r="DM109" s="396" t="n"/>
      <c r="DN109" s="397">
        <f>IF(Q106="作業者4",N109-N106,0)</f>
        <v/>
      </c>
      <c r="DO109" s="395" t="n"/>
      <c r="DP109" s="395" t="n"/>
      <c r="DQ109" s="395" t="n"/>
      <c r="DR109" s="396" t="n"/>
      <c r="DT109" s="254" t="inlineStr">
        <is>
          <t>休日</t>
        </is>
      </c>
      <c r="DU109" s="395" t="n"/>
      <c r="DV109" s="395" t="n"/>
      <c r="DW109" s="396" t="n"/>
      <c r="DX109" s="397">
        <f>IF(Q106="作業者5",N109-N106,0)</f>
        <v/>
      </c>
      <c r="DY109" s="395" t="n"/>
      <c r="DZ109" s="395" t="n"/>
      <c r="EA109" s="395" t="n"/>
      <c r="EB109" s="396" t="n"/>
    </row>
    <row r="110" ht="9" customHeight="1" s="337">
      <c r="B110" s="398" t="n"/>
      <c r="C110" s="372" t="n"/>
      <c r="D110" s="373" t="n"/>
      <c r="E110" s="399" t="n"/>
      <c r="F110" s="372" t="n"/>
      <c r="G110" s="373" t="n"/>
      <c r="H110" s="399" t="n"/>
      <c r="I110" s="372" t="n"/>
      <c r="J110" s="373" t="n"/>
      <c r="K110" s="399" t="n"/>
      <c r="L110" s="372" t="n"/>
      <c r="M110" s="373" t="n"/>
      <c r="N110" s="399" t="n"/>
      <c r="O110" s="372" t="n"/>
      <c r="P110" s="373" t="n"/>
      <c r="Q110" s="371" t="n"/>
      <c r="R110" s="372" t="n"/>
      <c r="S110" s="373" t="n"/>
      <c r="T110" s="371" t="n"/>
      <c r="U110" s="372" t="n"/>
      <c r="V110" s="373" t="n"/>
      <c r="W110" s="401" t="n"/>
      <c r="X110" s="372" t="n"/>
      <c r="Y110" s="372" t="n"/>
      <c r="Z110" s="372" t="n"/>
      <c r="AA110" s="372" t="n"/>
      <c r="AB110" s="372" t="n"/>
      <c r="AC110" s="372" t="n"/>
      <c r="AD110" s="372" t="n"/>
      <c r="AE110" s="372" t="n"/>
      <c r="AF110" s="372" t="n"/>
      <c r="AG110" s="372" t="n"/>
      <c r="AH110" s="372" t="n"/>
      <c r="AI110" s="372" t="n"/>
      <c r="AJ110" s="372" t="n"/>
      <c r="AK110" s="372" t="n"/>
      <c r="AL110" s="372" t="n"/>
      <c r="AM110" s="372" t="n"/>
      <c r="AN110" s="372" t="n"/>
      <c r="AO110" s="372" t="n"/>
      <c r="AP110" s="372" t="n"/>
      <c r="AQ110" s="372" t="n"/>
      <c r="AR110" s="372" t="n"/>
      <c r="AS110" s="372" t="n"/>
      <c r="AT110" s="372" t="n"/>
      <c r="AU110" s="372" t="n"/>
      <c r="AV110" s="372" t="n"/>
      <c r="AW110" s="372" t="n"/>
      <c r="AX110" s="372" t="n"/>
      <c r="AY110" s="372" t="n"/>
      <c r="AZ110" s="372" t="n"/>
      <c r="BA110" s="372" t="n"/>
      <c r="BB110" s="372" t="n"/>
      <c r="BC110" s="372" t="n"/>
      <c r="BD110" s="372" t="n"/>
      <c r="BE110" s="372" t="n"/>
      <c r="BF110" s="372" t="n"/>
      <c r="BG110" s="372" t="n"/>
      <c r="BH110" s="372" t="n"/>
      <c r="BI110" s="372" t="n"/>
      <c r="BJ110" s="372" t="n"/>
      <c r="BK110" s="372" t="n"/>
      <c r="BL110" s="372" t="n"/>
      <c r="BM110" s="372" t="n"/>
      <c r="BN110" s="372" t="n"/>
      <c r="BO110" s="372" t="n"/>
      <c r="BP110" s="372" t="n"/>
      <c r="BQ110" s="372" t="n"/>
      <c r="BR110" s="372" t="n"/>
      <c r="BS110" s="372" t="n"/>
      <c r="BT110" s="372" t="n"/>
      <c r="BU110" s="372" t="n"/>
      <c r="BV110" s="372" t="n"/>
      <c r="BW110" s="372" t="n"/>
      <c r="BX110" s="372" t="n"/>
      <c r="BY110" s="372" t="n"/>
      <c r="BZ110" s="372" t="n"/>
      <c r="CA110" s="372" t="n"/>
      <c r="CB110" s="372" t="n"/>
      <c r="CC110" s="402" t="n"/>
      <c r="CF110" s="248" t="inlineStr">
        <is>
          <t>移動</t>
        </is>
      </c>
      <c r="CG110" s="377" t="n"/>
      <c r="CH110" s="377" t="n"/>
      <c r="CI110" s="378" t="n"/>
      <c r="CJ110" s="379">
        <f>IF(Q110="作業者1",E113-E110,0)</f>
        <v/>
      </c>
      <c r="CK110" s="377" t="n"/>
      <c r="CL110" s="377" t="n"/>
      <c r="CM110" s="377" t="n"/>
      <c r="CN110" s="378" t="n"/>
      <c r="CP110" s="248" t="inlineStr">
        <is>
          <t>移動</t>
        </is>
      </c>
      <c r="CQ110" s="377" t="n"/>
      <c r="CR110" s="377" t="n"/>
      <c r="CS110" s="378" t="n"/>
      <c r="CT110" s="379">
        <f>IF(Q110="作業者2",E113-E110,0)</f>
        <v/>
      </c>
      <c r="CU110" s="377" t="n"/>
      <c r="CV110" s="377" t="n"/>
      <c r="CW110" s="377" t="n"/>
      <c r="CX110" s="378" t="n"/>
      <c r="CZ110" s="248" t="inlineStr">
        <is>
          <t>移動</t>
        </is>
      </c>
      <c r="DA110" s="377" t="n"/>
      <c r="DB110" s="377" t="n"/>
      <c r="DC110" s="378" t="n"/>
      <c r="DD110" s="379">
        <f>IF(Q110="作業者3",E113-E110,0)</f>
        <v/>
      </c>
      <c r="DE110" s="377" t="n"/>
      <c r="DF110" s="377" t="n"/>
      <c r="DG110" s="377" t="n"/>
      <c r="DH110" s="378" t="n"/>
      <c r="DJ110" s="259" t="inlineStr">
        <is>
          <t>移動</t>
        </is>
      </c>
      <c r="DK110" s="403" t="n"/>
      <c r="DL110" s="403" t="n"/>
      <c r="DM110" s="404" t="n"/>
      <c r="DN110" s="379">
        <f>IF(Q110="作業者4",E113-E110,0)</f>
        <v/>
      </c>
      <c r="DO110" s="377" t="n"/>
      <c r="DP110" s="377" t="n"/>
      <c r="DQ110" s="377" t="n"/>
      <c r="DR110" s="378" t="n"/>
      <c r="DT110" s="259" t="inlineStr">
        <is>
          <t>移動</t>
        </is>
      </c>
      <c r="DU110" s="403" t="n"/>
      <c r="DV110" s="403" t="n"/>
      <c r="DW110" s="404" t="n"/>
      <c r="DX110" s="379">
        <f>IF(Q110="作業者5",E113-E110,0)</f>
        <v/>
      </c>
      <c r="DY110" s="377" t="n"/>
      <c r="DZ110" s="377" t="n"/>
      <c r="EA110" s="377" t="n"/>
      <c r="EB110" s="378" t="n"/>
    </row>
    <row r="111" ht="9" customHeight="1" s="337">
      <c r="B111" s="350" t="n"/>
      <c r="C111" s="338" t="n"/>
      <c r="D111" s="380" t="n"/>
      <c r="E111" s="381" t="n"/>
      <c r="F111" s="122" t="inlineStr">
        <is>
          <t>～</t>
        </is>
      </c>
      <c r="G111" s="22" t="n"/>
      <c r="H111" s="381" t="n"/>
      <c r="I111" s="122" t="inlineStr">
        <is>
          <t>～</t>
        </is>
      </c>
      <c r="J111" s="22" t="n"/>
      <c r="K111" s="381" t="n"/>
      <c r="L111" s="122" t="inlineStr">
        <is>
          <t>～</t>
        </is>
      </c>
      <c r="M111" s="22" t="n"/>
      <c r="N111" s="381" t="n"/>
      <c r="O111" s="122" t="inlineStr">
        <is>
          <t>～</t>
        </is>
      </c>
      <c r="P111" s="22" t="n"/>
      <c r="Q111" s="382" t="n"/>
      <c r="R111" s="338" t="n"/>
      <c r="S111" s="380" t="n"/>
      <c r="T111" s="382" t="n"/>
      <c r="U111" s="338" t="n"/>
      <c r="V111" s="380" t="n"/>
      <c r="W111" s="382" t="n"/>
      <c r="X111" s="338" t="n"/>
      <c r="Y111" s="338" t="n"/>
      <c r="Z111" s="338" t="n"/>
      <c r="AA111" s="338" t="n"/>
      <c r="AB111" s="338" t="n"/>
      <c r="AC111" s="338" t="n"/>
      <c r="AD111" s="338" t="n"/>
      <c r="AE111" s="338" t="n"/>
      <c r="AF111" s="338" t="n"/>
      <c r="AG111" s="338" t="n"/>
      <c r="AH111" s="338" t="n"/>
      <c r="AI111" s="338" t="n"/>
      <c r="AJ111" s="338" t="n"/>
      <c r="AK111" s="338" t="n"/>
      <c r="AL111" s="338" t="n"/>
      <c r="AM111" s="338" t="n"/>
      <c r="AN111" s="338" t="n"/>
      <c r="AO111" s="338" t="n"/>
      <c r="AP111" s="338" t="n"/>
      <c r="AQ111" s="338" t="n"/>
      <c r="AR111" s="338" t="n"/>
      <c r="AS111" s="338" t="n"/>
      <c r="AT111" s="338" t="n"/>
      <c r="AU111" s="338" t="n"/>
      <c r="AV111" s="338" t="n"/>
      <c r="AW111" s="338" t="n"/>
      <c r="AX111" s="338" t="n"/>
      <c r="AY111" s="338" t="n"/>
      <c r="AZ111" s="338" t="n"/>
      <c r="BA111" s="338" t="n"/>
      <c r="BB111" s="338" t="n"/>
      <c r="BC111" s="338" t="n"/>
      <c r="BD111" s="338" t="n"/>
      <c r="BE111" s="338" t="n"/>
      <c r="BF111" s="338" t="n"/>
      <c r="BG111" s="338" t="n"/>
      <c r="BH111" s="338" t="n"/>
      <c r="BI111" s="338" t="n"/>
      <c r="BJ111" s="338" t="n"/>
      <c r="BK111" s="338" t="n"/>
      <c r="BL111" s="338" t="n"/>
      <c r="BM111" s="338" t="n"/>
      <c r="BN111" s="338" t="n"/>
      <c r="BO111" s="338" t="n"/>
      <c r="BP111" s="338" t="n"/>
      <c r="BQ111" s="338" t="n"/>
      <c r="BR111" s="338" t="n"/>
      <c r="BS111" s="338" t="n"/>
      <c r="BT111" s="338" t="n"/>
      <c r="BU111" s="338" t="n"/>
      <c r="BV111" s="338" t="n"/>
      <c r="BW111" s="338" t="n"/>
      <c r="BX111" s="338" t="n"/>
      <c r="BY111" s="338" t="n"/>
      <c r="BZ111" s="338" t="n"/>
      <c r="CA111" s="338" t="n"/>
      <c r="CB111" s="338" t="n"/>
      <c r="CC111" s="383" t="n"/>
      <c r="CF111" s="253" t="inlineStr">
        <is>
          <t>時間内</t>
        </is>
      </c>
      <c r="CG111" s="384" t="n"/>
      <c r="CH111" s="384" t="n"/>
      <c r="CI111" s="385" t="n"/>
      <c r="CJ111" s="386">
        <f>IF(Q110="作業者1",H113-H110,0)</f>
        <v/>
      </c>
      <c r="CK111" s="387" t="n"/>
      <c r="CL111" s="387" t="n"/>
      <c r="CM111" s="387" t="n"/>
      <c r="CN111" s="388" t="n"/>
      <c r="CP111" s="253" t="inlineStr">
        <is>
          <t>時間内</t>
        </is>
      </c>
      <c r="CQ111" s="384" t="n"/>
      <c r="CR111" s="384" t="n"/>
      <c r="CS111" s="385" t="n"/>
      <c r="CT111" s="386">
        <f>IF(Q110="作業者2",H113-H110,0)</f>
        <v/>
      </c>
      <c r="CU111" s="387" t="n"/>
      <c r="CV111" s="387" t="n"/>
      <c r="CW111" s="387" t="n"/>
      <c r="CX111" s="388" t="n"/>
      <c r="CZ111" s="253" t="inlineStr">
        <is>
          <t>時間内</t>
        </is>
      </c>
      <c r="DA111" s="384" t="n"/>
      <c r="DB111" s="384" t="n"/>
      <c r="DC111" s="385" t="n"/>
      <c r="DD111" s="386">
        <f>IF(Q110="作業者3",H113-H110,0)</f>
        <v/>
      </c>
      <c r="DE111" s="387" t="n"/>
      <c r="DF111" s="387" t="n"/>
      <c r="DG111" s="387" t="n"/>
      <c r="DH111" s="388" t="n"/>
      <c r="DJ111" s="253" t="inlineStr">
        <is>
          <t>時間内</t>
        </is>
      </c>
      <c r="DK111" s="384" t="n"/>
      <c r="DL111" s="384" t="n"/>
      <c r="DM111" s="385" t="n"/>
      <c r="DN111" s="386">
        <f>IF(Q110="作業者4",H113-H110,0)</f>
        <v/>
      </c>
      <c r="DO111" s="387" t="n"/>
      <c r="DP111" s="387" t="n"/>
      <c r="DQ111" s="387" t="n"/>
      <c r="DR111" s="388" t="n"/>
      <c r="DT111" s="253" t="inlineStr">
        <is>
          <t>時間内</t>
        </is>
      </c>
      <c r="DU111" s="384" t="n"/>
      <c r="DV111" s="384" t="n"/>
      <c r="DW111" s="385" t="n"/>
      <c r="DX111" s="386">
        <f>IF(Q110="作業者5",H113-H110,0)</f>
        <v/>
      </c>
      <c r="DY111" s="387" t="n"/>
      <c r="DZ111" s="387" t="n"/>
      <c r="EA111" s="387" t="n"/>
      <c r="EB111" s="388" t="n"/>
    </row>
    <row r="112" ht="9" customHeight="1" s="337">
      <c r="B112" s="350" t="n"/>
      <c r="C112" s="338" t="n"/>
      <c r="D112" s="380" t="n"/>
      <c r="E112" s="23" t="n"/>
      <c r="F112" s="338" t="n"/>
      <c r="G112" s="24" t="n"/>
      <c r="H112" s="23" t="n"/>
      <c r="I112" s="338" t="n"/>
      <c r="J112" s="24" t="n"/>
      <c r="K112" s="23" t="n"/>
      <c r="L112" s="338" t="n"/>
      <c r="M112" s="24" t="n"/>
      <c r="N112" s="23" t="n"/>
      <c r="O112" s="338" t="n"/>
      <c r="P112" s="24" t="n"/>
      <c r="Q112" s="382" t="n"/>
      <c r="R112" s="338" t="n"/>
      <c r="S112" s="380" t="n"/>
      <c r="T112" s="382" t="n"/>
      <c r="U112" s="338" t="n"/>
      <c r="V112" s="380" t="n"/>
      <c r="W112" s="382" t="n"/>
      <c r="X112" s="338" t="n"/>
      <c r="Y112" s="338" t="n"/>
      <c r="Z112" s="338" t="n"/>
      <c r="AA112" s="338" t="n"/>
      <c r="AB112" s="338" t="n"/>
      <c r="AC112" s="338" t="n"/>
      <c r="AD112" s="338" t="n"/>
      <c r="AE112" s="338" t="n"/>
      <c r="AF112" s="338" t="n"/>
      <c r="AG112" s="338" t="n"/>
      <c r="AH112" s="338" t="n"/>
      <c r="AI112" s="338" t="n"/>
      <c r="AJ112" s="338" t="n"/>
      <c r="AK112" s="338" t="n"/>
      <c r="AL112" s="338" t="n"/>
      <c r="AM112" s="338" t="n"/>
      <c r="AN112" s="338" t="n"/>
      <c r="AO112" s="338" t="n"/>
      <c r="AP112" s="338" t="n"/>
      <c r="AQ112" s="338" t="n"/>
      <c r="AR112" s="338" t="n"/>
      <c r="AS112" s="338" t="n"/>
      <c r="AT112" s="338" t="n"/>
      <c r="AU112" s="338" t="n"/>
      <c r="AV112" s="338" t="n"/>
      <c r="AW112" s="338" t="n"/>
      <c r="AX112" s="338" t="n"/>
      <c r="AY112" s="338" t="n"/>
      <c r="AZ112" s="338" t="n"/>
      <c r="BA112" s="338" t="n"/>
      <c r="BB112" s="338" t="n"/>
      <c r="BC112" s="338" t="n"/>
      <c r="BD112" s="338" t="n"/>
      <c r="BE112" s="338" t="n"/>
      <c r="BF112" s="338" t="n"/>
      <c r="BG112" s="338" t="n"/>
      <c r="BH112" s="338" t="n"/>
      <c r="BI112" s="338" t="n"/>
      <c r="BJ112" s="338" t="n"/>
      <c r="BK112" s="338" t="n"/>
      <c r="BL112" s="338" t="n"/>
      <c r="BM112" s="338" t="n"/>
      <c r="BN112" s="338" t="n"/>
      <c r="BO112" s="338" t="n"/>
      <c r="BP112" s="338" t="n"/>
      <c r="BQ112" s="338" t="n"/>
      <c r="BR112" s="338" t="n"/>
      <c r="BS112" s="338" t="n"/>
      <c r="BT112" s="338" t="n"/>
      <c r="BU112" s="338" t="n"/>
      <c r="BV112" s="338" t="n"/>
      <c r="BW112" s="338" t="n"/>
      <c r="BX112" s="338" t="n"/>
      <c r="BY112" s="338" t="n"/>
      <c r="BZ112" s="338" t="n"/>
      <c r="CA112" s="338" t="n"/>
      <c r="CB112" s="338" t="n"/>
      <c r="CC112" s="383" t="n"/>
      <c r="CF112" s="253" t="inlineStr">
        <is>
          <t>時間外</t>
        </is>
      </c>
      <c r="CG112" s="384" t="n"/>
      <c r="CH112" s="384" t="n"/>
      <c r="CI112" s="385" t="n"/>
      <c r="CJ112" s="386">
        <f>IF(Q110="作業者1",K113-K110,0)</f>
        <v/>
      </c>
      <c r="CK112" s="387" t="n"/>
      <c r="CL112" s="387" t="n"/>
      <c r="CM112" s="387" t="n"/>
      <c r="CN112" s="388" t="n"/>
      <c r="CP112" s="253" t="inlineStr">
        <is>
          <t>時間外</t>
        </is>
      </c>
      <c r="CQ112" s="384" t="n"/>
      <c r="CR112" s="384" t="n"/>
      <c r="CS112" s="385" t="n"/>
      <c r="CT112" s="386">
        <f>IF(Q110="作業者2",K113-K110,0)</f>
        <v/>
      </c>
      <c r="CU112" s="387" t="n"/>
      <c r="CV112" s="387" t="n"/>
      <c r="CW112" s="387" t="n"/>
      <c r="CX112" s="388" t="n"/>
      <c r="CZ112" s="253" t="inlineStr">
        <is>
          <t>時間外</t>
        </is>
      </c>
      <c r="DA112" s="384" t="n"/>
      <c r="DB112" s="384" t="n"/>
      <c r="DC112" s="385" t="n"/>
      <c r="DD112" s="386">
        <f>IF(Q110="作業者3",K113-K110,0)</f>
        <v/>
      </c>
      <c r="DE112" s="387" t="n"/>
      <c r="DF112" s="387" t="n"/>
      <c r="DG112" s="387" t="n"/>
      <c r="DH112" s="388" t="n"/>
      <c r="DJ112" s="253" t="inlineStr">
        <is>
          <t>時間外</t>
        </is>
      </c>
      <c r="DK112" s="384" t="n"/>
      <c r="DL112" s="384" t="n"/>
      <c r="DM112" s="385" t="n"/>
      <c r="DN112" s="386">
        <f>IF(Q110="作業者4",K113-K110,0)</f>
        <v/>
      </c>
      <c r="DO112" s="387" t="n"/>
      <c r="DP112" s="387" t="n"/>
      <c r="DQ112" s="387" t="n"/>
      <c r="DR112" s="388" t="n"/>
      <c r="DT112" s="253" t="inlineStr">
        <is>
          <t>時間外</t>
        </is>
      </c>
      <c r="DU112" s="384" t="n"/>
      <c r="DV112" s="384" t="n"/>
      <c r="DW112" s="385" t="n"/>
      <c r="DX112" s="386">
        <f>IF(Q110="作業者5",K113-K110,0)</f>
        <v/>
      </c>
      <c r="DY112" s="387" t="n"/>
      <c r="DZ112" s="387" t="n"/>
      <c r="EA112" s="387" t="n"/>
      <c r="EB112" s="388" t="n"/>
    </row>
    <row r="113" ht="9" customHeight="1" s="337">
      <c r="B113" s="389" t="n"/>
      <c r="C113" s="390" t="n"/>
      <c r="D113" s="391" t="n"/>
      <c r="E113" s="392" t="n"/>
      <c r="F113" s="390" t="n"/>
      <c r="G113" s="391" t="n"/>
      <c r="H113" s="392" t="n"/>
      <c r="I113" s="390" t="n"/>
      <c r="J113" s="391" t="n"/>
      <c r="K113" s="392" t="n"/>
      <c r="L113" s="390" t="n"/>
      <c r="M113" s="391" t="n"/>
      <c r="N113" s="392" t="n"/>
      <c r="O113" s="390" t="n"/>
      <c r="P113" s="391" t="n"/>
      <c r="Q113" s="393" t="n"/>
      <c r="R113" s="390" t="n"/>
      <c r="S113" s="391" t="n"/>
      <c r="T113" s="393" t="n"/>
      <c r="U113" s="390" t="n"/>
      <c r="V113" s="391" t="n"/>
      <c r="W113" s="393" t="n"/>
      <c r="X113" s="390" t="n"/>
      <c r="Y113" s="390" t="n"/>
      <c r="Z113" s="390" t="n"/>
      <c r="AA113" s="390" t="n"/>
      <c r="AB113" s="390" t="n"/>
      <c r="AC113" s="390" t="n"/>
      <c r="AD113" s="390" t="n"/>
      <c r="AE113" s="390" t="n"/>
      <c r="AF113" s="390" t="n"/>
      <c r="AG113" s="390" t="n"/>
      <c r="AH113" s="390" t="n"/>
      <c r="AI113" s="390" t="n"/>
      <c r="AJ113" s="390" t="n"/>
      <c r="AK113" s="390" t="n"/>
      <c r="AL113" s="390" t="n"/>
      <c r="AM113" s="390" t="n"/>
      <c r="AN113" s="390" t="n"/>
      <c r="AO113" s="390" t="n"/>
      <c r="AP113" s="390" t="n"/>
      <c r="AQ113" s="390" t="n"/>
      <c r="AR113" s="390" t="n"/>
      <c r="AS113" s="390" t="n"/>
      <c r="AT113" s="390" t="n"/>
      <c r="AU113" s="390" t="n"/>
      <c r="AV113" s="390" t="n"/>
      <c r="AW113" s="390" t="n"/>
      <c r="AX113" s="390" t="n"/>
      <c r="AY113" s="390" t="n"/>
      <c r="AZ113" s="390" t="n"/>
      <c r="BA113" s="390" t="n"/>
      <c r="BB113" s="390" t="n"/>
      <c r="BC113" s="390" t="n"/>
      <c r="BD113" s="390" t="n"/>
      <c r="BE113" s="390" t="n"/>
      <c r="BF113" s="390" t="n"/>
      <c r="BG113" s="390" t="n"/>
      <c r="BH113" s="390" t="n"/>
      <c r="BI113" s="390" t="n"/>
      <c r="BJ113" s="390" t="n"/>
      <c r="BK113" s="390" t="n"/>
      <c r="BL113" s="390" t="n"/>
      <c r="BM113" s="390" t="n"/>
      <c r="BN113" s="390" t="n"/>
      <c r="BO113" s="390" t="n"/>
      <c r="BP113" s="390" t="n"/>
      <c r="BQ113" s="390" t="n"/>
      <c r="BR113" s="390" t="n"/>
      <c r="BS113" s="390" t="n"/>
      <c r="BT113" s="390" t="n"/>
      <c r="BU113" s="390" t="n"/>
      <c r="BV113" s="390" t="n"/>
      <c r="BW113" s="390" t="n"/>
      <c r="BX113" s="390" t="n"/>
      <c r="BY113" s="390" t="n"/>
      <c r="BZ113" s="390" t="n"/>
      <c r="CA113" s="390" t="n"/>
      <c r="CB113" s="390" t="n"/>
      <c r="CC113" s="394" t="n"/>
      <c r="CF113" s="254" t="inlineStr">
        <is>
          <t>休日</t>
        </is>
      </c>
      <c r="CG113" s="395" t="n"/>
      <c r="CH113" s="395" t="n"/>
      <c r="CI113" s="396" t="n"/>
      <c r="CJ113" s="386">
        <f>IF(Q110="作業者1",N113-N110,0)</f>
        <v/>
      </c>
      <c r="CK113" s="387" t="n"/>
      <c r="CL113" s="387" t="n"/>
      <c r="CM113" s="387" t="n"/>
      <c r="CN113" s="388" t="n"/>
      <c r="CP113" s="253" t="inlineStr">
        <is>
          <t>休日</t>
        </is>
      </c>
      <c r="CQ113" s="384" t="n"/>
      <c r="CR113" s="384" t="n"/>
      <c r="CS113" s="385" t="n"/>
      <c r="CT113" s="386">
        <f>IF(Q110="作業者2",N113-N110,0)</f>
        <v/>
      </c>
      <c r="CU113" s="387" t="n"/>
      <c r="CV113" s="387" t="n"/>
      <c r="CW113" s="387" t="n"/>
      <c r="CX113" s="388" t="n"/>
      <c r="CZ113" s="254" t="inlineStr">
        <is>
          <t>休日</t>
        </is>
      </c>
      <c r="DA113" s="395" t="n"/>
      <c r="DB113" s="395" t="n"/>
      <c r="DC113" s="396" t="n"/>
      <c r="DD113" s="397">
        <f>IF(Q110="作業者3",N113-N110,0)</f>
        <v/>
      </c>
      <c r="DE113" s="395" t="n"/>
      <c r="DF113" s="395" t="n"/>
      <c r="DG113" s="395" t="n"/>
      <c r="DH113" s="396" t="n"/>
      <c r="DJ113" s="254" t="inlineStr">
        <is>
          <t>休日</t>
        </is>
      </c>
      <c r="DK113" s="395" t="n"/>
      <c r="DL113" s="395" t="n"/>
      <c r="DM113" s="396" t="n"/>
      <c r="DN113" s="397">
        <f>IF(Q110="作業者4",N113-N110,0)</f>
        <v/>
      </c>
      <c r="DO113" s="395" t="n"/>
      <c r="DP113" s="395" t="n"/>
      <c r="DQ113" s="395" t="n"/>
      <c r="DR113" s="396" t="n"/>
      <c r="DT113" s="254" t="inlineStr">
        <is>
          <t>休日</t>
        </is>
      </c>
      <c r="DU113" s="395" t="n"/>
      <c r="DV113" s="395" t="n"/>
      <c r="DW113" s="396" t="n"/>
      <c r="DX113" s="397">
        <f>IF(Q110="作業者5",N113-N110,0)</f>
        <v/>
      </c>
      <c r="DY113" s="395" t="n"/>
      <c r="DZ113" s="395" t="n"/>
      <c r="EA113" s="395" t="n"/>
      <c r="EB113" s="396" t="n"/>
    </row>
    <row r="114" ht="9" customHeight="1" s="337">
      <c r="B114" s="398" t="n"/>
      <c r="C114" s="372" t="n"/>
      <c r="D114" s="373" t="n"/>
      <c r="E114" s="399" t="n"/>
      <c r="F114" s="372" t="n"/>
      <c r="G114" s="373" t="n"/>
      <c r="H114" s="399" t="n"/>
      <c r="I114" s="372" t="n"/>
      <c r="J114" s="373" t="n"/>
      <c r="K114" s="399" t="n"/>
      <c r="L114" s="372" t="n"/>
      <c r="M114" s="373" t="n"/>
      <c r="N114" s="399" t="n"/>
      <c r="O114" s="372" t="n"/>
      <c r="P114" s="373" t="n"/>
      <c r="Q114" s="371" t="n"/>
      <c r="R114" s="372" t="n"/>
      <c r="S114" s="373" t="n"/>
      <c r="T114" s="371" t="n"/>
      <c r="U114" s="372" t="n"/>
      <c r="V114" s="373" t="n"/>
      <c r="W114" s="401" t="n"/>
      <c r="X114" s="372" t="n"/>
      <c r="Y114" s="372" t="n"/>
      <c r="Z114" s="372" t="n"/>
      <c r="AA114" s="372" t="n"/>
      <c r="AB114" s="372" t="n"/>
      <c r="AC114" s="372" t="n"/>
      <c r="AD114" s="372" t="n"/>
      <c r="AE114" s="372" t="n"/>
      <c r="AF114" s="372" t="n"/>
      <c r="AG114" s="372" t="n"/>
      <c r="AH114" s="372" t="n"/>
      <c r="AI114" s="372" t="n"/>
      <c r="AJ114" s="372" t="n"/>
      <c r="AK114" s="372" t="n"/>
      <c r="AL114" s="372" t="n"/>
      <c r="AM114" s="372" t="n"/>
      <c r="AN114" s="372" t="n"/>
      <c r="AO114" s="372" t="n"/>
      <c r="AP114" s="372" t="n"/>
      <c r="AQ114" s="372" t="n"/>
      <c r="AR114" s="372" t="n"/>
      <c r="AS114" s="372" t="n"/>
      <c r="AT114" s="372" t="n"/>
      <c r="AU114" s="372" t="n"/>
      <c r="AV114" s="372" t="n"/>
      <c r="AW114" s="372" t="n"/>
      <c r="AX114" s="372" t="n"/>
      <c r="AY114" s="372" t="n"/>
      <c r="AZ114" s="372" t="n"/>
      <c r="BA114" s="372" t="n"/>
      <c r="BB114" s="372" t="n"/>
      <c r="BC114" s="372" t="n"/>
      <c r="BD114" s="372" t="n"/>
      <c r="BE114" s="372" t="n"/>
      <c r="BF114" s="372" t="n"/>
      <c r="BG114" s="372" t="n"/>
      <c r="BH114" s="372" t="n"/>
      <c r="BI114" s="372" t="n"/>
      <c r="BJ114" s="372" t="n"/>
      <c r="BK114" s="372" t="n"/>
      <c r="BL114" s="372" t="n"/>
      <c r="BM114" s="372" t="n"/>
      <c r="BN114" s="372" t="n"/>
      <c r="BO114" s="372" t="n"/>
      <c r="BP114" s="372" t="n"/>
      <c r="BQ114" s="372" t="n"/>
      <c r="BR114" s="372" t="n"/>
      <c r="BS114" s="372" t="n"/>
      <c r="BT114" s="372" t="n"/>
      <c r="BU114" s="372" t="n"/>
      <c r="BV114" s="372" t="n"/>
      <c r="BW114" s="372" t="n"/>
      <c r="BX114" s="372" t="n"/>
      <c r="BY114" s="372" t="n"/>
      <c r="BZ114" s="372" t="n"/>
      <c r="CA114" s="372" t="n"/>
      <c r="CB114" s="372" t="n"/>
      <c r="CC114" s="402" t="n"/>
      <c r="CF114" s="259" t="inlineStr">
        <is>
          <t>移動</t>
        </is>
      </c>
      <c r="CG114" s="403" t="n"/>
      <c r="CH114" s="403" t="n"/>
      <c r="CI114" s="404" t="n"/>
      <c r="CJ114" s="379">
        <f>IF(Q114="作業者1",E117-E114,0)</f>
        <v/>
      </c>
      <c r="CK114" s="377" t="n"/>
      <c r="CL114" s="377" t="n"/>
      <c r="CM114" s="377" t="n"/>
      <c r="CN114" s="378" t="n"/>
      <c r="CP114" s="248" t="inlineStr">
        <is>
          <t>移動</t>
        </is>
      </c>
      <c r="CQ114" s="377" t="n"/>
      <c r="CR114" s="377" t="n"/>
      <c r="CS114" s="378" t="n"/>
      <c r="CT114" s="379">
        <f>IF(Q114="作業者2",E117-E114,0)</f>
        <v/>
      </c>
      <c r="CU114" s="377" t="n"/>
      <c r="CV114" s="377" t="n"/>
      <c r="CW114" s="377" t="n"/>
      <c r="CX114" s="378" t="n"/>
      <c r="CZ114" s="259" t="inlineStr">
        <is>
          <t>移動</t>
        </is>
      </c>
      <c r="DA114" s="403" t="n"/>
      <c r="DB114" s="403" t="n"/>
      <c r="DC114" s="404" t="n"/>
      <c r="DD114" s="405">
        <f>IF(Q114="作業者3",E117-E114,0)</f>
        <v/>
      </c>
      <c r="DE114" s="406" t="n"/>
      <c r="DF114" s="406" t="n"/>
      <c r="DG114" s="406" t="n"/>
      <c r="DH114" s="407" t="n"/>
      <c r="DJ114" s="259" t="inlineStr">
        <is>
          <t>移動</t>
        </is>
      </c>
      <c r="DK114" s="403" t="n"/>
      <c r="DL114" s="403" t="n"/>
      <c r="DM114" s="404" t="n"/>
      <c r="DN114" s="379">
        <f>IF(Q114="作業者4",E117-E114,0)</f>
        <v/>
      </c>
      <c r="DO114" s="377" t="n"/>
      <c r="DP114" s="377" t="n"/>
      <c r="DQ114" s="377" t="n"/>
      <c r="DR114" s="378" t="n"/>
      <c r="DT114" s="259" t="inlineStr">
        <is>
          <t>移動</t>
        </is>
      </c>
      <c r="DU114" s="403" t="n"/>
      <c r="DV114" s="403" t="n"/>
      <c r="DW114" s="404" t="n"/>
      <c r="DX114" s="379">
        <f>IF(Q114="作業者5",E117-E114,0)</f>
        <v/>
      </c>
      <c r="DY114" s="377" t="n"/>
      <c r="DZ114" s="377" t="n"/>
      <c r="EA114" s="377" t="n"/>
      <c r="EB114" s="378" t="n"/>
    </row>
    <row r="115" ht="9" customHeight="1" s="337">
      <c r="B115" s="350" t="n"/>
      <c r="C115" s="338" t="n"/>
      <c r="D115" s="380" t="n"/>
      <c r="E115" s="381" t="n"/>
      <c r="F115" s="122" t="inlineStr">
        <is>
          <t>～</t>
        </is>
      </c>
      <c r="G115" s="22" t="n"/>
      <c r="H115" s="381" t="n"/>
      <c r="I115" s="122" t="inlineStr">
        <is>
          <t>～</t>
        </is>
      </c>
      <c r="J115" s="22" t="n"/>
      <c r="K115" s="381" t="n"/>
      <c r="L115" s="122" t="inlineStr">
        <is>
          <t>～</t>
        </is>
      </c>
      <c r="M115" s="22" t="n"/>
      <c r="N115" s="381" t="n"/>
      <c r="O115" s="122" t="inlineStr">
        <is>
          <t>～</t>
        </is>
      </c>
      <c r="P115" s="22" t="n"/>
      <c r="Q115" s="382" t="n"/>
      <c r="R115" s="338" t="n"/>
      <c r="S115" s="380" t="n"/>
      <c r="T115" s="382" t="n"/>
      <c r="U115" s="338" t="n"/>
      <c r="V115" s="380" t="n"/>
      <c r="W115" s="382" t="n"/>
      <c r="X115" s="338" t="n"/>
      <c r="Y115" s="338" t="n"/>
      <c r="Z115" s="338" t="n"/>
      <c r="AA115" s="338" t="n"/>
      <c r="AB115" s="338" t="n"/>
      <c r="AC115" s="338" t="n"/>
      <c r="AD115" s="338" t="n"/>
      <c r="AE115" s="338" t="n"/>
      <c r="AF115" s="338" t="n"/>
      <c r="AG115" s="338" t="n"/>
      <c r="AH115" s="338" t="n"/>
      <c r="AI115" s="338" t="n"/>
      <c r="AJ115" s="338" t="n"/>
      <c r="AK115" s="338" t="n"/>
      <c r="AL115" s="338" t="n"/>
      <c r="AM115" s="338" t="n"/>
      <c r="AN115" s="338" t="n"/>
      <c r="AO115" s="338" t="n"/>
      <c r="AP115" s="338" t="n"/>
      <c r="AQ115" s="338" t="n"/>
      <c r="AR115" s="338" t="n"/>
      <c r="AS115" s="338" t="n"/>
      <c r="AT115" s="338" t="n"/>
      <c r="AU115" s="338" t="n"/>
      <c r="AV115" s="338" t="n"/>
      <c r="AW115" s="338" t="n"/>
      <c r="AX115" s="338" t="n"/>
      <c r="AY115" s="338" t="n"/>
      <c r="AZ115" s="338" t="n"/>
      <c r="BA115" s="338" t="n"/>
      <c r="BB115" s="338" t="n"/>
      <c r="BC115" s="338" t="n"/>
      <c r="BD115" s="338" t="n"/>
      <c r="BE115" s="338" t="n"/>
      <c r="BF115" s="338" t="n"/>
      <c r="BG115" s="338" t="n"/>
      <c r="BH115" s="338" t="n"/>
      <c r="BI115" s="338" t="n"/>
      <c r="BJ115" s="338" t="n"/>
      <c r="BK115" s="338" t="n"/>
      <c r="BL115" s="338" t="n"/>
      <c r="BM115" s="338" t="n"/>
      <c r="BN115" s="338" t="n"/>
      <c r="BO115" s="338" t="n"/>
      <c r="BP115" s="338" t="n"/>
      <c r="BQ115" s="338" t="n"/>
      <c r="BR115" s="338" t="n"/>
      <c r="BS115" s="338" t="n"/>
      <c r="BT115" s="338" t="n"/>
      <c r="BU115" s="338" t="n"/>
      <c r="BV115" s="338" t="n"/>
      <c r="BW115" s="338" t="n"/>
      <c r="BX115" s="338" t="n"/>
      <c r="BY115" s="338" t="n"/>
      <c r="BZ115" s="338" t="n"/>
      <c r="CA115" s="338" t="n"/>
      <c r="CB115" s="338" t="n"/>
      <c r="CC115" s="383" t="n"/>
      <c r="CF115" s="253" t="inlineStr">
        <is>
          <t>時間内</t>
        </is>
      </c>
      <c r="CG115" s="384" t="n"/>
      <c r="CH115" s="384" t="n"/>
      <c r="CI115" s="385" t="n"/>
      <c r="CJ115" s="386">
        <f>IF(Q114="作業者1",H117-H114,0)</f>
        <v/>
      </c>
      <c r="CK115" s="387" t="n"/>
      <c r="CL115" s="387" t="n"/>
      <c r="CM115" s="387" t="n"/>
      <c r="CN115" s="388" t="n"/>
      <c r="CP115" s="253" t="inlineStr">
        <is>
          <t>時間内</t>
        </is>
      </c>
      <c r="CQ115" s="384" t="n"/>
      <c r="CR115" s="384" t="n"/>
      <c r="CS115" s="385" t="n"/>
      <c r="CT115" s="386">
        <f>IF(Q114="作業者2",H117-H114,0)</f>
        <v/>
      </c>
      <c r="CU115" s="387" t="n"/>
      <c r="CV115" s="387" t="n"/>
      <c r="CW115" s="387" t="n"/>
      <c r="CX115" s="388" t="n"/>
      <c r="CZ115" s="253" t="inlineStr">
        <is>
          <t>時間内</t>
        </is>
      </c>
      <c r="DA115" s="384" t="n"/>
      <c r="DB115" s="384" t="n"/>
      <c r="DC115" s="385" t="n"/>
      <c r="DD115" s="386">
        <f>IF(Q114="作業者3",H117-H114,0)</f>
        <v/>
      </c>
      <c r="DE115" s="387" t="n"/>
      <c r="DF115" s="387" t="n"/>
      <c r="DG115" s="387" t="n"/>
      <c r="DH115" s="388" t="n"/>
      <c r="DJ115" s="253" t="inlineStr">
        <is>
          <t>時間内</t>
        </is>
      </c>
      <c r="DK115" s="384" t="n"/>
      <c r="DL115" s="384" t="n"/>
      <c r="DM115" s="385" t="n"/>
      <c r="DN115" s="386">
        <f>IF(Q114="作業者4",H117-H114,0)</f>
        <v/>
      </c>
      <c r="DO115" s="387" t="n"/>
      <c r="DP115" s="387" t="n"/>
      <c r="DQ115" s="387" t="n"/>
      <c r="DR115" s="388" t="n"/>
      <c r="DT115" s="253" t="inlineStr">
        <is>
          <t>時間内</t>
        </is>
      </c>
      <c r="DU115" s="384" t="n"/>
      <c r="DV115" s="384" t="n"/>
      <c r="DW115" s="385" t="n"/>
      <c r="DX115" s="386">
        <f>IF(Q114="作業者5",H117-H114,0)</f>
        <v/>
      </c>
      <c r="DY115" s="387" t="n"/>
      <c r="DZ115" s="387" t="n"/>
      <c r="EA115" s="387" t="n"/>
      <c r="EB115" s="388" t="n"/>
    </row>
    <row r="116" ht="9" customHeight="1" s="337">
      <c r="B116" s="350" t="n"/>
      <c r="C116" s="338" t="n"/>
      <c r="D116" s="380" t="n"/>
      <c r="E116" s="23" t="n"/>
      <c r="F116" s="338" t="n"/>
      <c r="G116" s="24" t="n"/>
      <c r="H116" s="23" t="n"/>
      <c r="I116" s="338" t="n"/>
      <c r="J116" s="24" t="n"/>
      <c r="K116" s="23" t="n"/>
      <c r="L116" s="338" t="n"/>
      <c r="M116" s="24" t="n"/>
      <c r="N116" s="23" t="n"/>
      <c r="O116" s="338" t="n"/>
      <c r="P116" s="24" t="n"/>
      <c r="Q116" s="382" t="n"/>
      <c r="R116" s="338" t="n"/>
      <c r="S116" s="380" t="n"/>
      <c r="T116" s="382" t="n"/>
      <c r="U116" s="338" t="n"/>
      <c r="V116" s="380" t="n"/>
      <c r="W116" s="382" t="n"/>
      <c r="X116" s="338" t="n"/>
      <c r="Y116" s="338" t="n"/>
      <c r="Z116" s="338" t="n"/>
      <c r="AA116" s="338" t="n"/>
      <c r="AB116" s="338" t="n"/>
      <c r="AC116" s="338" t="n"/>
      <c r="AD116" s="338" t="n"/>
      <c r="AE116" s="338" t="n"/>
      <c r="AF116" s="338" t="n"/>
      <c r="AG116" s="338" t="n"/>
      <c r="AH116" s="338" t="n"/>
      <c r="AI116" s="338" t="n"/>
      <c r="AJ116" s="338" t="n"/>
      <c r="AK116" s="338" t="n"/>
      <c r="AL116" s="338" t="n"/>
      <c r="AM116" s="338" t="n"/>
      <c r="AN116" s="338" t="n"/>
      <c r="AO116" s="338" t="n"/>
      <c r="AP116" s="338" t="n"/>
      <c r="AQ116" s="338" t="n"/>
      <c r="AR116" s="338" t="n"/>
      <c r="AS116" s="338" t="n"/>
      <c r="AT116" s="338" t="n"/>
      <c r="AU116" s="338" t="n"/>
      <c r="AV116" s="338" t="n"/>
      <c r="AW116" s="338" t="n"/>
      <c r="AX116" s="338" t="n"/>
      <c r="AY116" s="338" t="n"/>
      <c r="AZ116" s="338" t="n"/>
      <c r="BA116" s="338" t="n"/>
      <c r="BB116" s="338" t="n"/>
      <c r="BC116" s="338" t="n"/>
      <c r="BD116" s="338" t="n"/>
      <c r="BE116" s="338" t="n"/>
      <c r="BF116" s="338" t="n"/>
      <c r="BG116" s="338" t="n"/>
      <c r="BH116" s="338" t="n"/>
      <c r="BI116" s="338" t="n"/>
      <c r="BJ116" s="338" t="n"/>
      <c r="BK116" s="338" t="n"/>
      <c r="BL116" s="338" t="n"/>
      <c r="BM116" s="338" t="n"/>
      <c r="BN116" s="338" t="n"/>
      <c r="BO116" s="338" t="n"/>
      <c r="BP116" s="338" t="n"/>
      <c r="BQ116" s="338" t="n"/>
      <c r="BR116" s="338" t="n"/>
      <c r="BS116" s="338" t="n"/>
      <c r="BT116" s="338" t="n"/>
      <c r="BU116" s="338" t="n"/>
      <c r="BV116" s="338" t="n"/>
      <c r="BW116" s="338" t="n"/>
      <c r="BX116" s="338" t="n"/>
      <c r="BY116" s="338" t="n"/>
      <c r="BZ116" s="338" t="n"/>
      <c r="CA116" s="338" t="n"/>
      <c r="CB116" s="338" t="n"/>
      <c r="CC116" s="383" t="n"/>
      <c r="CF116" s="253" t="inlineStr">
        <is>
          <t>時間外</t>
        </is>
      </c>
      <c r="CG116" s="384" t="n"/>
      <c r="CH116" s="384" t="n"/>
      <c r="CI116" s="385" t="n"/>
      <c r="CJ116" s="386">
        <f>IF(Q114="作業者1",K117-K114,0)</f>
        <v/>
      </c>
      <c r="CK116" s="387" t="n"/>
      <c r="CL116" s="387" t="n"/>
      <c r="CM116" s="387" t="n"/>
      <c r="CN116" s="388" t="n"/>
      <c r="CP116" s="253" t="inlineStr">
        <is>
          <t>時間外</t>
        </is>
      </c>
      <c r="CQ116" s="384" t="n"/>
      <c r="CR116" s="384" t="n"/>
      <c r="CS116" s="385" t="n"/>
      <c r="CT116" s="386">
        <f>IF(Q114="作業者2",K117-K114,0)</f>
        <v/>
      </c>
      <c r="CU116" s="387" t="n"/>
      <c r="CV116" s="387" t="n"/>
      <c r="CW116" s="387" t="n"/>
      <c r="CX116" s="388" t="n"/>
      <c r="CZ116" s="253" t="inlineStr">
        <is>
          <t>時間外</t>
        </is>
      </c>
      <c r="DA116" s="384" t="n"/>
      <c r="DB116" s="384" t="n"/>
      <c r="DC116" s="385" t="n"/>
      <c r="DD116" s="386">
        <f>IF(Q114="作業者3",K117-K114,0)</f>
        <v/>
      </c>
      <c r="DE116" s="387" t="n"/>
      <c r="DF116" s="387" t="n"/>
      <c r="DG116" s="387" t="n"/>
      <c r="DH116" s="388" t="n"/>
      <c r="DJ116" s="253" t="inlineStr">
        <is>
          <t>時間外</t>
        </is>
      </c>
      <c r="DK116" s="384" t="n"/>
      <c r="DL116" s="384" t="n"/>
      <c r="DM116" s="385" t="n"/>
      <c r="DN116" s="386">
        <f>IF(Q114="作業者4",K117-K114,0)</f>
        <v/>
      </c>
      <c r="DO116" s="387" t="n"/>
      <c r="DP116" s="387" t="n"/>
      <c r="DQ116" s="387" t="n"/>
      <c r="DR116" s="388" t="n"/>
      <c r="DT116" s="253" t="inlineStr">
        <is>
          <t>時間外</t>
        </is>
      </c>
      <c r="DU116" s="384" t="n"/>
      <c r="DV116" s="384" t="n"/>
      <c r="DW116" s="385" t="n"/>
      <c r="DX116" s="386">
        <f>IF(Q114="作業者5",K117-K114,0)</f>
        <v/>
      </c>
      <c r="DY116" s="387" t="n"/>
      <c r="DZ116" s="387" t="n"/>
      <c r="EA116" s="387" t="n"/>
      <c r="EB116" s="388" t="n"/>
    </row>
    <row r="117" ht="9" customHeight="1" s="337">
      <c r="B117" s="389" t="n"/>
      <c r="C117" s="390" t="n"/>
      <c r="D117" s="391" t="n"/>
      <c r="E117" s="392" t="n"/>
      <c r="F117" s="390" t="n"/>
      <c r="G117" s="391" t="n"/>
      <c r="H117" s="392" t="n"/>
      <c r="I117" s="390" t="n"/>
      <c r="J117" s="391" t="n"/>
      <c r="K117" s="392" t="n"/>
      <c r="L117" s="390" t="n"/>
      <c r="M117" s="391" t="n"/>
      <c r="N117" s="392" t="n"/>
      <c r="O117" s="390" t="n"/>
      <c r="P117" s="391" t="n"/>
      <c r="Q117" s="393" t="n"/>
      <c r="R117" s="390" t="n"/>
      <c r="S117" s="391" t="n"/>
      <c r="T117" s="393" t="n"/>
      <c r="U117" s="390" t="n"/>
      <c r="V117" s="391" t="n"/>
      <c r="W117" s="393" t="n"/>
      <c r="X117" s="390" t="n"/>
      <c r="Y117" s="390" t="n"/>
      <c r="Z117" s="390" t="n"/>
      <c r="AA117" s="390" t="n"/>
      <c r="AB117" s="390" t="n"/>
      <c r="AC117" s="390" t="n"/>
      <c r="AD117" s="390" t="n"/>
      <c r="AE117" s="390" t="n"/>
      <c r="AF117" s="390" t="n"/>
      <c r="AG117" s="390" t="n"/>
      <c r="AH117" s="390" t="n"/>
      <c r="AI117" s="390" t="n"/>
      <c r="AJ117" s="390" t="n"/>
      <c r="AK117" s="390" t="n"/>
      <c r="AL117" s="390" t="n"/>
      <c r="AM117" s="390" t="n"/>
      <c r="AN117" s="390" t="n"/>
      <c r="AO117" s="390" t="n"/>
      <c r="AP117" s="390" t="n"/>
      <c r="AQ117" s="390" t="n"/>
      <c r="AR117" s="390" t="n"/>
      <c r="AS117" s="390" t="n"/>
      <c r="AT117" s="390" t="n"/>
      <c r="AU117" s="390" t="n"/>
      <c r="AV117" s="390" t="n"/>
      <c r="AW117" s="390" t="n"/>
      <c r="AX117" s="390" t="n"/>
      <c r="AY117" s="390" t="n"/>
      <c r="AZ117" s="390" t="n"/>
      <c r="BA117" s="390" t="n"/>
      <c r="BB117" s="390" t="n"/>
      <c r="BC117" s="390" t="n"/>
      <c r="BD117" s="390" t="n"/>
      <c r="BE117" s="390" t="n"/>
      <c r="BF117" s="390" t="n"/>
      <c r="BG117" s="390" t="n"/>
      <c r="BH117" s="390" t="n"/>
      <c r="BI117" s="390" t="n"/>
      <c r="BJ117" s="390" t="n"/>
      <c r="BK117" s="390" t="n"/>
      <c r="BL117" s="390" t="n"/>
      <c r="BM117" s="390" t="n"/>
      <c r="BN117" s="390" t="n"/>
      <c r="BO117" s="390" t="n"/>
      <c r="BP117" s="390" t="n"/>
      <c r="BQ117" s="390" t="n"/>
      <c r="BR117" s="390" t="n"/>
      <c r="BS117" s="390" t="n"/>
      <c r="BT117" s="390" t="n"/>
      <c r="BU117" s="390" t="n"/>
      <c r="BV117" s="390" t="n"/>
      <c r="BW117" s="390" t="n"/>
      <c r="BX117" s="390" t="n"/>
      <c r="BY117" s="390" t="n"/>
      <c r="BZ117" s="390" t="n"/>
      <c r="CA117" s="390" t="n"/>
      <c r="CB117" s="390" t="n"/>
      <c r="CC117" s="394" t="n"/>
      <c r="CF117" s="254" t="inlineStr">
        <is>
          <t>休日</t>
        </is>
      </c>
      <c r="CG117" s="395" t="n"/>
      <c r="CH117" s="395" t="n"/>
      <c r="CI117" s="396" t="n"/>
      <c r="CJ117" s="397">
        <f>IF(Q114="作業者1",N117-N114,0)</f>
        <v/>
      </c>
      <c r="CK117" s="395" t="n"/>
      <c r="CL117" s="395" t="n"/>
      <c r="CM117" s="395" t="n"/>
      <c r="CN117" s="396" t="n"/>
      <c r="CP117" s="254" t="inlineStr">
        <is>
          <t>休日</t>
        </is>
      </c>
      <c r="CQ117" s="395" t="n"/>
      <c r="CR117" s="395" t="n"/>
      <c r="CS117" s="396" t="n"/>
      <c r="CT117" s="397">
        <f>IF(Q114="作業者2",N117-N114,0)</f>
        <v/>
      </c>
      <c r="CU117" s="395" t="n"/>
      <c r="CV117" s="395" t="n"/>
      <c r="CW117" s="395" t="n"/>
      <c r="CX117" s="396" t="n"/>
      <c r="CZ117" s="254" t="inlineStr">
        <is>
          <t>休日</t>
        </is>
      </c>
      <c r="DA117" s="395" t="n"/>
      <c r="DB117" s="395" t="n"/>
      <c r="DC117" s="396" t="n"/>
      <c r="DD117" s="397">
        <f>IF(Q114="作業者3",N117-N114,0)</f>
        <v/>
      </c>
      <c r="DE117" s="395" t="n"/>
      <c r="DF117" s="395" t="n"/>
      <c r="DG117" s="395" t="n"/>
      <c r="DH117" s="396" t="n"/>
      <c r="DJ117" s="254" t="inlineStr">
        <is>
          <t>休日</t>
        </is>
      </c>
      <c r="DK117" s="395" t="n"/>
      <c r="DL117" s="395" t="n"/>
      <c r="DM117" s="396" t="n"/>
      <c r="DN117" s="397">
        <f>IF(Q114="作業者4",N117-N114,0)</f>
        <v/>
      </c>
      <c r="DO117" s="395" t="n"/>
      <c r="DP117" s="395" t="n"/>
      <c r="DQ117" s="395" t="n"/>
      <c r="DR117" s="396" t="n"/>
      <c r="DT117" s="254" t="inlineStr">
        <is>
          <t>休日</t>
        </is>
      </c>
      <c r="DU117" s="395" t="n"/>
      <c r="DV117" s="395" t="n"/>
      <c r="DW117" s="396" t="n"/>
      <c r="DX117" s="397">
        <f>IF(Q114="作業者5",N117-N114,0)</f>
        <v/>
      </c>
      <c r="DY117" s="395" t="n"/>
      <c r="DZ117" s="395" t="n"/>
      <c r="EA117" s="395" t="n"/>
      <c r="EB117" s="396" t="n"/>
    </row>
    <row r="118" ht="9" customHeight="1" s="337">
      <c r="B118" s="398" t="n"/>
      <c r="C118" s="372" t="n"/>
      <c r="D118" s="373" t="n"/>
      <c r="E118" s="399" t="n"/>
      <c r="F118" s="372" t="n"/>
      <c r="G118" s="373" t="n"/>
      <c r="H118" s="399" t="n"/>
      <c r="I118" s="372" t="n"/>
      <c r="J118" s="373" t="n"/>
      <c r="K118" s="399" t="n"/>
      <c r="L118" s="372" t="n"/>
      <c r="M118" s="373" t="n"/>
      <c r="N118" s="399" t="n"/>
      <c r="O118" s="372" t="n"/>
      <c r="P118" s="373" t="n"/>
      <c r="Q118" s="371" t="n"/>
      <c r="R118" s="372" t="n"/>
      <c r="S118" s="373" t="n"/>
      <c r="T118" s="371" t="n"/>
      <c r="U118" s="372" t="n"/>
      <c r="V118" s="373" t="n"/>
      <c r="W118" s="401" t="n"/>
      <c r="X118" s="372" t="n"/>
      <c r="Y118" s="372" t="n"/>
      <c r="Z118" s="372" t="n"/>
      <c r="AA118" s="372" t="n"/>
      <c r="AB118" s="372" t="n"/>
      <c r="AC118" s="372" t="n"/>
      <c r="AD118" s="372" t="n"/>
      <c r="AE118" s="372" t="n"/>
      <c r="AF118" s="372" t="n"/>
      <c r="AG118" s="372" t="n"/>
      <c r="AH118" s="372" t="n"/>
      <c r="AI118" s="372" t="n"/>
      <c r="AJ118" s="372" t="n"/>
      <c r="AK118" s="372" t="n"/>
      <c r="AL118" s="372" t="n"/>
      <c r="AM118" s="372" t="n"/>
      <c r="AN118" s="372" t="n"/>
      <c r="AO118" s="372" t="n"/>
      <c r="AP118" s="372" t="n"/>
      <c r="AQ118" s="372" t="n"/>
      <c r="AR118" s="372" t="n"/>
      <c r="AS118" s="372" t="n"/>
      <c r="AT118" s="372" t="n"/>
      <c r="AU118" s="372" t="n"/>
      <c r="AV118" s="372" t="n"/>
      <c r="AW118" s="372" t="n"/>
      <c r="AX118" s="372" t="n"/>
      <c r="AY118" s="372" t="n"/>
      <c r="AZ118" s="372" t="n"/>
      <c r="BA118" s="372" t="n"/>
      <c r="BB118" s="372" t="n"/>
      <c r="BC118" s="372" t="n"/>
      <c r="BD118" s="372" t="n"/>
      <c r="BE118" s="372" t="n"/>
      <c r="BF118" s="372" t="n"/>
      <c r="BG118" s="372" t="n"/>
      <c r="BH118" s="372" t="n"/>
      <c r="BI118" s="372" t="n"/>
      <c r="BJ118" s="372" t="n"/>
      <c r="BK118" s="372" t="n"/>
      <c r="BL118" s="372" t="n"/>
      <c r="BM118" s="372" t="n"/>
      <c r="BN118" s="372" t="n"/>
      <c r="BO118" s="372" t="n"/>
      <c r="BP118" s="372" t="n"/>
      <c r="BQ118" s="372" t="n"/>
      <c r="BR118" s="372" t="n"/>
      <c r="BS118" s="372" t="n"/>
      <c r="BT118" s="372" t="n"/>
      <c r="BU118" s="372" t="n"/>
      <c r="BV118" s="372" t="n"/>
      <c r="BW118" s="372" t="n"/>
      <c r="BX118" s="372" t="n"/>
      <c r="BY118" s="372" t="n"/>
      <c r="BZ118" s="372" t="n"/>
      <c r="CA118" s="372" t="n"/>
      <c r="CB118" s="372" t="n"/>
      <c r="CC118" s="402" t="n"/>
      <c r="CF118" s="248" t="inlineStr">
        <is>
          <t>移動</t>
        </is>
      </c>
      <c r="CG118" s="377" t="n"/>
      <c r="CH118" s="377" t="n"/>
      <c r="CI118" s="378" t="n"/>
      <c r="CJ118" s="379">
        <f>IF(Q118="作業者1",E121-E118,0)</f>
        <v/>
      </c>
      <c r="CK118" s="377" t="n"/>
      <c r="CL118" s="377" t="n"/>
      <c r="CM118" s="377" t="n"/>
      <c r="CN118" s="378" t="n"/>
      <c r="CP118" s="248" t="inlineStr">
        <is>
          <t>移動</t>
        </is>
      </c>
      <c r="CQ118" s="377" t="n"/>
      <c r="CR118" s="377" t="n"/>
      <c r="CS118" s="378" t="n"/>
      <c r="CT118" s="379">
        <f>IF(Q118="作業者2",E121-E118,0)</f>
        <v/>
      </c>
      <c r="CU118" s="377" t="n"/>
      <c r="CV118" s="377" t="n"/>
      <c r="CW118" s="377" t="n"/>
      <c r="CX118" s="378" t="n"/>
      <c r="CZ118" s="248" t="inlineStr">
        <is>
          <t>移動</t>
        </is>
      </c>
      <c r="DA118" s="377" t="n"/>
      <c r="DB118" s="377" t="n"/>
      <c r="DC118" s="378" t="n"/>
      <c r="DD118" s="379">
        <f>IF(Q118="作業者3",E121-E118,0)</f>
        <v/>
      </c>
      <c r="DE118" s="377" t="n"/>
      <c r="DF118" s="377" t="n"/>
      <c r="DG118" s="377" t="n"/>
      <c r="DH118" s="378" t="n"/>
      <c r="DJ118" s="259" t="inlineStr">
        <is>
          <t>移動</t>
        </is>
      </c>
      <c r="DK118" s="403" t="n"/>
      <c r="DL118" s="403" t="n"/>
      <c r="DM118" s="404" t="n"/>
      <c r="DN118" s="379">
        <f>IF(Q118="作業者4",E121-E118,0)</f>
        <v/>
      </c>
      <c r="DO118" s="377" t="n"/>
      <c r="DP118" s="377" t="n"/>
      <c r="DQ118" s="377" t="n"/>
      <c r="DR118" s="378" t="n"/>
      <c r="DT118" s="259" t="inlineStr">
        <is>
          <t>移動</t>
        </is>
      </c>
      <c r="DU118" s="403" t="n"/>
      <c r="DV118" s="403" t="n"/>
      <c r="DW118" s="404" t="n"/>
      <c r="DX118" s="379">
        <f>IF(Q118="作業者5",E121-E118,0)</f>
        <v/>
      </c>
      <c r="DY118" s="377" t="n"/>
      <c r="DZ118" s="377" t="n"/>
      <c r="EA118" s="377" t="n"/>
      <c r="EB118" s="378" t="n"/>
    </row>
    <row r="119" ht="9" customHeight="1" s="337">
      <c r="B119" s="350" t="n"/>
      <c r="C119" s="338" t="n"/>
      <c r="D119" s="380" t="n"/>
      <c r="E119" s="381" t="n"/>
      <c r="F119" s="122" t="inlineStr">
        <is>
          <t>～</t>
        </is>
      </c>
      <c r="G119" s="22" t="n"/>
      <c r="H119" s="381" t="n"/>
      <c r="I119" s="122" t="inlineStr">
        <is>
          <t>～</t>
        </is>
      </c>
      <c r="J119" s="22" t="n"/>
      <c r="K119" s="381" t="n"/>
      <c r="L119" s="122" t="inlineStr">
        <is>
          <t>～</t>
        </is>
      </c>
      <c r="M119" s="22" t="n"/>
      <c r="N119" s="381" t="n"/>
      <c r="O119" s="122" t="inlineStr">
        <is>
          <t>～</t>
        </is>
      </c>
      <c r="P119" s="22" t="n"/>
      <c r="Q119" s="382" t="n"/>
      <c r="R119" s="338" t="n"/>
      <c r="S119" s="380" t="n"/>
      <c r="T119" s="382" t="n"/>
      <c r="U119" s="338" t="n"/>
      <c r="V119" s="380" t="n"/>
      <c r="W119" s="382" t="n"/>
      <c r="X119" s="338" t="n"/>
      <c r="Y119" s="338" t="n"/>
      <c r="Z119" s="338" t="n"/>
      <c r="AA119" s="338" t="n"/>
      <c r="AB119" s="338" t="n"/>
      <c r="AC119" s="338" t="n"/>
      <c r="AD119" s="338" t="n"/>
      <c r="AE119" s="338" t="n"/>
      <c r="AF119" s="338" t="n"/>
      <c r="AG119" s="338" t="n"/>
      <c r="AH119" s="338" t="n"/>
      <c r="AI119" s="338" t="n"/>
      <c r="AJ119" s="338" t="n"/>
      <c r="AK119" s="338" t="n"/>
      <c r="AL119" s="338" t="n"/>
      <c r="AM119" s="338" t="n"/>
      <c r="AN119" s="338" t="n"/>
      <c r="AO119" s="338" t="n"/>
      <c r="AP119" s="338" t="n"/>
      <c r="AQ119" s="338" t="n"/>
      <c r="AR119" s="338" t="n"/>
      <c r="AS119" s="338" t="n"/>
      <c r="AT119" s="338" t="n"/>
      <c r="AU119" s="338" t="n"/>
      <c r="AV119" s="338" t="n"/>
      <c r="AW119" s="338" t="n"/>
      <c r="AX119" s="338" t="n"/>
      <c r="AY119" s="338" t="n"/>
      <c r="AZ119" s="338" t="n"/>
      <c r="BA119" s="338" t="n"/>
      <c r="BB119" s="338" t="n"/>
      <c r="BC119" s="338" t="n"/>
      <c r="BD119" s="338" t="n"/>
      <c r="BE119" s="338" t="n"/>
      <c r="BF119" s="338" t="n"/>
      <c r="BG119" s="338" t="n"/>
      <c r="BH119" s="338" t="n"/>
      <c r="BI119" s="338" t="n"/>
      <c r="BJ119" s="338" t="n"/>
      <c r="BK119" s="338" t="n"/>
      <c r="BL119" s="338" t="n"/>
      <c r="BM119" s="338" t="n"/>
      <c r="BN119" s="338" t="n"/>
      <c r="BO119" s="338" t="n"/>
      <c r="BP119" s="338" t="n"/>
      <c r="BQ119" s="338" t="n"/>
      <c r="BR119" s="338" t="n"/>
      <c r="BS119" s="338" t="n"/>
      <c r="BT119" s="338" t="n"/>
      <c r="BU119" s="338" t="n"/>
      <c r="BV119" s="338" t="n"/>
      <c r="BW119" s="338" t="n"/>
      <c r="BX119" s="338" t="n"/>
      <c r="BY119" s="338" t="n"/>
      <c r="BZ119" s="338" t="n"/>
      <c r="CA119" s="338" t="n"/>
      <c r="CB119" s="338" t="n"/>
      <c r="CC119" s="383" t="n"/>
      <c r="CF119" s="253" t="inlineStr">
        <is>
          <t>時間内</t>
        </is>
      </c>
      <c r="CG119" s="384" t="n"/>
      <c r="CH119" s="384" t="n"/>
      <c r="CI119" s="385" t="n"/>
      <c r="CJ119" s="386">
        <f>IF(Q118="作業者1",H121-H118,0)</f>
        <v/>
      </c>
      <c r="CK119" s="387" t="n"/>
      <c r="CL119" s="387" t="n"/>
      <c r="CM119" s="387" t="n"/>
      <c r="CN119" s="388" t="n"/>
      <c r="CP119" s="253" t="inlineStr">
        <is>
          <t>時間内</t>
        </is>
      </c>
      <c r="CQ119" s="384" t="n"/>
      <c r="CR119" s="384" t="n"/>
      <c r="CS119" s="385" t="n"/>
      <c r="CT119" s="386">
        <f>IF(Q118="作業者2",H121-H118,0)</f>
        <v/>
      </c>
      <c r="CU119" s="387" t="n"/>
      <c r="CV119" s="387" t="n"/>
      <c r="CW119" s="387" t="n"/>
      <c r="CX119" s="388" t="n"/>
      <c r="CZ119" s="253" t="inlineStr">
        <is>
          <t>時間内</t>
        </is>
      </c>
      <c r="DA119" s="384" t="n"/>
      <c r="DB119" s="384" t="n"/>
      <c r="DC119" s="385" t="n"/>
      <c r="DD119" s="386">
        <f>IF(Q118="作業者3",H121-H118,0)</f>
        <v/>
      </c>
      <c r="DE119" s="387" t="n"/>
      <c r="DF119" s="387" t="n"/>
      <c r="DG119" s="387" t="n"/>
      <c r="DH119" s="388" t="n"/>
      <c r="DJ119" s="253" t="inlineStr">
        <is>
          <t>時間内</t>
        </is>
      </c>
      <c r="DK119" s="384" t="n"/>
      <c r="DL119" s="384" t="n"/>
      <c r="DM119" s="385" t="n"/>
      <c r="DN119" s="386">
        <f>IF(Q118="作業者4",H121-H118,0)</f>
        <v/>
      </c>
      <c r="DO119" s="387" t="n"/>
      <c r="DP119" s="387" t="n"/>
      <c r="DQ119" s="387" t="n"/>
      <c r="DR119" s="388" t="n"/>
      <c r="DT119" s="253" t="inlineStr">
        <is>
          <t>時間内</t>
        </is>
      </c>
      <c r="DU119" s="384" t="n"/>
      <c r="DV119" s="384" t="n"/>
      <c r="DW119" s="385" t="n"/>
      <c r="DX119" s="386">
        <f>IF(Q118="作業者5",H121-H118,0)</f>
        <v/>
      </c>
      <c r="DY119" s="387" t="n"/>
      <c r="DZ119" s="387" t="n"/>
      <c r="EA119" s="387" t="n"/>
      <c r="EB119" s="388" t="n"/>
    </row>
    <row r="120" ht="9" customHeight="1" s="337">
      <c r="B120" s="350" t="n"/>
      <c r="C120" s="338" t="n"/>
      <c r="D120" s="380" t="n"/>
      <c r="E120" s="23" t="n"/>
      <c r="F120" s="338" t="n"/>
      <c r="G120" s="24" t="n"/>
      <c r="H120" s="23" t="n"/>
      <c r="I120" s="338" t="n"/>
      <c r="J120" s="24" t="n"/>
      <c r="K120" s="23" t="n"/>
      <c r="L120" s="338" t="n"/>
      <c r="M120" s="24" t="n"/>
      <c r="N120" s="23" t="n"/>
      <c r="O120" s="338" t="n"/>
      <c r="P120" s="24" t="n"/>
      <c r="Q120" s="382" t="n"/>
      <c r="R120" s="338" t="n"/>
      <c r="S120" s="380" t="n"/>
      <c r="T120" s="382" t="n"/>
      <c r="U120" s="338" t="n"/>
      <c r="V120" s="380" t="n"/>
      <c r="W120" s="382" t="n"/>
      <c r="X120" s="338" t="n"/>
      <c r="Y120" s="338" t="n"/>
      <c r="Z120" s="338" t="n"/>
      <c r="AA120" s="338" t="n"/>
      <c r="AB120" s="338" t="n"/>
      <c r="AC120" s="338" t="n"/>
      <c r="AD120" s="338" t="n"/>
      <c r="AE120" s="338" t="n"/>
      <c r="AF120" s="338" t="n"/>
      <c r="AG120" s="338" t="n"/>
      <c r="AH120" s="338" t="n"/>
      <c r="AI120" s="338" t="n"/>
      <c r="AJ120" s="338" t="n"/>
      <c r="AK120" s="338" t="n"/>
      <c r="AL120" s="338" t="n"/>
      <c r="AM120" s="338" t="n"/>
      <c r="AN120" s="338" t="n"/>
      <c r="AO120" s="338" t="n"/>
      <c r="AP120" s="338" t="n"/>
      <c r="AQ120" s="338" t="n"/>
      <c r="AR120" s="338" t="n"/>
      <c r="AS120" s="338" t="n"/>
      <c r="AT120" s="338" t="n"/>
      <c r="AU120" s="338" t="n"/>
      <c r="AV120" s="338" t="n"/>
      <c r="AW120" s="338" t="n"/>
      <c r="AX120" s="338" t="n"/>
      <c r="AY120" s="338" t="n"/>
      <c r="AZ120" s="338" t="n"/>
      <c r="BA120" s="338" t="n"/>
      <c r="BB120" s="338" t="n"/>
      <c r="BC120" s="338" t="n"/>
      <c r="BD120" s="338" t="n"/>
      <c r="BE120" s="338" t="n"/>
      <c r="BF120" s="338" t="n"/>
      <c r="BG120" s="338" t="n"/>
      <c r="BH120" s="338" t="n"/>
      <c r="BI120" s="338" t="n"/>
      <c r="BJ120" s="338" t="n"/>
      <c r="BK120" s="338" t="n"/>
      <c r="BL120" s="338" t="n"/>
      <c r="BM120" s="338" t="n"/>
      <c r="BN120" s="338" t="n"/>
      <c r="BO120" s="338" t="n"/>
      <c r="BP120" s="338" t="n"/>
      <c r="BQ120" s="338" t="n"/>
      <c r="BR120" s="338" t="n"/>
      <c r="BS120" s="338" t="n"/>
      <c r="BT120" s="338" t="n"/>
      <c r="BU120" s="338" t="n"/>
      <c r="BV120" s="338" t="n"/>
      <c r="BW120" s="338" t="n"/>
      <c r="BX120" s="338" t="n"/>
      <c r="BY120" s="338" t="n"/>
      <c r="BZ120" s="338" t="n"/>
      <c r="CA120" s="338" t="n"/>
      <c r="CB120" s="338" t="n"/>
      <c r="CC120" s="383" t="n"/>
      <c r="CF120" s="253" t="inlineStr">
        <is>
          <t>時間外</t>
        </is>
      </c>
      <c r="CG120" s="384" t="n"/>
      <c r="CH120" s="384" t="n"/>
      <c r="CI120" s="385" t="n"/>
      <c r="CJ120" s="386">
        <f>IF(Q118="作業者1",K121-K118,0)</f>
        <v/>
      </c>
      <c r="CK120" s="387" t="n"/>
      <c r="CL120" s="387" t="n"/>
      <c r="CM120" s="387" t="n"/>
      <c r="CN120" s="388" t="n"/>
      <c r="CP120" s="253" t="inlineStr">
        <is>
          <t>時間外</t>
        </is>
      </c>
      <c r="CQ120" s="384" t="n"/>
      <c r="CR120" s="384" t="n"/>
      <c r="CS120" s="385" t="n"/>
      <c r="CT120" s="386">
        <f>IF(Q118="作業者2",K121-K118,0)</f>
        <v/>
      </c>
      <c r="CU120" s="387" t="n"/>
      <c r="CV120" s="387" t="n"/>
      <c r="CW120" s="387" t="n"/>
      <c r="CX120" s="388" t="n"/>
      <c r="CZ120" s="253" t="inlineStr">
        <is>
          <t>時間外</t>
        </is>
      </c>
      <c r="DA120" s="384" t="n"/>
      <c r="DB120" s="384" t="n"/>
      <c r="DC120" s="385" t="n"/>
      <c r="DD120" s="386">
        <f>IF(Q118="作業者3",K121-K118,0)</f>
        <v/>
      </c>
      <c r="DE120" s="387" t="n"/>
      <c r="DF120" s="387" t="n"/>
      <c r="DG120" s="387" t="n"/>
      <c r="DH120" s="388" t="n"/>
      <c r="DJ120" s="253" t="inlineStr">
        <is>
          <t>時間外</t>
        </is>
      </c>
      <c r="DK120" s="384" t="n"/>
      <c r="DL120" s="384" t="n"/>
      <c r="DM120" s="385" t="n"/>
      <c r="DN120" s="386">
        <f>IF(Q118="作業者4",K121-K118,0)</f>
        <v/>
      </c>
      <c r="DO120" s="387" t="n"/>
      <c r="DP120" s="387" t="n"/>
      <c r="DQ120" s="387" t="n"/>
      <c r="DR120" s="388" t="n"/>
      <c r="DT120" s="253" t="inlineStr">
        <is>
          <t>時間外</t>
        </is>
      </c>
      <c r="DU120" s="384" t="n"/>
      <c r="DV120" s="384" t="n"/>
      <c r="DW120" s="385" t="n"/>
      <c r="DX120" s="386">
        <f>IF(Q118="作業者5",K121-K118,0)</f>
        <v/>
      </c>
      <c r="DY120" s="387" t="n"/>
      <c r="DZ120" s="387" t="n"/>
      <c r="EA120" s="387" t="n"/>
      <c r="EB120" s="388" t="n"/>
    </row>
    <row r="121" ht="9" customHeight="1" s="337">
      <c r="B121" s="389" t="n"/>
      <c r="C121" s="390" t="n"/>
      <c r="D121" s="391" t="n"/>
      <c r="E121" s="392" t="n"/>
      <c r="F121" s="390" t="n"/>
      <c r="G121" s="391" t="n"/>
      <c r="H121" s="392" t="n"/>
      <c r="I121" s="390" t="n"/>
      <c r="J121" s="391" t="n"/>
      <c r="K121" s="392" t="n"/>
      <c r="L121" s="390" t="n"/>
      <c r="M121" s="391" t="n"/>
      <c r="N121" s="392" t="n"/>
      <c r="O121" s="390" t="n"/>
      <c r="P121" s="391" t="n"/>
      <c r="Q121" s="393" t="n"/>
      <c r="R121" s="390" t="n"/>
      <c r="S121" s="391" t="n"/>
      <c r="T121" s="393" t="n"/>
      <c r="U121" s="390" t="n"/>
      <c r="V121" s="391" t="n"/>
      <c r="W121" s="393" t="n"/>
      <c r="X121" s="390" t="n"/>
      <c r="Y121" s="390" t="n"/>
      <c r="Z121" s="390" t="n"/>
      <c r="AA121" s="390" t="n"/>
      <c r="AB121" s="390" t="n"/>
      <c r="AC121" s="390" t="n"/>
      <c r="AD121" s="390" t="n"/>
      <c r="AE121" s="390" t="n"/>
      <c r="AF121" s="390" t="n"/>
      <c r="AG121" s="390" t="n"/>
      <c r="AH121" s="390" t="n"/>
      <c r="AI121" s="390" t="n"/>
      <c r="AJ121" s="390" t="n"/>
      <c r="AK121" s="390" t="n"/>
      <c r="AL121" s="390" t="n"/>
      <c r="AM121" s="390" t="n"/>
      <c r="AN121" s="390" t="n"/>
      <c r="AO121" s="390" t="n"/>
      <c r="AP121" s="390" t="n"/>
      <c r="AQ121" s="390" t="n"/>
      <c r="AR121" s="390" t="n"/>
      <c r="AS121" s="390" t="n"/>
      <c r="AT121" s="390" t="n"/>
      <c r="AU121" s="390" t="n"/>
      <c r="AV121" s="390" t="n"/>
      <c r="AW121" s="390" t="n"/>
      <c r="AX121" s="390" t="n"/>
      <c r="AY121" s="390" t="n"/>
      <c r="AZ121" s="390" t="n"/>
      <c r="BA121" s="390" t="n"/>
      <c r="BB121" s="390" t="n"/>
      <c r="BC121" s="390" t="n"/>
      <c r="BD121" s="390" t="n"/>
      <c r="BE121" s="390" t="n"/>
      <c r="BF121" s="390" t="n"/>
      <c r="BG121" s="390" t="n"/>
      <c r="BH121" s="390" t="n"/>
      <c r="BI121" s="390" t="n"/>
      <c r="BJ121" s="390" t="n"/>
      <c r="BK121" s="390" t="n"/>
      <c r="BL121" s="390" t="n"/>
      <c r="BM121" s="390" t="n"/>
      <c r="BN121" s="390" t="n"/>
      <c r="BO121" s="390" t="n"/>
      <c r="BP121" s="390" t="n"/>
      <c r="BQ121" s="390" t="n"/>
      <c r="BR121" s="390" t="n"/>
      <c r="BS121" s="390" t="n"/>
      <c r="BT121" s="390" t="n"/>
      <c r="BU121" s="390" t="n"/>
      <c r="BV121" s="390" t="n"/>
      <c r="BW121" s="390" t="n"/>
      <c r="BX121" s="390" t="n"/>
      <c r="BY121" s="390" t="n"/>
      <c r="BZ121" s="390" t="n"/>
      <c r="CA121" s="390" t="n"/>
      <c r="CB121" s="390" t="n"/>
      <c r="CC121" s="394" t="n"/>
      <c r="CF121" s="254" t="inlineStr">
        <is>
          <t>休日</t>
        </is>
      </c>
      <c r="CG121" s="395" t="n"/>
      <c r="CH121" s="395" t="n"/>
      <c r="CI121" s="396" t="n"/>
      <c r="CJ121" s="386">
        <f>IF(Q118="作業者1",N121-N118,0)</f>
        <v/>
      </c>
      <c r="CK121" s="387" t="n"/>
      <c r="CL121" s="387" t="n"/>
      <c r="CM121" s="387" t="n"/>
      <c r="CN121" s="388" t="n"/>
      <c r="CP121" s="253" t="inlineStr">
        <is>
          <t>休日</t>
        </is>
      </c>
      <c r="CQ121" s="384" t="n"/>
      <c r="CR121" s="384" t="n"/>
      <c r="CS121" s="385" t="n"/>
      <c r="CT121" s="386">
        <f>IF(Q118="作業者2",N121-N118,0)</f>
        <v/>
      </c>
      <c r="CU121" s="387" t="n"/>
      <c r="CV121" s="387" t="n"/>
      <c r="CW121" s="387" t="n"/>
      <c r="CX121" s="388" t="n"/>
      <c r="CZ121" s="254" t="inlineStr">
        <is>
          <t>休日</t>
        </is>
      </c>
      <c r="DA121" s="395" t="n"/>
      <c r="DB121" s="395" t="n"/>
      <c r="DC121" s="396" t="n"/>
      <c r="DD121" s="397">
        <f>IF(Q118="作業者3",N121-N118,0)</f>
        <v/>
      </c>
      <c r="DE121" s="395" t="n"/>
      <c r="DF121" s="395" t="n"/>
      <c r="DG121" s="395" t="n"/>
      <c r="DH121" s="396" t="n"/>
      <c r="DJ121" s="254" t="inlineStr">
        <is>
          <t>休日</t>
        </is>
      </c>
      <c r="DK121" s="395" t="n"/>
      <c r="DL121" s="395" t="n"/>
      <c r="DM121" s="396" t="n"/>
      <c r="DN121" s="397">
        <f>IF(Q118="作業者4",N121-N118,0)</f>
        <v/>
      </c>
      <c r="DO121" s="395" t="n"/>
      <c r="DP121" s="395" t="n"/>
      <c r="DQ121" s="395" t="n"/>
      <c r="DR121" s="396" t="n"/>
      <c r="DT121" s="254" t="inlineStr">
        <is>
          <t>休日</t>
        </is>
      </c>
      <c r="DU121" s="395" t="n"/>
      <c r="DV121" s="395" t="n"/>
      <c r="DW121" s="396" t="n"/>
      <c r="DX121" s="397">
        <f>IF(Q118="作業者5",N121-N118,0)</f>
        <v/>
      </c>
      <c r="DY121" s="395" t="n"/>
      <c r="DZ121" s="395" t="n"/>
      <c r="EA121" s="395" t="n"/>
      <c r="EB121" s="396" t="n"/>
    </row>
    <row r="122" ht="9" customHeight="1" s="337">
      <c r="B122" s="398" t="n"/>
      <c r="C122" s="372" t="n"/>
      <c r="D122" s="373" t="n"/>
      <c r="E122" s="399" t="n"/>
      <c r="F122" s="372" t="n"/>
      <c r="G122" s="373" t="n"/>
      <c r="H122" s="399" t="n"/>
      <c r="I122" s="372" t="n"/>
      <c r="J122" s="373" t="n"/>
      <c r="K122" s="399" t="n"/>
      <c r="L122" s="372" t="n"/>
      <c r="M122" s="373" t="n"/>
      <c r="N122" s="399" t="n"/>
      <c r="O122" s="372" t="n"/>
      <c r="P122" s="373" t="n"/>
      <c r="Q122" s="371" t="n"/>
      <c r="R122" s="372" t="n"/>
      <c r="S122" s="373" t="n"/>
      <c r="T122" s="371" t="n"/>
      <c r="U122" s="372" t="n"/>
      <c r="V122" s="373" t="n"/>
      <c r="W122" s="401" t="n"/>
      <c r="X122" s="372" t="n"/>
      <c r="Y122" s="372" t="n"/>
      <c r="Z122" s="372" t="n"/>
      <c r="AA122" s="372" t="n"/>
      <c r="AB122" s="372" t="n"/>
      <c r="AC122" s="372" t="n"/>
      <c r="AD122" s="372" t="n"/>
      <c r="AE122" s="372" t="n"/>
      <c r="AF122" s="372" t="n"/>
      <c r="AG122" s="372" t="n"/>
      <c r="AH122" s="372" t="n"/>
      <c r="AI122" s="372" t="n"/>
      <c r="AJ122" s="372" t="n"/>
      <c r="AK122" s="372" t="n"/>
      <c r="AL122" s="372" t="n"/>
      <c r="AM122" s="372" t="n"/>
      <c r="AN122" s="372" t="n"/>
      <c r="AO122" s="372" t="n"/>
      <c r="AP122" s="372" t="n"/>
      <c r="AQ122" s="372" t="n"/>
      <c r="AR122" s="372" t="n"/>
      <c r="AS122" s="372" t="n"/>
      <c r="AT122" s="372" t="n"/>
      <c r="AU122" s="372" t="n"/>
      <c r="AV122" s="372" t="n"/>
      <c r="AW122" s="372" t="n"/>
      <c r="AX122" s="372" t="n"/>
      <c r="AY122" s="372" t="n"/>
      <c r="AZ122" s="372" t="n"/>
      <c r="BA122" s="372" t="n"/>
      <c r="BB122" s="372" t="n"/>
      <c r="BC122" s="372" t="n"/>
      <c r="BD122" s="372" t="n"/>
      <c r="BE122" s="372" t="n"/>
      <c r="BF122" s="372" t="n"/>
      <c r="BG122" s="372" t="n"/>
      <c r="BH122" s="372" t="n"/>
      <c r="BI122" s="372" t="n"/>
      <c r="BJ122" s="372" t="n"/>
      <c r="BK122" s="372" t="n"/>
      <c r="BL122" s="372" t="n"/>
      <c r="BM122" s="372" t="n"/>
      <c r="BN122" s="372" t="n"/>
      <c r="BO122" s="372" t="n"/>
      <c r="BP122" s="372" t="n"/>
      <c r="BQ122" s="372" t="n"/>
      <c r="BR122" s="372" t="n"/>
      <c r="BS122" s="372" t="n"/>
      <c r="BT122" s="372" t="n"/>
      <c r="BU122" s="372" t="n"/>
      <c r="BV122" s="372" t="n"/>
      <c r="BW122" s="372" t="n"/>
      <c r="BX122" s="372" t="n"/>
      <c r="BY122" s="372" t="n"/>
      <c r="BZ122" s="372" t="n"/>
      <c r="CA122" s="372" t="n"/>
      <c r="CB122" s="372" t="n"/>
      <c r="CC122" s="402" t="n"/>
      <c r="CF122" s="259" t="inlineStr">
        <is>
          <t>移動</t>
        </is>
      </c>
      <c r="CG122" s="403" t="n"/>
      <c r="CH122" s="403" t="n"/>
      <c r="CI122" s="404" t="n"/>
      <c r="CJ122" s="379">
        <f>IF(Q122="作業者1",E125-E122,0)</f>
        <v/>
      </c>
      <c r="CK122" s="377" t="n"/>
      <c r="CL122" s="377" t="n"/>
      <c r="CM122" s="377" t="n"/>
      <c r="CN122" s="378" t="n"/>
      <c r="CP122" s="248" t="inlineStr">
        <is>
          <t>移動</t>
        </is>
      </c>
      <c r="CQ122" s="377" t="n"/>
      <c r="CR122" s="377" t="n"/>
      <c r="CS122" s="378" t="n"/>
      <c r="CT122" s="379">
        <f>IF(Q122="作業者2",E125-E122,0)</f>
        <v/>
      </c>
      <c r="CU122" s="377" t="n"/>
      <c r="CV122" s="377" t="n"/>
      <c r="CW122" s="377" t="n"/>
      <c r="CX122" s="378" t="n"/>
      <c r="CZ122" s="259" t="inlineStr">
        <is>
          <t>移動</t>
        </is>
      </c>
      <c r="DA122" s="403" t="n"/>
      <c r="DB122" s="403" t="n"/>
      <c r="DC122" s="404" t="n"/>
      <c r="DD122" s="405">
        <f>IF(Q122="作業者3",E125-E122,0)</f>
        <v/>
      </c>
      <c r="DE122" s="406" t="n"/>
      <c r="DF122" s="406" t="n"/>
      <c r="DG122" s="406" t="n"/>
      <c r="DH122" s="407" t="n"/>
      <c r="DJ122" s="259" t="inlineStr">
        <is>
          <t>移動</t>
        </is>
      </c>
      <c r="DK122" s="403" t="n"/>
      <c r="DL122" s="403" t="n"/>
      <c r="DM122" s="404" t="n"/>
      <c r="DN122" s="379">
        <f>IF(Q122="作業者4",E125-E122,0)</f>
        <v/>
      </c>
      <c r="DO122" s="377" t="n"/>
      <c r="DP122" s="377" t="n"/>
      <c r="DQ122" s="377" t="n"/>
      <c r="DR122" s="378" t="n"/>
      <c r="DT122" s="259" t="inlineStr">
        <is>
          <t>移動</t>
        </is>
      </c>
      <c r="DU122" s="403" t="n"/>
      <c r="DV122" s="403" t="n"/>
      <c r="DW122" s="404" t="n"/>
      <c r="DX122" s="379">
        <f>IF(Q122="作業者5",E125-E122,0)</f>
        <v/>
      </c>
      <c r="DY122" s="377" t="n"/>
      <c r="DZ122" s="377" t="n"/>
      <c r="EA122" s="377" t="n"/>
      <c r="EB122" s="378" t="n"/>
    </row>
    <row r="123" ht="9" customHeight="1" s="337">
      <c r="B123" s="350" t="n"/>
      <c r="C123" s="338" t="n"/>
      <c r="D123" s="380" t="n"/>
      <c r="E123" s="381" t="n"/>
      <c r="F123" s="122" t="inlineStr">
        <is>
          <t>～</t>
        </is>
      </c>
      <c r="G123" s="22" t="n"/>
      <c r="H123" s="381" t="n"/>
      <c r="I123" s="122" t="inlineStr">
        <is>
          <t>～</t>
        </is>
      </c>
      <c r="J123" s="22" t="n"/>
      <c r="K123" s="381" t="n"/>
      <c r="L123" s="122" t="inlineStr">
        <is>
          <t>～</t>
        </is>
      </c>
      <c r="M123" s="22" t="n"/>
      <c r="N123" s="381" t="n"/>
      <c r="O123" s="122" t="inlineStr">
        <is>
          <t>～</t>
        </is>
      </c>
      <c r="P123" s="22" t="n"/>
      <c r="Q123" s="382" t="n"/>
      <c r="R123" s="338" t="n"/>
      <c r="S123" s="380" t="n"/>
      <c r="T123" s="382" t="n"/>
      <c r="U123" s="338" t="n"/>
      <c r="V123" s="380" t="n"/>
      <c r="W123" s="382" t="n"/>
      <c r="X123" s="338" t="n"/>
      <c r="Y123" s="338" t="n"/>
      <c r="Z123" s="338" t="n"/>
      <c r="AA123" s="338" t="n"/>
      <c r="AB123" s="338" t="n"/>
      <c r="AC123" s="338" t="n"/>
      <c r="AD123" s="338" t="n"/>
      <c r="AE123" s="338" t="n"/>
      <c r="AF123" s="338" t="n"/>
      <c r="AG123" s="338" t="n"/>
      <c r="AH123" s="338" t="n"/>
      <c r="AI123" s="338" t="n"/>
      <c r="AJ123" s="338" t="n"/>
      <c r="AK123" s="338" t="n"/>
      <c r="AL123" s="338" t="n"/>
      <c r="AM123" s="338" t="n"/>
      <c r="AN123" s="338" t="n"/>
      <c r="AO123" s="338" t="n"/>
      <c r="AP123" s="338" t="n"/>
      <c r="AQ123" s="338" t="n"/>
      <c r="AR123" s="338" t="n"/>
      <c r="AS123" s="338" t="n"/>
      <c r="AT123" s="338" t="n"/>
      <c r="AU123" s="338" t="n"/>
      <c r="AV123" s="338" t="n"/>
      <c r="AW123" s="338" t="n"/>
      <c r="AX123" s="338" t="n"/>
      <c r="AY123" s="338" t="n"/>
      <c r="AZ123" s="338" t="n"/>
      <c r="BA123" s="338" t="n"/>
      <c r="BB123" s="338" t="n"/>
      <c r="BC123" s="338" t="n"/>
      <c r="BD123" s="338" t="n"/>
      <c r="BE123" s="338" t="n"/>
      <c r="BF123" s="338" t="n"/>
      <c r="BG123" s="338" t="n"/>
      <c r="BH123" s="338" t="n"/>
      <c r="BI123" s="338" t="n"/>
      <c r="BJ123" s="338" t="n"/>
      <c r="BK123" s="338" t="n"/>
      <c r="BL123" s="338" t="n"/>
      <c r="BM123" s="338" t="n"/>
      <c r="BN123" s="338" t="n"/>
      <c r="BO123" s="338" t="n"/>
      <c r="BP123" s="338" t="n"/>
      <c r="BQ123" s="338" t="n"/>
      <c r="BR123" s="338" t="n"/>
      <c r="BS123" s="338" t="n"/>
      <c r="BT123" s="338" t="n"/>
      <c r="BU123" s="338" t="n"/>
      <c r="BV123" s="338" t="n"/>
      <c r="BW123" s="338" t="n"/>
      <c r="BX123" s="338" t="n"/>
      <c r="BY123" s="338" t="n"/>
      <c r="BZ123" s="338" t="n"/>
      <c r="CA123" s="338" t="n"/>
      <c r="CB123" s="338" t="n"/>
      <c r="CC123" s="383" t="n"/>
      <c r="CF123" s="253" t="inlineStr">
        <is>
          <t>時間内</t>
        </is>
      </c>
      <c r="CG123" s="384" t="n"/>
      <c r="CH123" s="384" t="n"/>
      <c r="CI123" s="385" t="n"/>
      <c r="CJ123" s="386">
        <f>IF(Q122="作業者1",H125-H122,0)</f>
        <v/>
      </c>
      <c r="CK123" s="387" t="n"/>
      <c r="CL123" s="387" t="n"/>
      <c r="CM123" s="387" t="n"/>
      <c r="CN123" s="388" t="n"/>
      <c r="CP123" s="253" t="inlineStr">
        <is>
          <t>時間内</t>
        </is>
      </c>
      <c r="CQ123" s="384" t="n"/>
      <c r="CR123" s="384" t="n"/>
      <c r="CS123" s="385" t="n"/>
      <c r="CT123" s="386">
        <f>IF(Q122="作業者2",H125-H122,0)</f>
        <v/>
      </c>
      <c r="CU123" s="387" t="n"/>
      <c r="CV123" s="387" t="n"/>
      <c r="CW123" s="387" t="n"/>
      <c r="CX123" s="388" t="n"/>
      <c r="CZ123" s="253" t="inlineStr">
        <is>
          <t>時間内</t>
        </is>
      </c>
      <c r="DA123" s="384" t="n"/>
      <c r="DB123" s="384" t="n"/>
      <c r="DC123" s="385" t="n"/>
      <c r="DD123" s="386">
        <f>IF(Q122="作業者3",H125-H122,0)</f>
        <v/>
      </c>
      <c r="DE123" s="387" t="n"/>
      <c r="DF123" s="387" t="n"/>
      <c r="DG123" s="387" t="n"/>
      <c r="DH123" s="388" t="n"/>
      <c r="DJ123" s="253" t="inlineStr">
        <is>
          <t>時間内</t>
        </is>
      </c>
      <c r="DK123" s="384" t="n"/>
      <c r="DL123" s="384" t="n"/>
      <c r="DM123" s="385" t="n"/>
      <c r="DN123" s="386">
        <f>IF(Q122="作業者4",H125-H122,0)</f>
        <v/>
      </c>
      <c r="DO123" s="387" t="n"/>
      <c r="DP123" s="387" t="n"/>
      <c r="DQ123" s="387" t="n"/>
      <c r="DR123" s="388" t="n"/>
      <c r="DT123" s="253" t="inlineStr">
        <is>
          <t>時間内</t>
        </is>
      </c>
      <c r="DU123" s="384" t="n"/>
      <c r="DV123" s="384" t="n"/>
      <c r="DW123" s="385" t="n"/>
      <c r="DX123" s="386">
        <f>IF(Q122="作業者5",H125-H122,0)</f>
        <v/>
      </c>
      <c r="DY123" s="387" t="n"/>
      <c r="DZ123" s="387" t="n"/>
      <c r="EA123" s="387" t="n"/>
      <c r="EB123" s="388" t="n"/>
    </row>
    <row r="124" ht="9" customHeight="1" s="337">
      <c r="B124" s="350" t="n"/>
      <c r="C124" s="338" t="n"/>
      <c r="D124" s="380" t="n"/>
      <c r="E124" s="23" t="n"/>
      <c r="F124" s="338" t="n"/>
      <c r="G124" s="24" t="n"/>
      <c r="H124" s="23" t="n"/>
      <c r="I124" s="338" t="n"/>
      <c r="J124" s="24" t="n"/>
      <c r="K124" s="23" t="n"/>
      <c r="L124" s="338" t="n"/>
      <c r="M124" s="24" t="n"/>
      <c r="N124" s="23" t="n"/>
      <c r="O124" s="338" t="n"/>
      <c r="P124" s="24" t="n"/>
      <c r="Q124" s="382" t="n"/>
      <c r="R124" s="338" t="n"/>
      <c r="S124" s="380" t="n"/>
      <c r="T124" s="382" t="n"/>
      <c r="U124" s="338" t="n"/>
      <c r="V124" s="380" t="n"/>
      <c r="W124" s="382" t="n"/>
      <c r="X124" s="338" t="n"/>
      <c r="Y124" s="338" t="n"/>
      <c r="Z124" s="338" t="n"/>
      <c r="AA124" s="338" t="n"/>
      <c r="AB124" s="338" t="n"/>
      <c r="AC124" s="338" t="n"/>
      <c r="AD124" s="338" t="n"/>
      <c r="AE124" s="338" t="n"/>
      <c r="AF124" s="338" t="n"/>
      <c r="AG124" s="338" t="n"/>
      <c r="AH124" s="338" t="n"/>
      <c r="AI124" s="338" t="n"/>
      <c r="AJ124" s="338" t="n"/>
      <c r="AK124" s="338" t="n"/>
      <c r="AL124" s="338" t="n"/>
      <c r="AM124" s="338" t="n"/>
      <c r="AN124" s="338" t="n"/>
      <c r="AO124" s="338" t="n"/>
      <c r="AP124" s="338" t="n"/>
      <c r="AQ124" s="338" t="n"/>
      <c r="AR124" s="338" t="n"/>
      <c r="AS124" s="338" t="n"/>
      <c r="AT124" s="338" t="n"/>
      <c r="AU124" s="338" t="n"/>
      <c r="AV124" s="338" t="n"/>
      <c r="AW124" s="338" t="n"/>
      <c r="AX124" s="338" t="n"/>
      <c r="AY124" s="338" t="n"/>
      <c r="AZ124" s="338" t="n"/>
      <c r="BA124" s="338" t="n"/>
      <c r="BB124" s="338" t="n"/>
      <c r="BC124" s="338" t="n"/>
      <c r="BD124" s="338" t="n"/>
      <c r="BE124" s="338" t="n"/>
      <c r="BF124" s="338" t="n"/>
      <c r="BG124" s="338" t="n"/>
      <c r="BH124" s="338" t="n"/>
      <c r="BI124" s="338" t="n"/>
      <c r="BJ124" s="338" t="n"/>
      <c r="BK124" s="338" t="n"/>
      <c r="BL124" s="338" t="n"/>
      <c r="BM124" s="338" t="n"/>
      <c r="BN124" s="338" t="n"/>
      <c r="BO124" s="338" t="n"/>
      <c r="BP124" s="338" t="n"/>
      <c r="BQ124" s="338" t="n"/>
      <c r="BR124" s="338" t="n"/>
      <c r="BS124" s="338" t="n"/>
      <c r="BT124" s="338" t="n"/>
      <c r="BU124" s="338" t="n"/>
      <c r="BV124" s="338" t="n"/>
      <c r="BW124" s="338" t="n"/>
      <c r="BX124" s="338" t="n"/>
      <c r="BY124" s="338" t="n"/>
      <c r="BZ124" s="338" t="n"/>
      <c r="CA124" s="338" t="n"/>
      <c r="CB124" s="338" t="n"/>
      <c r="CC124" s="383" t="n"/>
      <c r="CF124" s="253" t="inlineStr">
        <is>
          <t>時間外</t>
        </is>
      </c>
      <c r="CG124" s="384" t="n"/>
      <c r="CH124" s="384" t="n"/>
      <c r="CI124" s="385" t="n"/>
      <c r="CJ124" s="386">
        <f>IF(Q122="作業者1",K125-K122,0)</f>
        <v/>
      </c>
      <c r="CK124" s="387" t="n"/>
      <c r="CL124" s="387" t="n"/>
      <c r="CM124" s="387" t="n"/>
      <c r="CN124" s="388" t="n"/>
      <c r="CP124" s="253" t="inlineStr">
        <is>
          <t>時間外</t>
        </is>
      </c>
      <c r="CQ124" s="384" t="n"/>
      <c r="CR124" s="384" t="n"/>
      <c r="CS124" s="385" t="n"/>
      <c r="CT124" s="386">
        <f>IF(Q122="作業者2",K125-K122,0)</f>
        <v/>
      </c>
      <c r="CU124" s="387" t="n"/>
      <c r="CV124" s="387" t="n"/>
      <c r="CW124" s="387" t="n"/>
      <c r="CX124" s="388" t="n"/>
      <c r="CZ124" s="253" t="inlineStr">
        <is>
          <t>時間外</t>
        </is>
      </c>
      <c r="DA124" s="384" t="n"/>
      <c r="DB124" s="384" t="n"/>
      <c r="DC124" s="385" t="n"/>
      <c r="DD124" s="386">
        <f>IF(Q122="作業者3",K125-K122,0)</f>
        <v/>
      </c>
      <c r="DE124" s="387" t="n"/>
      <c r="DF124" s="387" t="n"/>
      <c r="DG124" s="387" t="n"/>
      <c r="DH124" s="388" t="n"/>
      <c r="DJ124" s="253" t="inlineStr">
        <is>
          <t>時間外</t>
        </is>
      </c>
      <c r="DK124" s="384" t="n"/>
      <c r="DL124" s="384" t="n"/>
      <c r="DM124" s="385" t="n"/>
      <c r="DN124" s="386">
        <f>IF(Q122="作業者4",K125-K122,0)</f>
        <v/>
      </c>
      <c r="DO124" s="387" t="n"/>
      <c r="DP124" s="387" t="n"/>
      <c r="DQ124" s="387" t="n"/>
      <c r="DR124" s="388" t="n"/>
      <c r="DT124" s="253" t="inlineStr">
        <is>
          <t>時間外</t>
        </is>
      </c>
      <c r="DU124" s="384" t="n"/>
      <c r="DV124" s="384" t="n"/>
      <c r="DW124" s="385" t="n"/>
      <c r="DX124" s="386">
        <f>IF(Q122="作業者5",K125-K122,0)</f>
        <v/>
      </c>
      <c r="DY124" s="387" t="n"/>
      <c r="DZ124" s="387" t="n"/>
      <c r="EA124" s="387" t="n"/>
      <c r="EB124" s="388" t="n"/>
    </row>
    <row r="125" ht="9" customHeight="1" s="337">
      <c r="B125" s="389" t="n"/>
      <c r="C125" s="390" t="n"/>
      <c r="D125" s="391" t="n"/>
      <c r="E125" s="392" t="n"/>
      <c r="F125" s="390" t="n"/>
      <c r="G125" s="391" t="n"/>
      <c r="H125" s="392" t="n"/>
      <c r="I125" s="390" t="n"/>
      <c r="J125" s="391" t="n"/>
      <c r="K125" s="392" t="n"/>
      <c r="L125" s="390" t="n"/>
      <c r="M125" s="391" t="n"/>
      <c r="N125" s="392" t="n"/>
      <c r="O125" s="390" t="n"/>
      <c r="P125" s="391" t="n"/>
      <c r="Q125" s="393" t="n"/>
      <c r="R125" s="390" t="n"/>
      <c r="S125" s="391" t="n"/>
      <c r="T125" s="393" t="n"/>
      <c r="U125" s="390" t="n"/>
      <c r="V125" s="391" t="n"/>
      <c r="W125" s="393" t="n"/>
      <c r="X125" s="390" t="n"/>
      <c r="Y125" s="390" t="n"/>
      <c r="Z125" s="390" t="n"/>
      <c r="AA125" s="390" t="n"/>
      <c r="AB125" s="390" t="n"/>
      <c r="AC125" s="390" t="n"/>
      <c r="AD125" s="390" t="n"/>
      <c r="AE125" s="390" t="n"/>
      <c r="AF125" s="390" t="n"/>
      <c r="AG125" s="390" t="n"/>
      <c r="AH125" s="390" t="n"/>
      <c r="AI125" s="390" t="n"/>
      <c r="AJ125" s="390" t="n"/>
      <c r="AK125" s="390" t="n"/>
      <c r="AL125" s="390" t="n"/>
      <c r="AM125" s="390" t="n"/>
      <c r="AN125" s="390" t="n"/>
      <c r="AO125" s="390" t="n"/>
      <c r="AP125" s="390" t="n"/>
      <c r="AQ125" s="390" t="n"/>
      <c r="AR125" s="390" t="n"/>
      <c r="AS125" s="390" t="n"/>
      <c r="AT125" s="390" t="n"/>
      <c r="AU125" s="390" t="n"/>
      <c r="AV125" s="390" t="n"/>
      <c r="AW125" s="390" t="n"/>
      <c r="AX125" s="390" t="n"/>
      <c r="AY125" s="390" t="n"/>
      <c r="AZ125" s="390" t="n"/>
      <c r="BA125" s="390" t="n"/>
      <c r="BB125" s="390" t="n"/>
      <c r="BC125" s="390" t="n"/>
      <c r="BD125" s="390" t="n"/>
      <c r="BE125" s="390" t="n"/>
      <c r="BF125" s="390" t="n"/>
      <c r="BG125" s="390" t="n"/>
      <c r="BH125" s="390" t="n"/>
      <c r="BI125" s="390" t="n"/>
      <c r="BJ125" s="390" t="n"/>
      <c r="BK125" s="390" t="n"/>
      <c r="BL125" s="390" t="n"/>
      <c r="BM125" s="390" t="n"/>
      <c r="BN125" s="390" t="n"/>
      <c r="BO125" s="390" t="n"/>
      <c r="BP125" s="390" t="n"/>
      <c r="BQ125" s="390" t="n"/>
      <c r="BR125" s="390" t="n"/>
      <c r="BS125" s="390" t="n"/>
      <c r="BT125" s="390" t="n"/>
      <c r="BU125" s="390" t="n"/>
      <c r="BV125" s="390" t="n"/>
      <c r="BW125" s="390" t="n"/>
      <c r="BX125" s="390" t="n"/>
      <c r="BY125" s="390" t="n"/>
      <c r="BZ125" s="390" t="n"/>
      <c r="CA125" s="390" t="n"/>
      <c r="CB125" s="390" t="n"/>
      <c r="CC125" s="394" t="n"/>
      <c r="CF125" s="254" t="inlineStr">
        <is>
          <t>休日</t>
        </is>
      </c>
      <c r="CG125" s="395" t="n"/>
      <c r="CH125" s="395" t="n"/>
      <c r="CI125" s="396" t="n"/>
      <c r="CJ125" s="397">
        <f>IF(Q122="作業者1",N125-N122,0)</f>
        <v/>
      </c>
      <c r="CK125" s="395" t="n"/>
      <c r="CL125" s="395" t="n"/>
      <c r="CM125" s="395" t="n"/>
      <c r="CN125" s="396" t="n"/>
      <c r="CP125" s="254" t="inlineStr">
        <is>
          <t>休日</t>
        </is>
      </c>
      <c r="CQ125" s="395" t="n"/>
      <c r="CR125" s="395" t="n"/>
      <c r="CS125" s="396" t="n"/>
      <c r="CT125" s="397">
        <f>IF(Q122="作業者2",N125-N122,0)</f>
        <v/>
      </c>
      <c r="CU125" s="395" t="n"/>
      <c r="CV125" s="395" t="n"/>
      <c r="CW125" s="395" t="n"/>
      <c r="CX125" s="396" t="n"/>
      <c r="CZ125" s="254" t="inlineStr">
        <is>
          <t>休日</t>
        </is>
      </c>
      <c r="DA125" s="395" t="n"/>
      <c r="DB125" s="395" t="n"/>
      <c r="DC125" s="396" t="n"/>
      <c r="DD125" s="397">
        <f>IF(Q122="作業者3",N125-N122,0)</f>
        <v/>
      </c>
      <c r="DE125" s="395" t="n"/>
      <c r="DF125" s="395" t="n"/>
      <c r="DG125" s="395" t="n"/>
      <c r="DH125" s="396" t="n"/>
      <c r="DJ125" s="254" t="inlineStr">
        <is>
          <t>休日</t>
        </is>
      </c>
      <c r="DK125" s="395" t="n"/>
      <c r="DL125" s="395" t="n"/>
      <c r="DM125" s="396" t="n"/>
      <c r="DN125" s="397">
        <f>IF(Q122="作業者4",N125-N122,0)</f>
        <v/>
      </c>
      <c r="DO125" s="395" t="n"/>
      <c r="DP125" s="395" t="n"/>
      <c r="DQ125" s="395" t="n"/>
      <c r="DR125" s="396" t="n"/>
      <c r="DT125" s="254" t="inlineStr">
        <is>
          <t>休日</t>
        </is>
      </c>
      <c r="DU125" s="395" t="n"/>
      <c r="DV125" s="395" t="n"/>
      <c r="DW125" s="396" t="n"/>
      <c r="DX125" s="397">
        <f>IF(Q122="作業者5",N125-N122,0)</f>
        <v/>
      </c>
      <c r="DY125" s="395" t="n"/>
      <c r="DZ125" s="395" t="n"/>
      <c r="EA125" s="395" t="n"/>
      <c r="EB125" s="396" t="n"/>
    </row>
    <row r="126" ht="9" customHeight="1" s="337">
      <c r="B126" s="398" t="n"/>
      <c r="C126" s="372" t="n"/>
      <c r="D126" s="373" t="n"/>
      <c r="E126" s="399" t="n"/>
      <c r="F126" s="372" t="n"/>
      <c r="G126" s="373" t="n"/>
      <c r="H126" s="399" t="n"/>
      <c r="I126" s="372" t="n"/>
      <c r="J126" s="373" t="n"/>
      <c r="K126" s="399" t="n"/>
      <c r="L126" s="372" t="n"/>
      <c r="M126" s="373" t="n"/>
      <c r="N126" s="399" t="n"/>
      <c r="O126" s="372" t="n"/>
      <c r="P126" s="373" t="n"/>
      <c r="Q126" s="371" t="n"/>
      <c r="R126" s="372" t="n"/>
      <c r="S126" s="373" t="n"/>
      <c r="T126" s="371" t="n"/>
      <c r="U126" s="372" t="n"/>
      <c r="V126" s="373" t="n"/>
      <c r="W126" s="401" t="n"/>
      <c r="X126" s="372" t="n"/>
      <c r="Y126" s="372" t="n"/>
      <c r="Z126" s="372" t="n"/>
      <c r="AA126" s="372" t="n"/>
      <c r="AB126" s="372" t="n"/>
      <c r="AC126" s="372" t="n"/>
      <c r="AD126" s="372" t="n"/>
      <c r="AE126" s="372" t="n"/>
      <c r="AF126" s="372" t="n"/>
      <c r="AG126" s="372" t="n"/>
      <c r="AH126" s="372" t="n"/>
      <c r="AI126" s="372" t="n"/>
      <c r="AJ126" s="372" t="n"/>
      <c r="AK126" s="372" t="n"/>
      <c r="AL126" s="372" t="n"/>
      <c r="AM126" s="372" t="n"/>
      <c r="AN126" s="372" t="n"/>
      <c r="AO126" s="372" t="n"/>
      <c r="AP126" s="372" t="n"/>
      <c r="AQ126" s="372" t="n"/>
      <c r="AR126" s="372" t="n"/>
      <c r="AS126" s="372" t="n"/>
      <c r="AT126" s="372" t="n"/>
      <c r="AU126" s="372" t="n"/>
      <c r="AV126" s="372" t="n"/>
      <c r="AW126" s="372" t="n"/>
      <c r="AX126" s="372" t="n"/>
      <c r="AY126" s="372" t="n"/>
      <c r="AZ126" s="372" t="n"/>
      <c r="BA126" s="372" t="n"/>
      <c r="BB126" s="372" t="n"/>
      <c r="BC126" s="372" t="n"/>
      <c r="BD126" s="372" t="n"/>
      <c r="BE126" s="372" t="n"/>
      <c r="BF126" s="372" t="n"/>
      <c r="BG126" s="372" t="n"/>
      <c r="BH126" s="372" t="n"/>
      <c r="BI126" s="372" t="n"/>
      <c r="BJ126" s="372" t="n"/>
      <c r="BK126" s="372" t="n"/>
      <c r="BL126" s="372" t="n"/>
      <c r="BM126" s="372" t="n"/>
      <c r="BN126" s="372" t="n"/>
      <c r="BO126" s="372" t="n"/>
      <c r="BP126" s="372" t="n"/>
      <c r="BQ126" s="372" t="n"/>
      <c r="BR126" s="372" t="n"/>
      <c r="BS126" s="372" t="n"/>
      <c r="BT126" s="372" t="n"/>
      <c r="BU126" s="372" t="n"/>
      <c r="BV126" s="372" t="n"/>
      <c r="BW126" s="372" t="n"/>
      <c r="BX126" s="372" t="n"/>
      <c r="BY126" s="372" t="n"/>
      <c r="BZ126" s="372" t="n"/>
      <c r="CA126" s="372" t="n"/>
      <c r="CB126" s="372" t="n"/>
      <c r="CC126" s="402" t="n"/>
      <c r="CF126" s="248" t="inlineStr">
        <is>
          <t>移動</t>
        </is>
      </c>
      <c r="CG126" s="377" t="n"/>
      <c r="CH126" s="377" t="n"/>
      <c r="CI126" s="378" t="n"/>
      <c r="CJ126" s="379">
        <f>IF(Q126="作業者1",E129-E126,0)</f>
        <v/>
      </c>
      <c r="CK126" s="377" t="n"/>
      <c r="CL126" s="377" t="n"/>
      <c r="CM126" s="377" t="n"/>
      <c r="CN126" s="378" t="n"/>
      <c r="CP126" s="248" t="inlineStr">
        <is>
          <t>移動</t>
        </is>
      </c>
      <c r="CQ126" s="377" t="n"/>
      <c r="CR126" s="377" t="n"/>
      <c r="CS126" s="378" t="n"/>
      <c r="CT126" s="379">
        <f>IF(Q126="作業者2",E129-E126,0)</f>
        <v/>
      </c>
      <c r="CU126" s="377" t="n"/>
      <c r="CV126" s="377" t="n"/>
      <c r="CW126" s="377" t="n"/>
      <c r="CX126" s="378" t="n"/>
      <c r="CZ126" s="248" t="inlineStr">
        <is>
          <t>移動</t>
        </is>
      </c>
      <c r="DA126" s="377" t="n"/>
      <c r="DB126" s="377" t="n"/>
      <c r="DC126" s="378" t="n"/>
      <c r="DD126" s="379">
        <f>IF(Q126="作業者3",E129-E126,0)</f>
        <v/>
      </c>
      <c r="DE126" s="377" t="n"/>
      <c r="DF126" s="377" t="n"/>
      <c r="DG126" s="377" t="n"/>
      <c r="DH126" s="378" t="n"/>
      <c r="DJ126" s="248" t="inlineStr">
        <is>
          <t>移動</t>
        </is>
      </c>
      <c r="DK126" s="377" t="n"/>
      <c r="DL126" s="377" t="n"/>
      <c r="DM126" s="378" t="n"/>
      <c r="DN126" s="379">
        <f>IF(Q126="作業者4",E129-E126,0)</f>
        <v/>
      </c>
      <c r="DO126" s="377" t="n"/>
      <c r="DP126" s="377" t="n"/>
      <c r="DQ126" s="377" t="n"/>
      <c r="DR126" s="378" t="n"/>
      <c r="DT126" s="248" t="inlineStr">
        <is>
          <t>移動</t>
        </is>
      </c>
      <c r="DU126" s="377" t="n"/>
      <c r="DV126" s="377" t="n"/>
      <c r="DW126" s="378" t="n"/>
      <c r="DX126" s="379">
        <f>IF(Q126="作業者5",E129-E126,0)</f>
        <v/>
      </c>
      <c r="DY126" s="377" t="n"/>
      <c r="DZ126" s="377" t="n"/>
      <c r="EA126" s="377" t="n"/>
      <c r="EB126" s="378" t="n"/>
    </row>
    <row r="127" ht="9" customHeight="1" s="337">
      <c r="B127" s="350" t="n"/>
      <c r="C127" s="338" t="n"/>
      <c r="D127" s="380" t="n"/>
      <c r="E127" s="381" t="n"/>
      <c r="F127" s="122" t="inlineStr">
        <is>
          <t>～</t>
        </is>
      </c>
      <c r="G127" s="22" t="n"/>
      <c r="H127" s="381" t="n"/>
      <c r="I127" s="122" t="inlineStr">
        <is>
          <t>～</t>
        </is>
      </c>
      <c r="J127" s="22" t="n"/>
      <c r="K127" s="381" t="n"/>
      <c r="L127" s="122" t="inlineStr">
        <is>
          <t>～</t>
        </is>
      </c>
      <c r="M127" s="22" t="n"/>
      <c r="N127" s="381" t="n"/>
      <c r="O127" s="122" t="inlineStr">
        <is>
          <t>～</t>
        </is>
      </c>
      <c r="P127" s="22" t="n"/>
      <c r="Q127" s="382" t="n"/>
      <c r="R127" s="338" t="n"/>
      <c r="S127" s="380" t="n"/>
      <c r="T127" s="382" t="n"/>
      <c r="U127" s="338" t="n"/>
      <c r="V127" s="380" t="n"/>
      <c r="W127" s="382" t="n"/>
      <c r="X127" s="338" t="n"/>
      <c r="Y127" s="338" t="n"/>
      <c r="Z127" s="338" t="n"/>
      <c r="AA127" s="338" t="n"/>
      <c r="AB127" s="338" t="n"/>
      <c r="AC127" s="338" t="n"/>
      <c r="AD127" s="338" t="n"/>
      <c r="AE127" s="338" t="n"/>
      <c r="AF127" s="338" t="n"/>
      <c r="AG127" s="338" t="n"/>
      <c r="AH127" s="338" t="n"/>
      <c r="AI127" s="338" t="n"/>
      <c r="AJ127" s="338" t="n"/>
      <c r="AK127" s="338" t="n"/>
      <c r="AL127" s="338" t="n"/>
      <c r="AM127" s="338" t="n"/>
      <c r="AN127" s="338" t="n"/>
      <c r="AO127" s="338" t="n"/>
      <c r="AP127" s="338" t="n"/>
      <c r="AQ127" s="338" t="n"/>
      <c r="AR127" s="338" t="n"/>
      <c r="AS127" s="338" t="n"/>
      <c r="AT127" s="338" t="n"/>
      <c r="AU127" s="338" t="n"/>
      <c r="AV127" s="338" t="n"/>
      <c r="AW127" s="338" t="n"/>
      <c r="AX127" s="338" t="n"/>
      <c r="AY127" s="338" t="n"/>
      <c r="AZ127" s="338" t="n"/>
      <c r="BA127" s="338" t="n"/>
      <c r="BB127" s="338" t="n"/>
      <c r="BC127" s="338" t="n"/>
      <c r="BD127" s="338" t="n"/>
      <c r="BE127" s="338" t="n"/>
      <c r="BF127" s="338" t="n"/>
      <c r="BG127" s="338" t="n"/>
      <c r="BH127" s="338" t="n"/>
      <c r="BI127" s="338" t="n"/>
      <c r="BJ127" s="338" t="n"/>
      <c r="BK127" s="338" t="n"/>
      <c r="BL127" s="338" t="n"/>
      <c r="BM127" s="338" t="n"/>
      <c r="BN127" s="338" t="n"/>
      <c r="BO127" s="338" t="n"/>
      <c r="BP127" s="338" t="n"/>
      <c r="BQ127" s="338" t="n"/>
      <c r="BR127" s="338" t="n"/>
      <c r="BS127" s="338" t="n"/>
      <c r="BT127" s="338" t="n"/>
      <c r="BU127" s="338" t="n"/>
      <c r="BV127" s="338" t="n"/>
      <c r="BW127" s="338" t="n"/>
      <c r="BX127" s="338" t="n"/>
      <c r="BY127" s="338" t="n"/>
      <c r="BZ127" s="338" t="n"/>
      <c r="CA127" s="338" t="n"/>
      <c r="CB127" s="338" t="n"/>
      <c r="CC127" s="383" t="n"/>
      <c r="CF127" s="253" t="inlineStr">
        <is>
          <t>時間内</t>
        </is>
      </c>
      <c r="CG127" s="384" t="n"/>
      <c r="CH127" s="384" t="n"/>
      <c r="CI127" s="385" t="n"/>
      <c r="CJ127" s="386">
        <f>IF(Q126="作業者1",H129-H126,0)</f>
        <v/>
      </c>
      <c r="CK127" s="387" t="n"/>
      <c r="CL127" s="387" t="n"/>
      <c r="CM127" s="387" t="n"/>
      <c r="CN127" s="388" t="n"/>
      <c r="CP127" s="253" t="inlineStr">
        <is>
          <t>時間内</t>
        </is>
      </c>
      <c r="CQ127" s="384" t="n"/>
      <c r="CR127" s="384" t="n"/>
      <c r="CS127" s="385" t="n"/>
      <c r="CT127" s="386">
        <f>IF(Q126="作業者2",H129-H126,0)</f>
        <v/>
      </c>
      <c r="CU127" s="387" t="n"/>
      <c r="CV127" s="387" t="n"/>
      <c r="CW127" s="387" t="n"/>
      <c r="CX127" s="388" t="n"/>
      <c r="CZ127" s="253" t="inlineStr">
        <is>
          <t>時間内</t>
        </is>
      </c>
      <c r="DA127" s="384" t="n"/>
      <c r="DB127" s="384" t="n"/>
      <c r="DC127" s="385" t="n"/>
      <c r="DD127" s="386">
        <f>IF(Q126="作業者3",H129-H126,0)</f>
        <v/>
      </c>
      <c r="DE127" s="387" t="n"/>
      <c r="DF127" s="387" t="n"/>
      <c r="DG127" s="387" t="n"/>
      <c r="DH127" s="388" t="n"/>
      <c r="DJ127" s="253" t="inlineStr">
        <is>
          <t>時間内</t>
        </is>
      </c>
      <c r="DK127" s="384" t="n"/>
      <c r="DL127" s="384" t="n"/>
      <c r="DM127" s="385" t="n"/>
      <c r="DN127" s="386">
        <f>IF(Q126="作業者4",H129-H126,0)</f>
        <v/>
      </c>
      <c r="DO127" s="387" t="n"/>
      <c r="DP127" s="387" t="n"/>
      <c r="DQ127" s="387" t="n"/>
      <c r="DR127" s="388" t="n"/>
      <c r="DT127" s="253" t="inlineStr">
        <is>
          <t>時間内</t>
        </is>
      </c>
      <c r="DU127" s="384" t="n"/>
      <c r="DV127" s="384" t="n"/>
      <c r="DW127" s="385" t="n"/>
      <c r="DX127" s="386">
        <f>IF(Q126="作業者5",H129-H126,0)</f>
        <v/>
      </c>
      <c r="DY127" s="387" t="n"/>
      <c r="DZ127" s="387" t="n"/>
      <c r="EA127" s="387" t="n"/>
      <c r="EB127" s="388" t="n"/>
    </row>
    <row r="128" ht="9" customHeight="1" s="337">
      <c r="B128" s="350" t="n"/>
      <c r="C128" s="338" t="n"/>
      <c r="D128" s="380" t="n"/>
      <c r="E128" s="23" t="n"/>
      <c r="F128" s="338" t="n"/>
      <c r="G128" s="24" t="n"/>
      <c r="H128" s="23" t="n"/>
      <c r="I128" s="338" t="n"/>
      <c r="J128" s="24" t="n"/>
      <c r="K128" s="23" t="n"/>
      <c r="L128" s="338" t="n"/>
      <c r="M128" s="24" t="n"/>
      <c r="N128" s="23" t="n"/>
      <c r="O128" s="338" t="n"/>
      <c r="P128" s="24" t="n"/>
      <c r="Q128" s="382" t="n"/>
      <c r="R128" s="338" t="n"/>
      <c r="S128" s="380" t="n"/>
      <c r="T128" s="382" t="n"/>
      <c r="U128" s="338" t="n"/>
      <c r="V128" s="380" t="n"/>
      <c r="W128" s="382" t="n"/>
      <c r="X128" s="338" t="n"/>
      <c r="Y128" s="338" t="n"/>
      <c r="Z128" s="338" t="n"/>
      <c r="AA128" s="338" t="n"/>
      <c r="AB128" s="338" t="n"/>
      <c r="AC128" s="338" t="n"/>
      <c r="AD128" s="338" t="n"/>
      <c r="AE128" s="338" t="n"/>
      <c r="AF128" s="338" t="n"/>
      <c r="AG128" s="338" t="n"/>
      <c r="AH128" s="338" t="n"/>
      <c r="AI128" s="338" t="n"/>
      <c r="AJ128" s="338" t="n"/>
      <c r="AK128" s="338" t="n"/>
      <c r="AL128" s="338" t="n"/>
      <c r="AM128" s="338" t="n"/>
      <c r="AN128" s="338" t="n"/>
      <c r="AO128" s="338" t="n"/>
      <c r="AP128" s="338" t="n"/>
      <c r="AQ128" s="338" t="n"/>
      <c r="AR128" s="338" t="n"/>
      <c r="AS128" s="338" t="n"/>
      <c r="AT128" s="338" t="n"/>
      <c r="AU128" s="338" t="n"/>
      <c r="AV128" s="338" t="n"/>
      <c r="AW128" s="338" t="n"/>
      <c r="AX128" s="338" t="n"/>
      <c r="AY128" s="338" t="n"/>
      <c r="AZ128" s="338" t="n"/>
      <c r="BA128" s="338" t="n"/>
      <c r="BB128" s="338" t="n"/>
      <c r="BC128" s="338" t="n"/>
      <c r="BD128" s="338" t="n"/>
      <c r="BE128" s="338" t="n"/>
      <c r="BF128" s="338" t="n"/>
      <c r="BG128" s="338" t="n"/>
      <c r="BH128" s="338" t="n"/>
      <c r="BI128" s="338" t="n"/>
      <c r="BJ128" s="338" t="n"/>
      <c r="BK128" s="338" t="n"/>
      <c r="BL128" s="338" t="n"/>
      <c r="BM128" s="338" t="n"/>
      <c r="BN128" s="338" t="n"/>
      <c r="BO128" s="338" t="n"/>
      <c r="BP128" s="338" t="n"/>
      <c r="BQ128" s="338" t="n"/>
      <c r="BR128" s="338" t="n"/>
      <c r="BS128" s="338" t="n"/>
      <c r="BT128" s="338" t="n"/>
      <c r="BU128" s="338" t="n"/>
      <c r="BV128" s="338" t="n"/>
      <c r="BW128" s="338" t="n"/>
      <c r="BX128" s="338" t="n"/>
      <c r="BY128" s="338" t="n"/>
      <c r="BZ128" s="338" t="n"/>
      <c r="CA128" s="338" t="n"/>
      <c r="CB128" s="338" t="n"/>
      <c r="CC128" s="383" t="n"/>
      <c r="CF128" s="253" t="inlineStr">
        <is>
          <t>時間外</t>
        </is>
      </c>
      <c r="CG128" s="384" t="n"/>
      <c r="CH128" s="384" t="n"/>
      <c r="CI128" s="385" t="n"/>
      <c r="CJ128" s="386">
        <f>IF(Q126="作業者1",K129-K126,0)</f>
        <v/>
      </c>
      <c r="CK128" s="387" t="n"/>
      <c r="CL128" s="387" t="n"/>
      <c r="CM128" s="387" t="n"/>
      <c r="CN128" s="388" t="n"/>
      <c r="CP128" s="253" t="inlineStr">
        <is>
          <t>時間外</t>
        </is>
      </c>
      <c r="CQ128" s="384" t="n"/>
      <c r="CR128" s="384" t="n"/>
      <c r="CS128" s="385" t="n"/>
      <c r="CT128" s="386">
        <f>IF(Q126="作業者2",K129-K126,0)</f>
        <v/>
      </c>
      <c r="CU128" s="387" t="n"/>
      <c r="CV128" s="387" t="n"/>
      <c r="CW128" s="387" t="n"/>
      <c r="CX128" s="388" t="n"/>
      <c r="CZ128" s="253" t="inlineStr">
        <is>
          <t>時間外</t>
        </is>
      </c>
      <c r="DA128" s="384" t="n"/>
      <c r="DB128" s="384" t="n"/>
      <c r="DC128" s="385" t="n"/>
      <c r="DD128" s="386">
        <f>IF(Q126="作業者3",K129-K126,0)</f>
        <v/>
      </c>
      <c r="DE128" s="387" t="n"/>
      <c r="DF128" s="387" t="n"/>
      <c r="DG128" s="387" t="n"/>
      <c r="DH128" s="388" t="n"/>
      <c r="DJ128" s="253" t="inlineStr">
        <is>
          <t>時間外</t>
        </is>
      </c>
      <c r="DK128" s="384" t="n"/>
      <c r="DL128" s="384" t="n"/>
      <c r="DM128" s="385" t="n"/>
      <c r="DN128" s="386">
        <f>IF(Q126="作業者4",K129-K126,0)</f>
        <v/>
      </c>
      <c r="DO128" s="387" t="n"/>
      <c r="DP128" s="387" t="n"/>
      <c r="DQ128" s="387" t="n"/>
      <c r="DR128" s="388" t="n"/>
      <c r="DT128" s="253" t="inlineStr">
        <is>
          <t>時間外</t>
        </is>
      </c>
      <c r="DU128" s="384" t="n"/>
      <c r="DV128" s="384" t="n"/>
      <c r="DW128" s="385" t="n"/>
      <c r="DX128" s="386">
        <f>IF(Q126="作業者5",K129-K126,0)</f>
        <v/>
      </c>
      <c r="DY128" s="387" t="n"/>
      <c r="DZ128" s="387" t="n"/>
      <c r="EA128" s="387" t="n"/>
      <c r="EB128" s="388" t="n"/>
    </row>
    <row r="129" ht="9" customHeight="1" s="337">
      <c r="B129" s="389" t="n"/>
      <c r="C129" s="390" t="n"/>
      <c r="D129" s="391" t="n"/>
      <c r="E129" s="392" t="n"/>
      <c r="F129" s="390" t="n"/>
      <c r="G129" s="391" t="n"/>
      <c r="H129" s="392" t="n"/>
      <c r="I129" s="390" t="n"/>
      <c r="J129" s="391" t="n"/>
      <c r="K129" s="392" t="n"/>
      <c r="L129" s="390" t="n"/>
      <c r="M129" s="391" t="n"/>
      <c r="N129" s="392" t="n"/>
      <c r="O129" s="390" t="n"/>
      <c r="P129" s="391" t="n"/>
      <c r="Q129" s="393" t="n"/>
      <c r="R129" s="390" t="n"/>
      <c r="S129" s="391" t="n"/>
      <c r="T129" s="393" t="n"/>
      <c r="U129" s="390" t="n"/>
      <c r="V129" s="391" t="n"/>
      <c r="W129" s="393" t="n"/>
      <c r="X129" s="390" t="n"/>
      <c r="Y129" s="390" t="n"/>
      <c r="Z129" s="390" t="n"/>
      <c r="AA129" s="390" t="n"/>
      <c r="AB129" s="390" t="n"/>
      <c r="AC129" s="390" t="n"/>
      <c r="AD129" s="390" t="n"/>
      <c r="AE129" s="390" t="n"/>
      <c r="AF129" s="390" t="n"/>
      <c r="AG129" s="390" t="n"/>
      <c r="AH129" s="390" t="n"/>
      <c r="AI129" s="390" t="n"/>
      <c r="AJ129" s="390" t="n"/>
      <c r="AK129" s="390" t="n"/>
      <c r="AL129" s="390" t="n"/>
      <c r="AM129" s="390" t="n"/>
      <c r="AN129" s="390" t="n"/>
      <c r="AO129" s="390" t="n"/>
      <c r="AP129" s="390" t="n"/>
      <c r="AQ129" s="390" t="n"/>
      <c r="AR129" s="390" t="n"/>
      <c r="AS129" s="390" t="n"/>
      <c r="AT129" s="390" t="n"/>
      <c r="AU129" s="390" t="n"/>
      <c r="AV129" s="390" t="n"/>
      <c r="AW129" s="390" t="n"/>
      <c r="AX129" s="390" t="n"/>
      <c r="AY129" s="390" t="n"/>
      <c r="AZ129" s="390" t="n"/>
      <c r="BA129" s="390" t="n"/>
      <c r="BB129" s="390" t="n"/>
      <c r="BC129" s="390" t="n"/>
      <c r="BD129" s="390" t="n"/>
      <c r="BE129" s="390" t="n"/>
      <c r="BF129" s="390" t="n"/>
      <c r="BG129" s="390" t="n"/>
      <c r="BH129" s="390" t="n"/>
      <c r="BI129" s="390" t="n"/>
      <c r="BJ129" s="390" t="n"/>
      <c r="BK129" s="390" t="n"/>
      <c r="BL129" s="390" t="n"/>
      <c r="BM129" s="390" t="n"/>
      <c r="BN129" s="390" t="n"/>
      <c r="BO129" s="390" t="n"/>
      <c r="BP129" s="390" t="n"/>
      <c r="BQ129" s="390" t="n"/>
      <c r="BR129" s="390" t="n"/>
      <c r="BS129" s="390" t="n"/>
      <c r="BT129" s="390" t="n"/>
      <c r="BU129" s="390" t="n"/>
      <c r="BV129" s="390" t="n"/>
      <c r="BW129" s="390" t="n"/>
      <c r="BX129" s="390" t="n"/>
      <c r="BY129" s="390" t="n"/>
      <c r="BZ129" s="390" t="n"/>
      <c r="CA129" s="390" t="n"/>
      <c r="CB129" s="390" t="n"/>
      <c r="CC129" s="394" t="n"/>
      <c r="CF129" s="254" t="inlineStr">
        <is>
          <t>休日</t>
        </is>
      </c>
      <c r="CG129" s="395" t="n"/>
      <c r="CH129" s="395" t="n"/>
      <c r="CI129" s="396" t="n"/>
      <c r="CJ129" s="386">
        <f>IF(Q126="作業者1",N129-N126,0)</f>
        <v/>
      </c>
      <c r="CK129" s="387" t="n"/>
      <c r="CL129" s="387" t="n"/>
      <c r="CM129" s="387" t="n"/>
      <c r="CN129" s="388" t="n"/>
      <c r="CP129" s="253" t="inlineStr">
        <is>
          <t>休日</t>
        </is>
      </c>
      <c r="CQ129" s="384" t="n"/>
      <c r="CR129" s="384" t="n"/>
      <c r="CS129" s="385" t="n"/>
      <c r="CT129" s="386">
        <f>IF(Q126="作業者2",N129-N126,0)</f>
        <v/>
      </c>
      <c r="CU129" s="387" t="n"/>
      <c r="CV129" s="387" t="n"/>
      <c r="CW129" s="387" t="n"/>
      <c r="CX129" s="388" t="n"/>
      <c r="CZ129" s="254" t="inlineStr">
        <is>
          <t>休日</t>
        </is>
      </c>
      <c r="DA129" s="395" t="n"/>
      <c r="DB129" s="395" t="n"/>
      <c r="DC129" s="396" t="n"/>
      <c r="DD129" s="397">
        <f>IF(Q126="作業者3",N129-N126,0)</f>
        <v/>
      </c>
      <c r="DE129" s="395" t="n"/>
      <c r="DF129" s="395" t="n"/>
      <c r="DG129" s="395" t="n"/>
      <c r="DH129" s="396" t="n"/>
      <c r="DJ129" s="254" t="inlineStr">
        <is>
          <t>休日</t>
        </is>
      </c>
      <c r="DK129" s="395" t="n"/>
      <c r="DL129" s="395" t="n"/>
      <c r="DM129" s="396" t="n"/>
      <c r="DN129" s="397">
        <f>IF(Q126="作業者4",N129-N126,0)</f>
        <v/>
      </c>
      <c r="DO129" s="395" t="n"/>
      <c r="DP129" s="395" t="n"/>
      <c r="DQ129" s="395" t="n"/>
      <c r="DR129" s="396" t="n"/>
      <c r="DT129" s="254" t="inlineStr">
        <is>
          <t>休日</t>
        </is>
      </c>
      <c r="DU129" s="395" t="n"/>
      <c r="DV129" s="395" t="n"/>
      <c r="DW129" s="396" t="n"/>
      <c r="DX129" s="397">
        <f>IF(Q126="作業者5",N129-N126,0)</f>
        <v/>
      </c>
      <c r="DY129" s="395" t="n"/>
      <c r="DZ129" s="395" t="n"/>
      <c r="EA129" s="395" t="n"/>
      <c r="EB129" s="396" t="n"/>
    </row>
    <row r="130" ht="9" customHeight="1" s="337">
      <c r="B130" s="410" t="n"/>
      <c r="C130" s="372" t="n"/>
      <c r="D130" s="373" t="n"/>
      <c r="E130" s="399" t="n"/>
      <c r="F130" s="372" t="n"/>
      <c r="G130" s="373" t="n"/>
      <c r="H130" s="399" t="n"/>
      <c r="I130" s="372" t="n"/>
      <c r="J130" s="373" t="n"/>
      <c r="K130" s="399" t="n"/>
      <c r="L130" s="372" t="n"/>
      <c r="M130" s="373" t="n"/>
      <c r="N130" s="399" t="n"/>
      <c r="O130" s="372" t="n"/>
      <c r="P130" s="373" t="n"/>
      <c r="Q130" s="411" t="n"/>
      <c r="R130" s="372" t="n"/>
      <c r="S130" s="373" t="n"/>
      <c r="T130" s="411" t="n"/>
      <c r="U130" s="372" t="n"/>
      <c r="V130" s="373" t="n"/>
      <c r="W130" s="401" t="n"/>
      <c r="X130" s="372" t="n"/>
      <c r="Y130" s="372" t="n"/>
      <c r="Z130" s="372" t="n"/>
      <c r="AA130" s="372" t="n"/>
      <c r="AB130" s="372" t="n"/>
      <c r="AC130" s="372" t="n"/>
      <c r="AD130" s="372" t="n"/>
      <c r="AE130" s="372" t="n"/>
      <c r="AF130" s="372" t="n"/>
      <c r="AG130" s="372" t="n"/>
      <c r="AH130" s="372" t="n"/>
      <c r="AI130" s="372" t="n"/>
      <c r="AJ130" s="372" t="n"/>
      <c r="AK130" s="372" t="n"/>
      <c r="AL130" s="372" t="n"/>
      <c r="AM130" s="372" t="n"/>
      <c r="AN130" s="372" t="n"/>
      <c r="AO130" s="372" t="n"/>
      <c r="AP130" s="372" t="n"/>
      <c r="AQ130" s="372" t="n"/>
      <c r="AR130" s="372" t="n"/>
      <c r="AS130" s="372" t="n"/>
      <c r="AT130" s="372" t="n"/>
      <c r="AU130" s="372" t="n"/>
      <c r="AV130" s="372" t="n"/>
      <c r="AW130" s="372" t="n"/>
      <c r="AX130" s="372" t="n"/>
      <c r="AY130" s="372" t="n"/>
      <c r="AZ130" s="372" t="n"/>
      <c r="BA130" s="372" t="n"/>
      <c r="BB130" s="372" t="n"/>
      <c r="BC130" s="372" t="n"/>
      <c r="BD130" s="372" t="n"/>
      <c r="BE130" s="372" t="n"/>
      <c r="BF130" s="372" t="n"/>
      <c r="BG130" s="372" t="n"/>
      <c r="BH130" s="372" t="n"/>
      <c r="BI130" s="372" t="n"/>
      <c r="BJ130" s="372" t="n"/>
      <c r="BK130" s="372" t="n"/>
      <c r="BL130" s="372" t="n"/>
      <c r="BM130" s="372" t="n"/>
      <c r="BN130" s="372" t="n"/>
      <c r="BO130" s="372" t="n"/>
      <c r="BP130" s="372" t="n"/>
      <c r="BQ130" s="372" t="n"/>
      <c r="BR130" s="372" t="n"/>
      <c r="BS130" s="372" t="n"/>
      <c r="BT130" s="372" t="n"/>
      <c r="BU130" s="372" t="n"/>
      <c r="BV130" s="372" t="n"/>
      <c r="BW130" s="372" t="n"/>
      <c r="BX130" s="372" t="n"/>
      <c r="BY130" s="372" t="n"/>
      <c r="BZ130" s="372" t="n"/>
      <c r="CA130" s="372" t="n"/>
      <c r="CB130" s="372" t="n"/>
      <c r="CC130" s="402" t="n"/>
      <c r="CF130" s="259" t="inlineStr">
        <is>
          <t>移動</t>
        </is>
      </c>
      <c r="CG130" s="403" t="n"/>
      <c r="CH130" s="403" t="n"/>
      <c r="CI130" s="404" t="n"/>
      <c r="CJ130" s="379">
        <f>IF(Q130="作業者1",E133-E130,0)</f>
        <v/>
      </c>
      <c r="CK130" s="377" t="n"/>
      <c r="CL130" s="377" t="n"/>
      <c r="CM130" s="377" t="n"/>
      <c r="CN130" s="378" t="n"/>
      <c r="CP130" s="248" t="inlineStr">
        <is>
          <t>移動</t>
        </is>
      </c>
      <c r="CQ130" s="377" t="n"/>
      <c r="CR130" s="377" t="n"/>
      <c r="CS130" s="378" t="n"/>
      <c r="CT130" s="379">
        <f>IF(Q130="作業者2",E133-E130,0)</f>
        <v/>
      </c>
      <c r="CU130" s="377" t="n"/>
      <c r="CV130" s="377" t="n"/>
      <c r="CW130" s="377" t="n"/>
      <c r="CX130" s="378" t="n"/>
      <c r="CZ130" s="259" t="inlineStr">
        <is>
          <t>移動</t>
        </is>
      </c>
      <c r="DA130" s="403" t="n"/>
      <c r="DB130" s="403" t="n"/>
      <c r="DC130" s="404" t="n"/>
      <c r="DD130" s="405">
        <f>IF(Q130="作業者3",E133-E130,0)</f>
        <v/>
      </c>
      <c r="DE130" s="406" t="n"/>
      <c r="DF130" s="406" t="n"/>
      <c r="DG130" s="406" t="n"/>
      <c r="DH130" s="407" t="n"/>
      <c r="DJ130" s="259" t="inlineStr">
        <is>
          <t>移動</t>
        </is>
      </c>
      <c r="DK130" s="403" t="n"/>
      <c r="DL130" s="403" t="n"/>
      <c r="DM130" s="404" t="n"/>
      <c r="DN130" s="379">
        <f>IF(Q130="作業者4",E133-E130,0)</f>
        <v/>
      </c>
      <c r="DO130" s="377" t="n"/>
      <c r="DP130" s="377" t="n"/>
      <c r="DQ130" s="377" t="n"/>
      <c r="DR130" s="378" t="n"/>
      <c r="DT130" s="259" t="inlineStr">
        <is>
          <t>移動</t>
        </is>
      </c>
      <c r="DU130" s="403" t="n"/>
      <c r="DV130" s="403" t="n"/>
      <c r="DW130" s="404" t="n"/>
      <c r="DX130" s="379">
        <f>IF(Q130="作業者5",E133-E130,0)</f>
        <v/>
      </c>
      <c r="DY130" s="377" t="n"/>
      <c r="DZ130" s="377" t="n"/>
      <c r="EA130" s="377" t="n"/>
      <c r="EB130" s="378" t="n"/>
    </row>
    <row r="131" ht="9" customHeight="1" s="337">
      <c r="B131" s="350" t="n"/>
      <c r="C131" s="338" t="n"/>
      <c r="D131" s="380" t="n"/>
      <c r="E131" s="381" t="n"/>
      <c r="F131" s="122" t="inlineStr">
        <is>
          <t>～</t>
        </is>
      </c>
      <c r="G131" s="22" t="n"/>
      <c r="H131" s="381" t="n"/>
      <c r="I131" s="122" t="inlineStr">
        <is>
          <t>～</t>
        </is>
      </c>
      <c r="J131" s="22" t="n"/>
      <c r="K131" s="381" t="n"/>
      <c r="L131" s="122" t="inlineStr">
        <is>
          <t>～</t>
        </is>
      </c>
      <c r="M131" s="22" t="n"/>
      <c r="N131" s="381" t="n"/>
      <c r="O131" s="122" t="inlineStr">
        <is>
          <t>～</t>
        </is>
      </c>
      <c r="P131" s="22" t="n"/>
      <c r="Q131" s="382" t="n"/>
      <c r="R131" s="338" t="n"/>
      <c r="S131" s="380" t="n"/>
      <c r="T131" s="382" t="n"/>
      <c r="U131" s="338" t="n"/>
      <c r="V131" s="380" t="n"/>
      <c r="W131" s="382" t="n"/>
      <c r="X131" s="338" t="n"/>
      <c r="Y131" s="338" t="n"/>
      <c r="Z131" s="338" t="n"/>
      <c r="AA131" s="338" t="n"/>
      <c r="AB131" s="338" t="n"/>
      <c r="AC131" s="338" t="n"/>
      <c r="AD131" s="338" t="n"/>
      <c r="AE131" s="338" t="n"/>
      <c r="AF131" s="338" t="n"/>
      <c r="AG131" s="338" t="n"/>
      <c r="AH131" s="338" t="n"/>
      <c r="AI131" s="338" t="n"/>
      <c r="AJ131" s="338" t="n"/>
      <c r="AK131" s="338" t="n"/>
      <c r="AL131" s="338" t="n"/>
      <c r="AM131" s="338" t="n"/>
      <c r="AN131" s="338" t="n"/>
      <c r="AO131" s="338" t="n"/>
      <c r="AP131" s="338" t="n"/>
      <c r="AQ131" s="338" t="n"/>
      <c r="AR131" s="338" t="n"/>
      <c r="AS131" s="338" t="n"/>
      <c r="AT131" s="338" t="n"/>
      <c r="AU131" s="338" t="n"/>
      <c r="AV131" s="338" t="n"/>
      <c r="AW131" s="338" t="n"/>
      <c r="AX131" s="338" t="n"/>
      <c r="AY131" s="338" t="n"/>
      <c r="AZ131" s="338" t="n"/>
      <c r="BA131" s="338" t="n"/>
      <c r="BB131" s="338" t="n"/>
      <c r="BC131" s="338" t="n"/>
      <c r="BD131" s="338" t="n"/>
      <c r="BE131" s="338" t="n"/>
      <c r="BF131" s="338" t="n"/>
      <c r="BG131" s="338" t="n"/>
      <c r="BH131" s="338" t="n"/>
      <c r="BI131" s="338" t="n"/>
      <c r="BJ131" s="338" t="n"/>
      <c r="BK131" s="338" t="n"/>
      <c r="BL131" s="338" t="n"/>
      <c r="BM131" s="338" t="n"/>
      <c r="BN131" s="338" t="n"/>
      <c r="BO131" s="338" t="n"/>
      <c r="BP131" s="338" t="n"/>
      <c r="BQ131" s="338" t="n"/>
      <c r="BR131" s="338" t="n"/>
      <c r="BS131" s="338" t="n"/>
      <c r="BT131" s="338" t="n"/>
      <c r="BU131" s="338" t="n"/>
      <c r="BV131" s="338" t="n"/>
      <c r="BW131" s="338" t="n"/>
      <c r="BX131" s="338" t="n"/>
      <c r="BY131" s="338" t="n"/>
      <c r="BZ131" s="338" t="n"/>
      <c r="CA131" s="338" t="n"/>
      <c r="CB131" s="338" t="n"/>
      <c r="CC131" s="383" t="n"/>
      <c r="CF131" s="253" t="inlineStr">
        <is>
          <t>時間内</t>
        </is>
      </c>
      <c r="CG131" s="384" t="n"/>
      <c r="CH131" s="384" t="n"/>
      <c r="CI131" s="385" t="n"/>
      <c r="CJ131" s="386">
        <f>IF(Q130="作業者1",H133-H130,0)</f>
        <v/>
      </c>
      <c r="CK131" s="387" t="n"/>
      <c r="CL131" s="387" t="n"/>
      <c r="CM131" s="387" t="n"/>
      <c r="CN131" s="388" t="n"/>
      <c r="CP131" s="253" t="inlineStr">
        <is>
          <t>時間内</t>
        </is>
      </c>
      <c r="CQ131" s="384" t="n"/>
      <c r="CR131" s="384" t="n"/>
      <c r="CS131" s="385" t="n"/>
      <c r="CT131" s="386">
        <f>IF(Q130="作業者2",H133-H130,0)</f>
        <v/>
      </c>
      <c r="CU131" s="387" t="n"/>
      <c r="CV131" s="387" t="n"/>
      <c r="CW131" s="387" t="n"/>
      <c r="CX131" s="388" t="n"/>
      <c r="CZ131" s="253" t="inlineStr">
        <is>
          <t>時間内</t>
        </is>
      </c>
      <c r="DA131" s="384" t="n"/>
      <c r="DB131" s="384" t="n"/>
      <c r="DC131" s="385" t="n"/>
      <c r="DD131" s="386">
        <f>IF(Q130="作業者3",H133-H130,0)</f>
        <v/>
      </c>
      <c r="DE131" s="387" t="n"/>
      <c r="DF131" s="387" t="n"/>
      <c r="DG131" s="387" t="n"/>
      <c r="DH131" s="388" t="n"/>
      <c r="DJ131" s="253" t="inlineStr">
        <is>
          <t>時間内</t>
        </is>
      </c>
      <c r="DK131" s="384" t="n"/>
      <c r="DL131" s="384" t="n"/>
      <c r="DM131" s="385" t="n"/>
      <c r="DN131" s="386">
        <f>IF(Q130="作業者4",H133-H130,0)</f>
        <v/>
      </c>
      <c r="DO131" s="387" t="n"/>
      <c r="DP131" s="387" t="n"/>
      <c r="DQ131" s="387" t="n"/>
      <c r="DR131" s="388" t="n"/>
      <c r="DT131" s="253" t="inlineStr">
        <is>
          <t>時間内</t>
        </is>
      </c>
      <c r="DU131" s="384" t="n"/>
      <c r="DV131" s="384" t="n"/>
      <c r="DW131" s="385" t="n"/>
      <c r="DX131" s="386">
        <f>IF(Q130="作業者5",H133-H130,0)</f>
        <v/>
      </c>
      <c r="DY131" s="387" t="n"/>
      <c r="DZ131" s="387" t="n"/>
      <c r="EA131" s="387" t="n"/>
      <c r="EB131" s="388" t="n"/>
    </row>
    <row r="132" ht="9" customHeight="1" s="337">
      <c r="B132" s="350" t="n"/>
      <c r="C132" s="338" t="n"/>
      <c r="D132" s="380" t="n"/>
      <c r="E132" s="23" t="n"/>
      <c r="F132" s="338" t="n"/>
      <c r="G132" s="24" t="n"/>
      <c r="H132" s="23" t="n"/>
      <c r="I132" s="338" t="n"/>
      <c r="J132" s="24" t="n"/>
      <c r="K132" s="23" t="n"/>
      <c r="L132" s="338" t="n"/>
      <c r="M132" s="24" t="n"/>
      <c r="N132" s="23" t="n"/>
      <c r="O132" s="338" t="n"/>
      <c r="P132" s="24" t="n"/>
      <c r="Q132" s="382" t="n"/>
      <c r="R132" s="338" t="n"/>
      <c r="S132" s="380" t="n"/>
      <c r="T132" s="382" t="n"/>
      <c r="U132" s="338" t="n"/>
      <c r="V132" s="380" t="n"/>
      <c r="W132" s="382" t="n"/>
      <c r="X132" s="338" t="n"/>
      <c r="Y132" s="338" t="n"/>
      <c r="Z132" s="338" t="n"/>
      <c r="AA132" s="338" t="n"/>
      <c r="AB132" s="338" t="n"/>
      <c r="AC132" s="338" t="n"/>
      <c r="AD132" s="338" t="n"/>
      <c r="AE132" s="338" t="n"/>
      <c r="AF132" s="338" t="n"/>
      <c r="AG132" s="338" t="n"/>
      <c r="AH132" s="338" t="n"/>
      <c r="AI132" s="338" t="n"/>
      <c r="AJ132" s="338" t="n"/>
      <c r="AK132" s="338" t="n"/>
      <c r="AL132" s="338" t="n"/>
      <c r="AM132" s="338" t="n"/>
      <c r="AN132" s="338" t="n"/>
      <c r="AO132" s="338" t="n"/>
      <c r="AP132" s="338" t="n"/>
      <c r="AQ132" s="338" t="n"/>
      <c r="AR132" s="338" t="n"/>
      <c r="AS132" s="338" t="n"/>
      <c r="AT132" s="338" t="n"/>
      <c r="AU132" s="338" t="n"/>
      <c r="AV132" s="338" t="n"/>
      <c r="AW132" s="338" t="n"/>
      <c r="AX132" s="338" t="n"/>
      <c r="AY132" s="338" t="n"/>
      <c r="AZ132" s="338" t="n"/>
      <c r="BA132" s="338" t="n"/>
      <c r="BB132" s="338" t="n"/>
      <c r="BC132" s="338" t="n"/>
      <c r="BD132" s="338" t="n"/>
      <c r="BE132" s="338" t="n"/>
      <c r="BF132" s="338" t="n"/>
      <c r="BG132" s="338" t="n"/>
      <c r="BH132" s="338" t="n"/>
      <c r="BI132" s="338" t="n"/>
      <c r="BJ132" s="338" t="n"/>
      <c r="BK132" s="338" t="n"/>
      <c r="BL132" s="338" t="n"/>
      <c r="BM132" s="338" t="n"/>
      <c r="BN132" s="338" t="n"/>
      <c r="BO132" s="338" t="n"/>
      <c r="BP132" s="338" t="n"/>
      <c r="BQ132" s="338" t="n"/>
      <c r="BR132" s="338" t="n"/>
      <c r="BS132" s="338" t="n"/>
      <c r="BT132" s="338" t="n"/>
      <c r="BU132" s="338" t="n"/>
      <c r="BV132" s="338" t="n"/>
      <c r="BW132" s="338" t="n"/>
      <c r="BX132" s="338" t="n"/>
      <c r="BY132" s="338" t="n"/>
      <c r="BZ132" s="338" t="n"/>
      <c r="CA132" s="338" t="n"/>
      <c r="CB132" s="338" t="n"/>
      <c r="CC132" s="383" t="n"/>
      <c r="CF132" s="253" t="inlineStr">
        <is>
          <t>時間外</t>
        </is>
      </c>
      <c r="CG132" s="384" t="n"/>
      <c r="CH132" s="384" t="n"/>
      <c r="CI132" s="385" t="n"/>
      <c r="CJ132" s="386">
        <f>IF(Q130="作業者1",K133-K130,0)</f>
        <v/>
      </c>
      <c r="CK132" s="387" t="n"/>
      <c r="CL132" s="387" t="n"/>
      <c r="CM132" s="387" t="n"/>
      <c r="CN132" s="388" t="n"/>
      <c r="CP132" s="253" t="inlineStr">
        <is>
          <t>時間外</t>
        </is>
      </c>
      <c r="CQ132" s="384" t="n"/>
      <c r="CR132" s="384" t="n"/>
      <c r="CS132" s="385" t="n"/>
      <c r="CT132" s="386">
        <f>IF(Q130="作業者2",K133-K130,0)</f>
        <v/>
      </c>
      <c r="CU132" s="387" t="n"/>
      <c r="CV132" s="387" t="n"/>
      <c r="CW132" s="387" t="n"/>
      <c r="CX132" s="388" t="n"/>
      <c r="CZ132" s="253" t="inlineStr">
        <is>
          <t>時間外</t>
        </is>
      </c>
      <c r="DA132" s="384" t="n"/>
      <c r="DB132" s="384" t="n"/>
      <c r="DC132" s="385" t="n"/>
      <c r="DD132" s="386">
        <f>IF(Q130="作業者3",K133-K130,0)</f>
        <v/>
      </c>
      <c r="DE132" s="387" t="n"/>
      <c r="DF132" s="387" t="n"/>
      <c r="DG132" s="387" t="n"/>
      <c r="DH132" s="388" t="n"/>
      <c r="DJ132" s="253" t="inlineStr">
        <is>
          <t>時間外</t>
        </is>
      </c>
      <c r="DK132" s="384" t="n"/>
      <c r="DL132" s="384" t="n"/>
      <c r="DM132" s="385" t="n"/>
      <c r="DN132" s="386">
        <f>IF(Q130="作業者4",K133-K130,0)</f>
        <v/>
      </c>
      <c r="DO132" s="387" t="n"/>
      <c r="DP132" s="387" t="n"/>
      <c r="DQ132" s="387" t="n"/>
      <c r="DR132" s="388" t="n"/>
      <c r="DT132" s="253" t="inlineStr">
        <is>
          <t>時間外</t>
        </is>
      </c>
      <c r="DU132" s="384" t="n"/>
      <c r="DV132" s="384" t="n"/>
      <c r="DW132" s="385" t="n"/>
      <c r="DX132" s="386">
        <f>IF(Q130="作業者5",K133-K130,0)</f>
        <v/>
      </c>
      <c r="DY132" s="387" t="n"/>
      <c r="DZ132" s="387" t="n"/>
      <c r="EA132" s="387" t="n"/>
      <c r="EB132" s="388" t="n"/>
    </row>
    <row r="133" ht="9" customHeight="1" s="337">
      <c r="B133" s="353" t="n"/>
      <c r="C133" s="339" t="n"/>
      <c r="D133" s="364" t="n"/>
      <c r="E133" s="412" t="n"/>
      <c r="F133" s="339" t="n"/>
      <c r="G133" s="364" t="n"/>
      <c r="H133" s="412" t="n"/>
      <c r="I133" s="339" t="n"/>
      <c r="J133" s="364" t="n"/>
      <c r="K133" s="412" t="n"/>
      <c r="L133" s="339" t="n"/>
      <c r="M133" s="364" t="n"/>
      <c r="N133" s="412" t="n"/>
      <c r="O133" s="339" t="n"/>
      <c r="P133" s="364" t="n"/>
      <c r="Q133" s="365" t="n"/>
      <c r="R133" s="339" t="n"/>
      <c r="S133" s="364" t="n"/>
      <c r="T133" s="365" t="n"/>
      <c r="U133" s="339" t="n"/>
      <c r="V133" s="364" t="n"/>
      <c r="W133" s="393" t="n"/>
      <c r="X133" s="390" t="n"/>
      <c r="Y133" s="390" t="n"/>
      <c r="Z133" s="390" t="n"/>
      <c r="AA133" s="390" t="n"/>
      <c r="AB133" s="390" t="n"/>
      <c r="AC133" s="390" t="n"/>
      <c r="AD133" s="390" t="n"/>
      <c r="AE133" s="390" t="n"/>
      <c r="AF133" s="390" t="n"/>
      <c r="AG133" s="390" t="n"/>
      <c r="AH133" s="390" t="n"/>
      <c r="AI133" s="390" t="n"/>
      <c r="AJ133" s="390" t="n"/>
      <c r="AK133" s="390" t="n"/>
      <c r="AL133" s="390" t="n"/>
      <c r="AM133" s="390" t="n"/>
      <c r="AN133" s="390" t="n"/>
      <c r="AO133" s="390" t="n"/>
      <c r="AP133" s="390" t="n"/>
      <c r="AQ133" s="390" t="n"/>
      <c r="AR133" s="390" t="n"/>
      <c r="AS133" s="390" t="n"/>
      <c r="AT133" s="390" t="n"/>
      <c r="AU133" s="390" t="n"/>
      <c r="AV133" s="390" t="n"/>
      <c r="AW133" s="390" t="n"/>
      <c r="AX133" s="390" t="n"/>
      <c r="AY133" s="390" t="n"/>
      <c r="AZ133" s="390" t="n"/>
      <c r="BA133" s="390" t="n"/>
      <c r="BB133" s="390" t="n"/>
      <c r="BC133" s="390" t="n"/>
      <c r="BD133" s="390" t="n"/>
      <c r="BE133" s="390" t="n"/>
      <c r="BF133" s="390" t="n"/>
      <c r="BG133" s="390" t="n"/>
      <c r="BH133" s="390" t="n"/>
      <c r="BI133" s="390" t="n"/>
      <c r="BJ133" s="390" t="n"/>
      <c r="BK133" s="390" t="n"/>
      <c r="BL133" s="390" t="n"/>
      <c r="BM133" s="390" t="n"/>
      <c r="BN133" s="390" t="n"/>
      <c r="BO133" s="390" t="n"/>
      <c r="BP133" s="390" t="n"/>
      <c r="BQ133" s="390" t="n"/>
      <c r="BR133" s="390" t="n"/>
      <c r="BS133" s="390" t="n"/>
      <c r="BT133" s="390" t="n"/>
      <c r="BU133" s="390" t="n"/>
      <c r="BV133" s="390" t="n"/>
      <c r="BW133" s="390" t="n"/>
      <c r="BX133" s="390" t="n"/>
      <c r="BY133" s="390" t="n"/>
      <c r="BZ133" s="390" t="n"/>
      <c r="CA133" s="390" t="n"/>
      <c r="CB133" s="390" t="n"/>
      <c r="CC133" s="394" t="n"/>
      <c r="CF133" s="254" t="inlineStr">
        <is>
          <t>休日</t>
        </is>
      </c>
      <c r="CG133" s="395" t="n"/>
      <c r="CH133" s="395" t="n"/>
      <c r="CI133" s="396" t="n"/>
      <c r="CJ133" s="397">
        <f>IF(Q130="作業者1",N133-N130,0)</f>
        <v/>
      </c>
      <c r="CK133" s="395" t="n"/>
      <c r="CL133" s="395" t="n"/>
      <c r="CM133" s="395" t="n"/>
      <c r="CN133" s="396" t="n"/>
      <c r="CP133" s="254" t="inlineStr">
        <is>
          <t>休日</t>
        </is>
      </c>
      <c r="CQ133" s="395" t="n"/>
      <c r="CR133" s="395" t="n"/>
      <c r="CS133" s="396" t="n"/>
      <c r="CT133" s="397">
        <f>IF(Q130="作業者2",N133-N130,0)</f>
        <v/>
      </c>
      <c r="CU133" s="395" t="n"/>
      <c r="CV133" s="395" t="n"/>
      <c r="CW133" s="395" t="n"/>
      <c r="CX133" s="396" t="n"/>
      <c r="CZ133" s="254" t="inlineStr">
        <is>
          <t>休日</t>
        </is>
      </c>
      <c r="DA133" s="395" t="n"/>
      <c r="DB133" s="395" t="n"/>
      <c r="DC133" s="396" t="n"/>
      <c r="DD133" s="397">
        <f>IF(Q130="作業者3",N133-N130,0)</f>
        <v/>
      </c>
      <c r="DE133" s="395" t="n"/>
      <c r="DF133" s="395" t="n"/>
      <c r="DG133" s="395" t="n"/>
      <c r="DH133" s="396" t="n"/>
      <c r="DJ133" s="254" t="inlineStr">
        <is>
          <t>休日</t>
        </is>
      </c>
      <c r="DK133" s="395" t="n"/>
      <c r="DL133" s="395" t="n"/>
      <c r="DM133" s="396" t="n"/>
      <c r="DN133" s="397">
        <f>IF(Q130="作業者4",N133-N130,0)</f>
        <v/>
      </c>
      <c r="DO133" s="395" t="n"/>
      <c r="DP133" s="395" t="n"/>
      <c r="DQ133" s="395" t="n"/>
      <c r="DR133" s="396" t="n"/>
      <c r="DT133" s="254" t="inlineStr">
        <is>
          <t>休日</t>
        </is>
      </c>
      <c r="DU133" s="395" t="n"/>
      <c r="DV133" s="395" t="n"/>
      <c r="DW133" s="396" t="n"/>
      <c r="DX133" s="397">
        <f>IF(Q130="作業者5",N133-N130,0)</f>
        <v/>
      </c>
      <c r="DY133" s="395" t="n"/>
      <c r="DZ133" s="395" t="n"/>
      <c r="EA133" s="395" t="n"/>
      <c r="EB133" s="396" t="n"/>
    </row>
    <row r="134" ht="9" customHeight="1" s="337">
      <c r="B134" s="424" t="n"/>
      <c r="C134" s="424" t="n"/>
      <c r="D134" s="424" t="n"/>
      <c r="E134" s="425" t="n"/>
      <c r="F134" s="11" t="n"/>
      <c r="G134" s="11" t="n"/>
      <c r="H134" s="425" t="n"/>
      <c r="I134" s="11" t="n"/>
      <c r="J134" s="11" t="n"/>
      <c r="K134" s="425" t="n"/>
      <c r="L134" s="11" t="n"/>
      <c r="M134" s="11" t="n"/>
      <c r="N134" s="425" t="n"/>
      <c r="O134" s="11" t="n"/>
      <c r="P134" s="11" t="n"/>
      <c r="Q134" s="8" t="n"/>
      <c r="R134" s="8" t="n"/>
      <c r="S134" s="8" t="n"/>
      <c r="T134" s="12" t="n"/>
      <c r="U134" s="12" t="n"/>
      <c r="V134" s="12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  <c r="BP134" s="14" t="n"/>
      <c r="BQ134" s="14" t="n"/>
      <c r="BR134" s="14" t="n"/>
      <c r="BS134" s="14" t="n"/>
      <c r="BT134" s="14" t="n"/>
      <c r="BU134" s="14" t="n"/>
      <c r="BV134" s="14" t="n"/>
      <c r="BW134" s="14" t="n"/>
      <c r="BX134" s="14" t="n"/>
      <c r="BY134" s="14" t="n"/>
      <c r="BZ134" s="14" t="n"/>
      <c r="CA134" s="415" t="n"/>
      <c r="CB134" s="87" t="n"/>
      <c r="CC134" s="87" t="n"/>
      <c r="CD134" s="87" t="n"/>
      <c r="CE134" s="416" t="n"/>
      <c r="CF134" s="34" t="n"/>
      <c r="CG134" s="34" t="n"/>
    </row>
    <row r="135" ht="9" customHeight="1" s="337">
      <c r="B135" s="424" t="n"/>
      <c r="C135" s="424" t="n"/>
      <c r="D135" s="424" t="n"/>
      <c r="E135" s="425" t="n"/>
      <c r="F135" s="11" t="n"/>
      <c r="G135" s="11" t="n"/>
      <c r="H135" s="425" t="n"/>
      <c r="I135" s="11" t="n"/>
      <c r="J135" s="11" t="n"/>
      <c r="K135" s="425" t="n"/>
      <c r="L135" s="11" t="n"/>
      <c r="M135" s="11" t="n"/>
      <c r="N135" s="425" t="n"/>
      <c r="O135" s="11" t="n"/>
      <c r="P135" s="11" t="n"/>
      <c r="Q135" s="8" t="n"/>
      <c r="R135" s="8" t="n"/>
      <c r="S135" s="8" t="n"/>
      <c r="T135" s="12" t="n"/>
      <c r="U135" s="12" t="n"/>
      <c r="V135" s="12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8" t="n"/>
      <c r="BO135" s="18" t="n"/>
      <c r="BP135" s="18" t="n"/>
      <c r="BQ135" s="18" t="n"/>
      <c r="BR135" s="18" t="n"/>
      <c r="BS135" s="18" t="n"/>
      <c r="BT135" s="18" t="n"/>
      <c r="BU135" s="18" t="n"/>
      <c r="BV135" s="18" t="n"/>
      <c r="BW135" s="18" t="n"/>
      <c r="BX135" s="18" t="n"/>
      <c r="BY135" s="18" t="n"/>
      <c r="BZ135" s="18" t="n"/>
      <c r="CA135" s="415" t="n"/>
      <c r="CB135" s="87" t="n"/>
      <c r="CC135" s="87" t="n"/>
      <c r="CD135" s="87" t="n"/>
      <c r="CE135" s="416" t="n"/>
      <c r="CF135" s="34" t="n"/>
      <c r="CG135" s="34" t="n"/>
    </row>
    <row r="136" ht="14.45" customHeight="1" s="337">
      <c r="G136" s="277" t="inlineStr">
        <is>
          <t>早出(始)</t>
        </is>
      </c>
      <c r="H136" s="377" t="n"/>
      <c r="I136" s="377" t="n"/>
      <c r="J136" s="378" t="n"/>
      <c r="K136" s="242" t="n">
        <v>0.0006944444444444445</v>
      </c>
      <c r="L136" s="377" t="n"/>
      <c r="M136" s="378" t="n"/>
      <c r="Q136" s="426" t="inlineStr">
        <is>
          <t>作業者</t>
        </is>
      </c>
      <c r="R136" s="427" t="n"/>
      <c r="S136" s="428" t="n"/>
      <c r="BP136" s="16" t="n"/>
      <c r="BQ136" s="87" t="n"/>
      <c r="BR136" s="87" t="n"/>
      <c r="BS136" s="87" t="n"/>
      <c r="BT136" s="87" t="n"/>
      <c r="BU136" s="87" t="n"/>
      <c r="BV136" s="87" t="n"/>
      <c r="BW136" s="429" t="inlineStr">
        <is>
          <t>合計</t>
        </is>
      </c>
      <c r="BX136" s="362" t="n"/>
      <c r="BY136" s="362" t="n"/>
      <c r="BZ136" s="362" t="n"/>
      <c r="CA136" s="362" t="n"/>
      <c r="CB136" s="362" t="n"/>
      <c r="CC136" s="363" t="n"/>
      <c r="CD136" s="430" t="n"/>
      <c r="CE136" s="430" t="n"/>
      <c r="CF136" s="431" t="inlineStr">
        <is>
          <t>合計（作業者1）</t>
        </is>
      </c>
      <c r="CG136" s="362" t="n"/>
      <c r="CH136" s="362" t="n"/>
      <c r="CI136" s="362" t="n"/>
      <c r="CJ136" s="362" t="n"/>
      <c r="CK136" s="362" t="n"/>
      <c r="CL136" s="362" t="n"/>
      <c r="CM136" s="362" t="n"/>
      <c r="CN136" s="363" t="n"/>
      <c r="CP136" s="431" t="inlineStr">
        <is>
          <t>合計（作業者2）</t>
        </is>
      </c>
      <c r="CQ136" s="362" t="n"/>
      <c r="CR136" s="362" t="n"/>
      <c r="CS136" s="362" t="n"/>
      <c r="CT136" s="362" t="n"/>
      <c r="CU136" s="362" t="n"/>
      <c r="CV136" s="362" t="n"/>
      <c r="CW136" s="362" t="n"/>
      <c r="CX136" s="363" t="n"/>
      <c r="CZ136" s="431" t="inlineStr">
        <is>
          <t>合計（作業者3）</t>
        </is>
      </c>
      <c r="DA136" s="362" t="n"/>
      <c r="DB136" s="362" t="n"/>
      <c r="DC136" s="362" t="n"/>
      <c r="DD136" s="362" t="n"/>
      <c r="DE136" s="362" t="n"/>
      <c r="DF136" s="362" t="n"/>
      <c r="DG136" s="362" t="n"/>
      <c r="DH136" s="363" t="n"/>
      <c r="DJ136" s="431" t="inlineStr">
        <is>
          <t>合計（作業者4）</t>
        </is>
      </c>
      <c r="DK136" s="362" t="n"/>
      <c r="DL136" s="362" t="n"/>
      <c r="DM136" s="362" t="n"/>
      <c r="DN136" s="362" t="n"/>
      <c r="DO136" s="362" t="n"/>
      <c r="DP136" s="362" t="n"/>
      <c r="DQ136" s="362" t="n"/>
      <c r="DR136" s="363" t="n"/>
      <c r="DT136" s="431" t="inlineStr">
        <is>
          <t>合計（作業者5）</t>
        </is>
      </c>
      <c r="DU136" s="362" t="n"/>
      <c r="DV136" s="362" t="n"/>
      <c r="DW136" s="362" t="n"/>
      <c r="DX136" s="362" t="n"/>
      <c r="DY136" s="362" t="n"/>
      <c r="DZ136" s="362" t="n"/>
      <c r="EA136" s="362" t="n"/>
      <c r="EB136" s="363" t="n"/>
    </row>
    <row r="137" ht="13.5" customHeight="1" s="337">
      <c r="C137" s="13" t="n"/>
      <c r="G137" s="279" t="inlineStr">
        <is>
          <t>早出(終)</t>
        </is>
      </c>
      <c r="H137" s="384" t="n"/>
      <c r="I137" s="384" t="n"/>
      <c r="J137" s="385" t="n"/>
      <c r="K137" s="265" t="n">
        <v>0.3333333333333333</v>
      </c>
      <c r="L137" s="387" t="n"/>
      <c r="M137" s="388" t="n"/>
      <c r="Q137" s="36" t="inlineStr">
        <is>
          <t>作業者1</t>
        </is>
      </c>
      <c r="R137" s="99" t="n"/>
      <c r="S137" s="100" t="n"/>
      <c r="BP137" s="16" t="n"/>
      <c r="BQ137" s="87" t="n"/>
      <c r="BR137" s="87" t="n"/>
      <c r="BS137" s="87" t="n"/>
      <c r="BT137" s="87" t="n"/>
      <c r="BU137" s="87" t="n"/>
      <c r="BV137" s="87" t="n"/>
      <c r="BW137" s="432" t="n"/>
      <c r="CC137" s="433" t="n"/>
      <c r="CD137" s="430" t="n"/>
      <c r="CE137" s="430" t="n"/>
      <c r="CF137" s="366" t="n"/>
      <c r="CG137" s="367" t="n"/>
      <c r="CH137" s="367" t="n"/>
      <c r="CI137" s="367" t="n"/>
      <c r="CJ137" s="367" t="n"/>
      <c r="CK137" s="367" t="n"/>
      <c r="CL137" s="367" t="n"/>
      <c r="CM137" s="367" t="n"/>
      <c r="CN137" s="368" t="n"/>
      <c r="CP137" s="366" t="n"/>
      <c r="CQ137" s="367" t="n"/>
      <c r="CR137" s="367" t="n"/>
      <c r="CS137" s="367" t="n"/>
      <c r="CT137" s="367" t="n"/>
      <c r="CU137" s="367" t="n"/>
      <c r="CV137" s="367" t="n"/>
      <c r="CW137" s="367" t="n"/>
      <c r="CX137" s="368" t="n"/>
      <c r="CZ137" s="366" t="n"/>
      <c r="DA137" s="367" t="n"/>
      <c r="DB137" s="367" t="n"/>
      <c r="DC137" s="367" t="n"/>
      <c r="DD137" s="367" t="n"/>
      <c r="DE137" s="367" t="n"/>
      <c r="DF137" s="367" t="n"/>
      <c r="DG137" s="367" t="n"/>
      <c r="DH137" s="368" t="n"/>
      <c r="DJ137" s="366" t="n"/>
      <c r="DK137" s="367" t="n"/>
      <c r="DL137" s="367" t="n"/>
      <c r="DM137" s="367" t="n"/>
      <c r="DN137" s="367" t="n"/>
      <c r="DO137" s="367" t="n"/>
      <c r="DP137" s="367" t="n"/>
      <c r="DQ137" s="367" t="n"/>
      <c r="DR137" s="368" t="n"/>
      <c r="DT137" s="366" t="n"/>
      <c r="DU137" s="367" t="n"/>
      <c r="DV137" s="367" t="n"/>
      <c r="DW137" s="367" t="n"/>
      <c r="DX137" s="367" t="n"/>
      <c r="DY137" s="367" t="n"/>
      <c r="DZ137" s="367" t="n"/>
      <c r="EA137" s="367" t="n"/>
      <c r="EB137" s="368" t="n"/>
    </row>
    <row r="138" ht="12" customHeight="1" s="337">
      <c r="C138" s="13" t="n"/>
      <c r="G138" s="279" t="inlineStr">
        <is>
          <t>時間外(始)</t>
        </is>
      </c>
      <c r="H138" s="384" t="n"/>
      <c r="I138" s="384" t="n"/>
      <c r="J138" s="385" t="n"/>
      <c r="K138" s="265" t="n">
        <v>0.7083333333333334</v>
      </c>
      <c r="L138" s="387" t="n"/>
      <c r="M138" s="388" t="n"/>
      <c r="Q138" s="38" t="inlineStr">
        <is>
          <t>作業者2</t>
        </is>
      </c>
      <c r="R138" s="78" t="n"/>
      <c r="S138" s="79" t="n"/>
      <c r="BP138" s="16" t="n"/>
      <c r="BQ138" s="87" t="n"/>
      <c r="BR138" s="87" t="n"/>
      <c r="BS138" s="87" t="n"/>
      <c r="BT138" s="87" t="n"/>
      <c r="BU138" s="87" t="n"/>
      <c r="BV138" s="87" t="n"/>
      <c r="BW138" s="434" t="inlineStr">
        <is>
          <t>移動</t>
        </is>
      </c>
      <c r="BX138" s="377" t="n"/>
      <c r="BY138" s="378" t="n"/>
      <c r="BZ138" s="435">
        <f>CJ138+CT138+DD138+DN138+DX138</f>
        <v/>
      </c>
      <c r="CA138" s="377" t="n"/>
      <c r="CB138" s="377" t="n"/>
      <c r="CC138" s="378" t="n"/>
      <c r="CD138" s="430" t="n"/>
      <c r="CE138" s="430" t="n"/>
      <c r="CF138" s="259" t="inlineStr">
        <is>
          <t>移動</t>
        </is>
      </c>
      <c r="CG138" s="403" t="n"/>
      <c r="CH138" s="403" t="n"/>
      <c r="CI138" s="404" t="n"/>
      <c r="CJ138" s="405">
        <f>CJ11+CJ15+CJ19+CJ23+CJ27+CJ31+CJ35+CJ39+CJ43+CJ47+CJ51+CJ55+CJ59+CJ63+CJ70+CJ74+CJ78+CJ82+CJ86+CJ90+CJ94+CJ98+CJ102+CJ106+CJ110+CJ114+CJ118+CJ122+CJ126+CJ130</f>
        <v/>
      </c>
      <c r="CK138" s="406" t="n"/>
      <c r="CL138" s="406" t="n"/>
      <c r="CM138" s="406" t="n"/>
      <c r="CN138" s="407" t="n"/>
      <c r="CP138" s="259" t="inlineStr">
        <is>
          <t>移動</t>
        </is>
      </c>
      <c r="CQ138" s="403" t="n"/>
      <c r="CR138" s="403" t="n"/>
      <c r="CS138" s="404" t="n"/>
      <c r="CT138" s="405">
        <f>CT11+CT15+CT19+CT23+CT27+CT31+CT35+CT39+CT43+CT47+CT51+CT55+CT59+CT63+CT70+CT74+CT78+CT82+CT86+CT90+CT94+CT98+CT102+CT106+CT110+CT114+CT118+CT122+CT126+CT130</f>
        <v/>
      </c>
      <c r="CU138" s="406" t="n"/>
      <c r="CV138" s="406" t="n"/>
      <c r="CW138" s="406" t="n"/>
      <c r="CX138" s="407" t="n"/>
      <c r="CZ138" s="259" t="inlineStr">
        <is>
          <t>移動</t>
        </is>
      </c>
      <c r="DA138" s="403" t="n"/>
      <c r="DB138" s="403" t="n"/>
      <c r="DC138" s="404" t="n"/>
      <c r="DD138" s="405">
        <f>DD11+DD15+DD19+DD23+DD27+DD31+DD35+DD39+DD43+DD47+DD51+DD55+DD59+DD63+DD70+DD74+DD78+DD82+DD86+DD90+DD94+DD98+DD102+DD106+DD110+DD114+DD118+DD122+DD126+DD130</f>
        <v/>
      </c>
      <c r="DE138" s="406" t="n"/>
      <c r="DF138" s="406" t="n"/>
      <c r="DG138" s="406" t="n"/>
      <c r="DH138" s="407" t="n"/>
      <c r="DJ138" s="259" t="inlineStr">
        <is>
          <t>移動</t>
        </is>
      </c>
      <c r="DK138" s="403" t="n"/>
      <c r="DL138" s="403" t="n"/>
      <c r="DM138" s="404" t="n"/>
      <c r="DN138" s="405">
        <f>DN11+DN15+DN19+DN23+DN27+DN31+DN35+DN39+DN43+DN47+DN51+DN55+DN59+DN63+DN70+DN74+DN78+DN82+DN86+DN90+DN94+DN98+DN102+DN106+DN110+DN114+DN118+DN122+DN126+DN130</f>
        <v/>
      </c>
      <c r="DO138" s="406" t="n"/>
      <c r="DP138" s="406" t="n"/>
      <c r="DQ138" s="406" t="n"/>
      <c r="DR138" s="407" t="n"/>
      <c r="DT138" s="259" t="inlineStr">
        <is>
          <t>移動</t>
        </is>
      </c>
      <c r="DU138" s="403" t="n"/>
      <c r="DV138" s="403" t="n"/>
      <c r="DW138" s="404" t="n"/>
      <c r="DX138" s="405">
        <f>DX11+DX15+DX19+DX23+DX27+DX31+DX35+DX39+DX43+DX47+DX51+DX55+DX59+DX63+DX70+DX74+DX78+DX82+DX86+DX90+DX94+DX98+DX102+DX106+DX110+DX114+DX118+DX122+DX126+DX130</f>
        <v/>
      </c>
      <c r="DY138" s="406" t="n"/>
      <c r="DZ138" s="406" t="n"/>
      <c r="EA138" s="406" t="n"/>
      <c r="EB138" s="407" t="n"/>
    </row>
    <row r="139" ht="12" customHeight="1" s="337">
      <c r="C139" s="13" t="n"/>
      <c r="G139" s="281" t="inlineStr">
        <is>
          <t>時間外(終)</t>
        </is>
      </c>
      <c r="H139" s="395" t="n"/>
      <c r="I139" s="395" t="n"/>
      <c r="J139" s="396" t="n"/>
      <c r="K139" s="268" t="n">
        <v>0.9993055555555556</v>
      </c>
      <c r="L139" s="395" t="n"/>
      <c r="M139" s="396" t="n"/>
      <c r="Q139" s="52" t="inlineStr">
        <is>
          <t>作業者3</t>
        </is>
      </c>
      <c r="R139" s="53" t="n"/>
      <c r="S139" s="54" t="n"/>
      <c r="BP139" s="16" t="n"/>
      <c r="BQ139" s="87" t="n"/>
      <c r="BR139" s="87" t="n"/>
      <c r="BS139" s="87" t="n"/>
      <c r="BT139" s="87" t="n"/>
      <c r="BU139" s="87" t="n"/>
      <c r="BV139" s="87" t="n"/>
      <c r="BW139" s="436" t="inlineStr">
        <is>
          <t>時間内</t>
        </is>
      </c>
      <c r="BX139" s="384" t="n"/>
      <c r="BY139" s="385" t="n"/>
      <c r="BZ139" s="437">
        <f>CJ139+CT139+DD139+DN139+DX139</f>
        <v/>
      </c>
      <c r="CA139" s="387" t="n"/>
      <c r="CB139" s="387" t="n"/>
      <c r="CC139" s="388" t="n"/>
      <c r="CD139" s="430" t="n"/>
      <c r="CE139" s="430" t="n"/>
      <c r="CF139" s="253" t="inlineStr">
        <is>
          <t>時間内</t>
        </is>
      </c>
      <c r="CG139" s="384" t="n"/>
      <c r="CH139" s="384" t="n"/>
      <c r="CI139" s="385" t="n"/>
      <c r="CJ139" s="386">
        <f>CJ12+CJ16+CJ20+CJ24+CJ28+CJ32+CJ36+CJ40+CJ44+CJ48+CJ52+CJ56+CJ60+CJ64+CJ71+CJ75+CJ79+CJ83+CJ87+CJ91+CJ95+CJ99+CJ103+CJ107+CJ111+CJ115+CJ119+CJ123+CJ127+CJ131</f>
        <v/>
      </c>
      <c r="CK139" s="387" t="n"/>
      <c r="CL139" s="387" t="n"/>
      <c r="CM139" s="387" t="n"/>
      <c r="CN139" s="388" t="n"/>
      <c r="CP139" s="253" t="inlineStr">
        <is>
          <t>時間内</t>
        </is>
      </c>
      <c r="CQ139" s="384" t="n"/>
      <c r="CR139" s="384" t="n"/>
      <c r="CS139" s="385" t="n"/>
      <c r="CT139" s="386">
        <f>CT12+CT16+CT20+CT24+CT28+CT32+CT36+CT40+CT44+CT48+CT52+CT56+CT60+CT64+CT71+CT75+CT79+CT83+CT87+CT91+CT95+CT99+CT103+CT107+CT111+CT115+CT119+CT123+CT127+CT131</f>
        <v/>
      </c>
      <c r="CU139" s="387" t="n"/>
      <c r="CV139" s="387" t="n"/>
      <c r="CW139" s="387" t="n"/>
      <c r="CX139" s="388" t="n"/>
      <c r="CZ139" s="253" t="inlineStr">
        <is>
          <t>時間内</t>
        </is>
      </c>
      <c r="DA139" s="384" t="n"/>
      <c r="DB139" s="384" t="n"/>
      <c r="DC139" s="385" t="n"/>
      <c r="DD139" s="386">
        <f>DD12+DD16+DD20+DD24+DD28+DD32+DD36+DD40+DD44+DD48+DD52+DD56+DD60+DD64+DD71+DD75+DD79+DD83+DD87+DD91+DD95+DD99+DD103+DD107+DD111+DD115+DD119+DD123+DD127+DD131</f>
        <v/>
      </c>
      <c r="DE139" s="387" t="n"/>
      <c r="DF139" s="387" t="n"/>
      <c r="DG139" s="387" t="n"/>
      <c r="DH139" s="388" t="n"/>
      <c r="DJ139" s="253" t="inlineStr">
        <is>
          <t>時間内</t>
        </is>
      </c>
      <c r="DK139" s="384" t="n"/>
      <c r="DL139" s="384" t="n"/>
      <c r="DM139" s="385" t="n"/>
      <c r="DN139" s="386">
        <f>DN12+DN16+DN20+DN24+DN28+DN32+DN36+DN40+DN44+DN48+DN52+DN56+DN60+DN64+DN71+DN75+DN79+DN83+DN87+DN91+DN95+DN99+DN103+DN107+DN111+DN115+DN119+DN123+DN127+DN131</f>
        <v/>
      </c>
      <c r="DO139" s="387" t="n"/>
      <c r="DP139" s="387" t="n"/>
      <c r="DQ139" s="387" t="n"/>
      <c r="DR139" s="388" t="n"/>
      <c r="DT139" s="253" t="inlineStr">
        <is>
          <t>時間内</t>
        </is>
      </c>
      <c r="DU139" s="384" t="n"/>
      <c r="DV139" s="384" t="n"/>
      <c r="DW139" s="385" t="n"/>
      <c r="DX139" s="386">
        <f>DX12+DX16+DX20+DX24+DX28+DX32+DX36+DX40+DX44+DX48+DX52+DX56+DX60+DX64+DX71+DX75+DX79+DX83+DX87+DX91+DX95+DX99+DX103+DX107+DX111+DX115+DX119+DX123+DX127+DX131</f>
        <v/>
      </c>
      <c r="DY139" s="387" t="n"/>
      <c r="DZ139" s="387" t="n"/>
      <c r="EA139" s="387" t="n"/>
      <c r="EB139" s="388" t="n"/>
    </row>
    <row r="140" ht="12" customHeight="1" s="337">
      <c r="C140" s="13" t="n"/>
      <c r="Q140" s="38" t="inlineStr">
        <is>
          <t>作業者4</t>
        </is>
      </c>
      <c r="R140" s="78" t="n"/>
      <c r="S140" s="79" t="n"/>
      <c r="BP140" s="19" t="n"/>
      <c r="BW140" s="436" t="inlineStr">
        <is>
          <t>時間外</t>
        </is>
      </c>
      <c r="BX140" s="384" t="n"/>
      <c r="BY140" s="385" t="n"/>
      <c r="BZ140" s="437">
        <f>CJ140+CT140+DD140+DN140+DX140</f>
        <v/>
      </c>
      <c r="CA140" s="387" t="n"/>
      <c r="CB140" s="387" t="n"/>
      <c r="CC140" s="388" t="n"/>
      <c r="CF140" s="253" t="inlineStr">
        <is>
          <t>時間外</t>
        </is>
      </c>
      <c r="CG140" s="384" t="n"/>
      <c r="CH140" s="384" t="n"/>
      <c r="CI140" s="385" t="n"/>
      <c r="CJ140" s="386">
        <f>CJ13+CJ17+CJ21+CJ25+CJ29+CJ33+CJ37+CJ41+CJ45+CJ49+CJ53+CJ57+CJ61+CJ65+CJ72+CJ76+CJ80+CJ84+CJ88+CJ92+CJ96+CJ100+CJ104+CJ108+CJ112+CJ116+CJ120+CJ124+CJ128+CJ132</f>
        <v/>
      </c>
      <c r="CK140" s="387" t="n"/>
      <c r="CL140" s="387" t="n"/>
      <c r="CM140" s="387" t="n"/>
      <c r="CN140" s="388" t="n"/>
      <c r="CP140" s="253" t="inlineStr">
        <is>
          <t>時間外</t>
        </is>
      </c>
      <c r="CQ140" s="384" t="n"/>
      <c r="CR140" s="384" t="n"/>
      <c r="CS140" s="385" t="n"/>
      <c r="CT140" s="386">
        <f>CT13+CT17+CT21+CT25+CT29+CT33+CT37+CT41+CT45+CT49+CT53+CT57+CT61+CT65+CT72+CT76+CT80+CT84+CT88+CT92+CT96+CT100+CT104+CT108+CT112+CT116+CT120+CT124+CT128+CT132</f>
        <v/>
      </c>
      <c r="CU140" s="387" t="n"/>
      <c r="CV140" s="387" t="n"/>
      <c r="CW140" s="387" t="n"/>
      <c r="CX140" s="388" t="n"/>
      <c r="CZ140" s="253" t="inlineStr">
        <is>
          <t>時間外</t>
        </is>
      </c>
      <c r="DA140" s="384" t="n"/>
      <c r="DB140" s="384" t="n"/>
      <c r="DC140" s="385" t="n"/>
      <c r="DD140" s="386">
        <f>DD13+DD17+DD21+DD25+DD29+DD33+DD37+DD41+DD45+DD49+DD53+DD57+DD61+DD65+DD72+DD76+DD80+DD84+DD88+DD92+DD96+DD100+DD104+DD108+DD112+DD116+DD120+DD124+DD128+DD132</f>
        <v/>
      </c>
      <c r="DE140" s="387" t="n"/>
      <c r="DF140" s="387" t="n"/>
      <c r="DG140" s="387" t="n"/>
      <c r="DH140" s="388" t="n"/>
      <c r="DJ140" s="253" t="inlineStr">
        <is>
          <t>時間外</t>
        </is>
      </c>
      <c r="DK140" s="384" t="n"/>
      <c r="DL140" s="384" t="n"/>
      <c r="DM140" s="385" t="n"/>
      <c r="DN140" s="386">
        <f>DN13+DN17+DN21+DN25+DN29+DN33+DN37+DN41+DN45+DN49+DN53+DN57+DN61+DN65+DN72+DN76+DN80+DN84+DN88+DN92+DN96+DN100+DN104+DN108+DN112+DN116+DN120+DN124+DN128+DN132</f>
        <v/>
      </c>
      <c r="DO140" s="387" t="n"/>
      <c r="DP140" s="387" t="n"/>
      <c r="DQ140" s="387" t="n"/>
      <c r="DR140" s="388" t="n"/>
      <c r="DT140" s="253" t="inlineStr">
        <is>
          <t>時間外</t>
        </is>
      </c>
      <c r="DU140" s="384" t="n"/>
      <c r="DV140" s="384" t="n"/>
      <c r="DW140" s="385" t="n"/>
      <c r="DX140" s="386">
        <f>DX13+DX17+DX21+DX25+DX29+DX33+DX37+DX41+DX45+DX49+DX53+DX57+DX61+DX65+DX72+DX76+DX80+DX84+DX88+DX92+DX96+DX100+DX104+DX108+DX112+DX116+DX120+DX124+DX128+DX132</f>
        <v/>
      </c>
      <c r="DY140" s="387" t="n"/>
      <c r="DZ140" s="387" t="n"/>
      <c r="EA140" s="387" t="n"/>
      <c r="EB140" s="388" t="n"/>
    </row>
    <row r="141" ht="12" customHeight="1" s="337">
      <c r="C141" s="13" t="n"/>
      <c r="Q141" s="40" t="inlineStr">
        <is>
          <t>作業者5</t>
        </is>
      </c>
      <c r="R141" s="82" t="n"/>
      <c r="S141" s="83" t="n"/>
      <c r="BW141" s="438" t="inlineStr">
        <is>
          <t>休日</t>
        </is>
      </c>
      <c r="BX141" s="395" t="n"/>
      <c r="BY141" s="396" t="n"/>
      <c r="BZ141" s="439">
        <f>CJ141+CT141+DD141+DN141+DX141</f>
        <v/>
      </c>
      <c r="CA141" s="395" t="n"/>
      <c r="CB141" s="395" t="n"/>
      <c r="CC141" s="396" t="n"/>
      <c r="CF141" s="254" t="inlineStr">
        <is>
          <t>休日</t>
        </is>
      </c>
      <c r="CG141" s="395" t="n"/>
      <c r="CH141" s="395" t="n"/>
      <c r="CI141" s="396" t="n"/>
      <c r="CJ141" s="397">
        <f>CJ14+CJ18+CJ22+CJ26+CJ30+CJ34+CJ38+CJ42+CJ46+CJ50+CJ54+CJ58+CJ62+CJ66+CJ73+CJ77+CJ81+CJ85+CJ89+CJ93+CJ97+CJ101+CJ105+CJ109+CJ113+CJ117+CJ121+CJ125+CJ129+CJ133</f>
        <v/>
      </c>
      <c r="CK141" s="395" t="n"/>
      <c r="CL141" s="395" t="n"/>
      <c r="CM141" s="395" t="n"/>
      <c r="CN141" s="396" t="n"/>
      <c r="CP141" s="254" t="inlineStr">
        <is>
          <t>休日</t>
        </is>
      </c>
      <c r="CQ141" s="395" t="n"/>
      <c r="CR141" s="395" t="n"/>
      <c r="CS141" s="396" t="n"/>
      <c r="CT141" s="397">
        <f>CT14+CT18+CT22+CT26+CT30+CT34+CT38+CT42+CT46+CT50+CT54+CT58+CT62+CT66+CT73+CT77+CT81+CT85+CT89+CT93+CT97+CT101+CT105+CT109+CT113+CT117+CT121+CT125+CT129+CT133</f>
        <v/>
      </c>
      <c r="CU141" s="395" t="n"/>
      <c r="CV141" s="395" t="n"/>
      <c r="CW141" s="395" t="n"/>
      <c r="CX141" s="396" t="n"/>
      <c r="CZ141" s="254" t="inlineStr">
        <is>
          <t>休日</t>
        </is>
      </c>
      <c r="DA141" s="395" t="n"/>
      <c r="DB141" s="395" t="n"/>
      <c r="DC141" s="396" t="n"/>
      <c r="DD141" s="397">
        <f>DD14+DD18+DD22+DD26+DD30+DD34+DD38+DD42+DD46+DD50+DD54+DD58+DD62+DD66+DD73+DD77+DD81+DD85+DD89+DD93+DD97+DD101+DD105+DD109+DD113+DD117+DD121+DD125+DD129+DD133</f>
        <v/>
      </c>
      <c r="DE141" s="395" t="n"/>
      <c r="DF141" s="395" t="n"/>
      <c r="DG141" s="395" t="n"/>
      <c r="DH141" s="396" t="n"/>
      <c r="DJ141" s="254" t="inlineStr">
        <is>
          <t>休日</t>
        </is>
      </c>
      <c r="DK141" s="395" t="n"/>
      <c r="DL141" s="395" t="n"/>
      <c r="DM141" s="396" t="n"/>
      <c r="DN141" s="397">
        <f>DN14+DN18+DN22+DN26+DN30+DN34+DN38+DN42+DN46+DN50+DN54+DN58+DN62+DN66+DN73+DN77+DN81+DN85+DN89+DN93+DN97+DN101+DN105+DN109+DN113+DN117+DN121+DN125+DN129+DN133</f>
        <v/>
      </c>
      <c r="DO141" s="395" t="n"/>
      <c r="DP141" s="395" t="n"/>
      <c r="DQ141" s="395" t="n"/>
      <c r="DR141" s="396" t="n"/>
      <c r="DT141" s="254" t="inlineStr">
        <is>
          <t>休日</t>
        </is>
      </c>
      <c r="DU141" s="395" t="n"/>
      <c r="DV141" s="395" t="n"/>
      <c r="DW141" s="396" t="n"/>
      <c r="DX141" s="397">
        <f>DX14+DX18+DX22+DX26+DX30+DX34+DX38+DX42+DX46+DX50+DX54+DX58+DX62+DX66+DX73+DX77+DX81+DX85+DX89+DX93+DX97+DX101+DX105+DX109+DX113+DX117+DX121+DX125+DX129+DX133</f>
        <v/>
      </c>
      <c r="DY141" s="395" t="n"/>
      <c r="DZ141" s="395" t="n"/>
      <c r="EA141" s="395" t="n"/>
      <c r="EB141" s="396" t="n"/>
    </row>
    <row r="142" ht="12" customHeight="1" s="337"/>
    <row r="143" ht="12" customHeight="1" s="337"/>
    <row r="144" ht="12" customHeight="1" s="337"/>
    <row r="145" ht="12" customHeight="1" s="337"/>
  </sheetData>
  <mergeCells count="1779">
    <mergeCell ref="DJ78:DM78"/>
    <mergeCell ref="I32:I33"/>
    <mergeCell ref="CJ47:CN47"/>
    <mergeCell ref="DD95:DH95"/>
    <mergeCell ref="CT96:CX96"/>
    <mergeCell ref="DD87:DH87"/>
    <mergeCell ref="CF91:CI91"/>
    <mergeCell ref="CP88:CS88"/>
    <mergeCell ref="CT37:CX37"/>
    <mergeCell ref="CP82:CS82"/>
    <mergeCell ref="DD97:DH97"/>
    <mergeCell ref="H109:J109"/>
    <mergeCell ref="DN119:DR119"/>
    <mergeCell ref="CT98:CX98"/>
    <mergeCell ref="T130:V133"/>
    <mergeCell ref="DD89:DH89"/>
    <mergeCell ref="H22:J22"/>
    <mergeCell ref="CZ114:DC114"/>
    <mergeCell ref="CF93:CI93"/>
    <mergeCell ref="DX109:EB109"/>
    <mergeCell ref="CJ63:CN63"/>
    <mergeCell ref="DJ104:DM104"/>
    <mergeCell ref="CP83:CS83"/>
    <mergeCell ref="DN114:DR114"/>
    <mergeCell ref="DD113:DH113"/>
    <mergeCell ref="DJ106:DM106"/>
    <mergeCell ref="CP85:CS85"/>
    <mergeCell ref="I60:I61"/>
    <mergeCell ref="CF109:CI109"/>
    <mergeCell ref="CT124:CX124"/>
    <mergeCell ref="DD115:DH115"/>
    <mergeCell ref="CP141:CS141"/>
    <mergeCell ref="CF75:CI75"/>
    <mergeCell ref="Q90:S93"/>
    <mergeCell ref="CT126:CX126"/>
    <mergeCell ref="DD108:DH108"/>
    <mergeCell ref="DN130:DR130"/>
    <mergeCell ref="T31:V34"/>
    <mergeCell ref="CP12:CS12"/>
    <mergeCell ref="CZ125:DC125"/>
    <mergeCell ref="DD141:DH141"/>
    <mergeCell ref="DN132:DR132"/>
    <mergeCell ref="CP14:CS14"/>
    <mergeCell ref="CZ133:DC133"/>
    <mergeCell ref="CZ127:DC127"/>
    <mergeCell ref="DJ28:DM28"/>
    <mergeCell ref="DT25:DW25"/>
    <mergeCell ref="B63:D66"/>
    <mergeCell ref="I71:I72"/>
    <mergeCell ref="CJ117:CN117"/>
    <mergeCell ref="CZ39:DC39"/>
    <mergeCell ref="DJ30:DM30"/>
    <mergeCell ref="CT108:CX108"/>
    <mergeCell ref="CZ128:DC128"/>
    <mergeCell ref="DD38:DH38"/>
    <mergeCell ref="CT139:CX139"/>
    <mergeCell ref="DD40:DH40"/>
    <mergeCell ref="W23:CC26"/>
    <mergeCell ref="N47:P47"/>
    <mergeCell ref="DJ68:DR69"/>
    <mergeCell ref="CP35:CS35"/>
    <mergeCell ref="CZ57:DC57"/>
    <mergeCell ref="DT105:DW105"/>
    <mergeCell ref="CT51:CX51"/>
    <mergeCell ref="CF36:CI36"/>
    <mergeCell ref="AZ5:BA8"/>
    <mergeCell ref="BZ138:CC138"/>
    <mergeCell ref="T110:V113"/>
    <mergeCell ref="DT107:DW107"/>
    <mergeCell ref="E19:G19"/>
    <mergeCell ref="DT73:DW73"/>
    <mergeCell ref="CJ130:CN130"/>
    <mergeCell ref="B126:D129"/>
    <mergeCell ref="CJ132:CN132"/>
    <mergeCell ref="CF35:CI35"/>
    <mergeCell ref="CF62:CI62"/>
    <mergeCell ref="CT33:CX33"/>
    <mergeCell ref="H105:J105"/>
    <mergeCell ref="O12:O13"/>
    <mergeCell ref="CF64:CI64"/>
    <mergeCell ref="CT35:CX35"/>
    <mergeCell ref="CF30:CI30"/>
    <mergeCell ref="DJ100:DM100"/>
    <mergeCell ref="CP79:CS79"/>
    <mergeCell ref="K118:M118"/>
    <mergeCell ref="CZ70:DC70"/>
    <mergeCell ref="DN85:DR85"/>
    <mergeCell ref="CT64:CX64"/>
    <mergeCell ref="CZ80:DC80"/>
    <mergeCell ref="DJ102:DM102"/>
    <mergeCell ref="CP81:CS81"/>
    <mergeCell ref="DJ129:DM129"/>
    <mergeCell ref="H102:J102"/>
    <mergeCell ref="Q59:S62"/>
    <mergeCell ref="DT120:DW120"/>
    <mergeCell ref="DJ131:DM131"/>
    <mergeCell ref="Q86:S89"/>
    <mergeCell ref="CJ62:CN62"/>
    <mergeCell ref="H133:J133"/>
    <mergeCell ref="CJ56:CN56"/>
    <mergeCell ref="N117:P117"/>
    <mergeCell ref="CP105:CS105"/>
    <mergeCell ref="DJ9:DR10"/>
    <mergeCell ref="DD112:DH112"/>
    <mergeCell ref="E90:G90"/>
    <mergeCell ref="DD106:DH106"/>
    <mergeCell ref="L24:L25"/>
    <mergeCell ref="CP107:CS107"/>
    <mergeCell ref="CP99:CS99"/>
    <mergeCell ref="DJ113:DM113"/>
    <mergeCell ref="E85:G85"/>
    <mergeCell ref="CJ82:CN82"/>
    <mergeCell ref="CZ124:DC124"/>
    <mergeCell ref="CJ118:CN118"/>
    <mergeCell ref="DJ115:DM115"/>
    <mergeCell ref="E93:G93"/>
    <mergeCell ref="CZ126:DC126"/>
    <mergeCell ref="CP125:CS125"/>
    <mergeCell ref="CJ119:CN119"/>
    <mergeCell ref="N51:P51"/>
    <mergeCell ref="N43:P43"/>
    <mergeCell ref="DD125:DH125"/>
    <mergeCell ref="CF129:CI129"/>
    <mergeCell ref="CP120:CS120"/>
    <mergeCell ref="I95:I96"/>
    <mergeCell ref="CF131:CI131"/>
    <mergeCell ref="E15:G15"/>
    <mergeCell ref="F79:F80"/>
    <mergeCell ref="CZ23:DC23"/>
    <mergeCell ref="CF9:CN10"/>
    <mergeCell ref="DN27:DR27"/>
    <mergeCell ref="W47:CC50"/>
    <mergeCell ref="Q39:S42"/>
    <mergeCell ref="CF60:CI60"/>
    <mergeCell ref="DX17:EB17"/>
    <mergeCell ref="H78:J78"/>
    <mergeCell ref="DT34:DW34"/>
    <mergeCell ref="CP50:CS50"/>
    <mergeCell ref="DN22:DR22"/>
    <mergeCell ref="DX19:EB19"/>
    <mergeCell ref="E35:G35"/>
    <mergeCell ref="H73:J73"/>
    <mergeCell ref="CJ25:CN25"/>
    <mergeCell ref="DD23:DH23"/>
    <mergeCell ref="E30:G30"/>
    <mergeCell ref="O36:O37"/>
    <mergeCell ref="E59:G59"/>
    <mergeCell ref="N82:P82"/>
    <mergeCell ref="CF71:CI71"/>
    <mergeCell ref="L20:L21"/>
    <mergeCell ref="T122:V125"/>
    <mergeCell ref="CP103:CS103"/>
    <mergeCell ref="DX72:EB72"/>
    <mergeCell ref="CZ94:DC94"/>
    <mergeCell ref="CF73:CI73"/>
    <mergeCell ref="W59:CC62"/>
    <mergeCell ref="E54:G54"/>
    <mergeCell ref="H126:J126"/>
    <mergeCell ref="W86:CC89"/>
    <mergeCell ref="O60:O61"/>
    <mergeCell ref="CT16:CX16"/>
    <mergeCell ref="CJ27:CN27"/>
    <mergeCell ref="CT18:CX18"/>
    <mergeCell ref="CT104:CX104"/>
    <mergeCell ref="F24:F25"/>
    <mergeCell ref="L48:L49"/>
    <mergeCell ref="CT106:CX106"/>
    <mergeCell ref="CF101:CI101"/>
    <mergeCell ref="N14:P14"/>
    <mergeCell ref="DX83:EB83"/>
    <mergeCell ref="CP116:CS116"/>
    <mergeCell ref="W114:CC117"/>
    <mergeCell ref="O44:O45"/>
    <mergeCell ref="CT101:CX101"/>
    <mergeCell ref="DX84:EB84"/>
    <mergeCell ref="CP118:CS118"/>
    <mergeCell ref="B27:D30"/>
    <mergeCell ref="E102:G102"/>
    <mergeCell ref="F52:F53"/>
    <mergeCell ref="CJ99:CN99"/>
    <mergeCell ref="W130:CC133"/>
    <mergeCell ref="CJ128:CN128"/>
    <mergeCell ref="O131:O132"/>
    <mergeCell ref="B68:D69"/>
    <mergeCell ref="DX13:EB13"/>
    <mergeCell ref="K51:M51"/>
    <mergeCell ref="K26:M26"/>
    <mergeCell ref="DX15:EB15"/>
    <mergeCell ref="F103:F104"/>
    <mergeCell ref="DN138:DR138"/>
    <mergeCell ref="T39:V42"/>
    <mergeCell ref="K42:M42"/>
    <mergeCell ref="N78:P78"/>
    <mergeCell ref="DX41:EB41"/>
    <mergeCell ref="DD20:DH20"/>
    <mergeCell ref="DN11:DR11"/>
    <mergeCell ref="DX43:EB43"/>
    <mergeCell ref="DD22:DH22"/>
    <mergeCell ref="E50:G50"/>
    <mergeCell ref="DJ21:DM21"/>
    <mergeCell ref="F123:F124"/>
    <mergeCell ref="C5:V8"/>
    <mergeCell ref="CZ32:DC32"/>
    <mergeCell ref="CF13:CI13"/>
    <mergeCell ref="T23:V26"/>
    <mergeCell ref="CT14:CX14"/>
    <mergeCell ref="CT13:CX13"/>
    <mergeCell ref="DN64:DR64"/>
    <mergeCell ref="CT43:CX43"/>
    <mergeCell ref="CT15:CX15"/>
    <mergeCell ref="DX54:EB54"/>
    <mergeCell ref="DD33:DH33"/>
    <mergeCell ref="K98:M98"/>
    <mergeCell ref="BZ140:CC140"/>
    <mergeCell ref="DT71:DW71"/>
    <mergeCell ref="DN65:DR65"/>
    <mergeCell ref="DX81:EB81"/>
    <mergeCell ref="DX56:EB56"/>
    <mergeCell ref="O40:O41"/>
    <mergeCell ref="DT100:DW100"/>
    <mergeCell ref="CJ51:CN51"/>
    <mergeCell ref="W70:CC73"/>
    <mergeCell ref="DT66:DW66"/>
    <mergeCell ref="G137:J137"/>
    <mergeCell ref="Q94:S97"/>
    <mergeCell ref="DJ77:DM77"/>
    <mergeCell ref="F48:F49"/>
    <mergeCell ref="CF28:CI28"/>
    <mergeCell ref="DX107:EB107"/>
    <mergeCell ref="G139:J139"/>
    <mergeCell ref="CF108:CI108"/>
    <mergeCell ref="DD86:DH86"/>
    <mergeCell ref="CZ103:DC103"/>
    <mergeCell ref="K109:M109"/>
    <mergeCell ref="K22:M22"/>
    <mergeCell ref="DN78:DR78"/>
    <mergeCell ref="DX110:EB110"/>
    <mergeCell ref="B51:D54"/>
    <mergeCell ref="CJ64:CN64"/>
    <mergeCell ref="CZ131:DC131"/>
    <mergeCell ref="CF110:CI110"/>
    <mergeCell ref="DN129:DR129"/>
    <mergeCell ref="DD105:DH105"/>
    <mergeCell ref="DX120:EB120"/>
    <mergeCell ref="DT23:DW23"/>
    <mergeCell ref="DX39:EB39"/>
    <mergeCell ref="O115:O116"/>
    <mergeCell ref="B2:AF4"/>
    <mergeCell ref="DN131:DR131"/>
    <mergeCell ref="DJ17:DM17"/>
    <mergeCell ref="K35:M35"/>
    <mergeCell ref="DX121:EB121"/>
    <mergeCell ref="DT18:DW18"/>
    <mergeCell ref="CT141:CX141"/>
    <mergeCell ref="CJ75:CN75"/>
    <mergeCell ref="DJ19:DM19"/>
    <mergeCell ref="T19:V22"/>
    <mergeCell ref="L71:L72"/>
    <mergeCell ref="DX123:EB123"/>
    <mergeCell ref="BU5:CC8"/>
    <mergeCell ref="DT26:DW26"/>
    <mergeCell ref="K59:M59"/>
    <mergeCell ref="CP29:CS29"/>
    <mergeCell ref="DN35:DR35"/>
    <mergeCell ref="DJ20:DM20"/>
    <mergeCell ref="DN28:DR28"/>
    <mergeCell ref="DX50:EB50"/>
    <mergeCell ref="DD29:DH29"/>
    <mergeCell ref="DJ45:DM45"/>
    <mergeCell ref="CP24:CS24"/>
    <mergeCell ref="DD39:DH39"/>
    <mergeCell ref="CZ21:DC21"/>
    <mergeCell ref="H18:J18"/>
    <mergeCell ref="DN30:DR30"/>
    <mergeCell ref="DX52:EB52"/>
    <mergeCell ref="DD31:DH31"/>
    <mergeCell ref="DJ53:DM53"/>
    <mergeCell ref="DJ47:DM47"/>
    <mergeCell ref="CP26:CS26"/>
    <mergeCell ref="H26:J26"/>
    <mergeCell ref="T74:V77"/>
    <mergeCell ref="DT96:DW96"/>
    <mergeCell ref="B82:D85"/>
    <mergeCell ref="DJ46:DM46"/>
    <mergeCell ref="DT62:DW62"/>
    <mergeCell ref="DT37:DW37"/>
    <mergeCell ref="CZ16:DC16"/>
    <mergeCell ref="H55:J55"/>
    <mergeCell ref="DT98:DW98"/>
    <mergeCell ref="Q31:S34"/>
    <mergeCell ref="DJ48:DM48"/>
    <mergeCell ref="N121:P121"/>
    <mergeCell ref="CF24:CI24"/>
    <mergeCell ref="DJ63:DM63"/>
    <mergeCell ref="CP42:CS42"/>
    <mergeCell ref="DD57:DH57"/>
    <mergeCell ref="CF17:CI17"/>
    <mergeCell ref="L28:L29"/>
    <mergeCell ref="K105:M105"/>
    <mergeCell ref="CZ74:DC74"/>
    <mergeCell ref="CF53:CI53"/>
    <mergeCell ref="CT24:CX24"/>
    <mergeCell ref="DX63:EB63"/>
    <mergeCell ref="DT88:DW88"/>
    <mergeCell ref="CF19:CI19"/>
    <mergeCell ref="DT124:DW124"/>
    <mergeCell ref="I12:I13"/>
    <mergeCell ref="DN74:DR74"/>
    <mergeCell ref="W94:CC97"/>
    <mergeCell ref="DT117:DW117"/>
    <mergeCell ref="CF50:CI50"/>
    <mergeCell ref="DN76:DR76"/>
    <mergeCell ref="CJ60:CN60"/>
    <mergeCell ref="CT84:CX84"/>
    <mergeCell ref="DT119:DW119"/>
    <mergeCell ref="CF79:CI79"/>
    <mergeCell ref="CT50:CX50"/>
    <mergeCell ref="DN101:DR101"/>
    <mergeCell ref="CT80:CX80"/>
    <mergeCell ref="K133:M133"/>
    <mergeCell ref="CF81:CI81"/>
    <mergeCell ref="CT52:CX52"/>
    <mergeCell ref="DN100:DR100"/>
    <mergeCell ref="CP97:CS97"/>
    <mergeCell ref="CT79:CX79"/>
    <mergeCell ref="DD70:DH70"/>
    <mergeCell ref="DJ117:DM117"/>
    <mergeCell ref="CP96:CS96"/>
    <mergeCell ref="I40:I41"/>
    <mergeCell ref="DT108:DW108"/>
    <mergeCell ref="CZ87:DC87"/>
    <mergeCell ref="DN102:DR102"/>
    <mergeCell ref="CT81:CX81"/>
    <mergeCell ref="H117:J117"/>
    <mergeCell ref="DD103:DH103"/>
    <mergeCell ref="CP98:CS98"/>
    <mergeCell ref="DX119:EB119"/>
    <mergeCell ref="CF63:CI63"/>
    <mergeCell ref="DT139:DW139"/>
    <mergeCell ref="CJ79:CN79"/>
    <mergeCell ref="CJ73:CN73"/>
    <mergeCell ref="B35:D38"/>
    <mergeCell ref="CT70:CX70"/>
    <mergeCell ref="CZ113:DC113"/>
    <mergeCell ref="CF92:CI92"/>
    <mergeCell ref="DT51:DW51"/>
    <mergeCell ref="DD129:DH129"/>
    <mergeCell ref="CT63:CX63"/>
    <mergeCell ref="DD123:DH123"/>
    <mergeCell ref="DN120:DR120"/>
    <mergeCell ref="CT99:CX99"/>
    <mergeCell ref="CJ74:CN74"/>
    <mergeCell ref="CZ115:DC115"/>
    <mergeCell ref="DD131:DH131"/>
    <mergeCell ref="DN113:DR113"/>
    <mergeCell ref="CZ17:DC17"/>
    <mergeCell ref="DN26:DR26"/>
    <mergeCell ref="DJ130:DM130"/>
    <mergeCell ref="DD124:DH124"/>
    <mergeCell ref="DN140:DR140"/>
    <mergeCell ref="DN115:DR115"/>
    <mergeCell ref="CP22:CS22"/>
    <mergeCell ref="L95:L96"/>
    <mergeCell ref="CZ141:DC141"/>
    <mergeCell ref="CZ19:DC19"/>
    <mergeCell ref="DJ132:DM132"/>
    <mergeCell ref="DD126:DH126"/>
    <mergeCell ref="CJ107:CN107"/>
    <mergeCell ref="F16:F17"/>
    <mergeCell ref="CJ101:CN101"/>
    <mergeCell ref="DT33:DW33"/>
    <mergeCell ref="CZ12:DC12"/>
    <mergeCell ref="H51:J51"/>
    <mergeCell ref="DX18:EB18"/>
    <mergeCell ref="N58:P58"/>
    <mergeCell ref="DT35:DW35"/>
    <mergeCell ref="CJ92:CN92"/>
    <mergeCell ref="CZ14:DC14"/>
    <mergeCell ref="DD53:DH53"/>
    <mergeCell ref="DT64:DW64"/>
    <mergeCell ref="CP48:CS48"/>
    <mergeCell ref="K70:M70"/>
    <mergeCell ref="DD55:DH55"/>
    <mergeCell ref="CZ38:DC38"/>
    <mergeCell ref="H77:J77"/>
    <mergeCell ref="CP33:CS33"/>
    <mergeCell ref="B106:D109"/>
    <mergeCell ref="W31:CC34"/>
    <mergeCell ref="CZ65:DC65"/>
    <mergeCell ref="CZ40:DC40"/>
    <mergeCell ref="DJ62:DM62"/>
    <mergeCell ref="W39:CC42"/>
    <mergeCell ref="DJ56:DM56"/>
    <mergeCell ref="H35:J35"/>
    <mergeCell ref="Q55:S58"/>
    <mergeCell ref="N86:P86"/>
    <mergeCell ref="CP51:CS51"/>
    <mergeCell ref="CJ120:CN120"/>
    <mergeCell ref="CP66:CS66"/>
    <mergeCell ref="CF77:CI77"/>
    <mergeCell ref="H59:J59"/>
    <mergeCell ref="DX87:EB87"/>
    <mergeCell ref="DD66:DH66"/>
    <mergeCell ref="H89:J89"/>
    <mergeCell ref="DJ82:DM82"/>
    <mergeCell ref="CP61:CS61"/>
    <mergeCell ref="I36:I37"/>
    <mergeCell ref="DN98:DR98"/>
    <mergeCell ref="CT77:CX77"/>
    <mergeCell ref="O20:O21"/>
    <mergeCell ref="DX89:EB89"/>
    <mergeCell ref="CZ93:DC93"/>
    <mergeCell ref="CF72:CI72"/>
    <mergeCell ref="DX88:EB88"/>
    <mergeCell ref="H90:J90"/>
    <mergeCell ref="CJ42:CN42"/>
    <mergeCell ref="I127:I128"/>
    <mergeCell ref="CZ84:DC84"/>
    <mergeCell ref="DJ119:DM119"/>
    <mergeCell ref="CF59:CI59"/>
    <mergeCell ref="CJ44:CN44"/>
    <mergeCell ref="DJ85:DM85"/>
    <mergeCell ref="CP64:CS64"/>
    <mergeCell ref="CZ109:DC109"/>
    <mergeCell ref="CF88:CI88"/>
    <mergeCell ref="DD94:DH94"/>
    <mergeCell ref="CF54:CI54"/>
    <mergeCell ref="CZ111:DC111"/>
    <mergeCell ref="CF90:CI90"/>
    <mergeCell ref="O48:O49"/>
    <mergeCell ref="CT61:CX61"/>
    <mergeCell ref="DN109:DR109"/>
    <mergeCell ref="CP122:CS122"/>
    <mergeCell ref="CJ72:CN72"/>
    <mergeCell ref="DN111:DR111"/>
    <mergeCell ref="CT90:CX90"/>
    <mergeCell ref="CZ112:DC112"/>
    <mergeCell ref="CZ106:DC106"/>
    <mergeCell ref="CF85:CI85"/>
    <mergeCell ref="DD122:DH122"/>
    <mergeCell ref="F12:F13"/>
    <mergeCell ref="CT121:CX121"/>
    <mergeCell ref="DT9:EB10"/>
    <mergeCell ref="CF116:CI116"/>
    <mergeCell ref="CT87:CX87"/>
    <mergeCell ref="CJ126:CN126"/>
    <mergeCell ref="CT123:CX123"/>
    <mergeCell ref="I52:I53"/>
    <mergeCell ref="CF118:CI118"/>
    <mergeCell ref="N31:P31"/>
    <mergeCell ref="CT116:CX116"/>
    <mergeCell ref="O95:O96"/>
    <mergeCell ref="CP133:CS133"/>
    <mergeCell ref="CT118:CX118"/>
    <mergeCell ref="DD140:DH140"/>
    <mergeCell ref="DJ25:DM25"/>
    <mergeCell ref="N26:P26"/>
    <mergeCell ref="E117:G117"/>
    <mergeCell ref="CZ36:DC36"/>
    <mergeCell ref="CJ116:CN116"/>
    <mergeCell ref="Q11:S14"/>
    <mergeCell ref="BB5:BR8"/>
    <mergeCell ref="N42:P42"/>
    <mergeCell ref="CJ139:CN139"/>
    <mergeCell ref="CJ111:CN111"/>
    <mergeCell ref="DT16:DW16"/>
    <mergeCell ref="DX32:EB32"/>
    <mergeCell ref="CT48:CX48"/>
    <mergeCell ref="DJ27:DM27"/>
    <mergeCell ref="CF43:CI43"/>
    <mergeCell ref="CP65:CS65"/>
    <mergeCell ref="H86:J86"/>
    <mergeCell ref="DT104:DW104"/>
    <mergeCell ref="I123:I124"/>
    <mergeCell ref="DX27:EB27"/>
    <mergeCell ref="CZ49:DC49"/>
    <mergeCell ref="DT106:DW106"/>
    <mergeCell ref="E18:G18"/>
    <mergeCell ref="CP60:CS60"/>
    <mergeCell ref="DT99:DW99"/>
    <mergeCell ref="DX58:EB58"/>
    <mergeCell ref="N97:P97"/>
    <mergeCell ref="CF25:CI25"/>
    <mergeCell ref="B118:D121"/>
    <mergeCell ref="DT101:DW101"/>
    <mergeCell ref="CJ41:CN41"/>
    <mergeCell ref="CF61:CI61"/>
    <mergeCell ref="W74:CC77"/>
    <mergeCell ref="N98:P98"/>
    <mergeCell ref="CF68:CN69"/>
    <mergeCell ref="CF56:CI56"/>
    <mergeCell ref="DJ99:DM99"/>
    <mergeCell ref="CP78:CS78"/>
    <mergeCell ref="E77:G77"/>
    <mergeCell ref="CF112:CI112"/>
    <mergeCell ref="DD21:DH21"/>
    <mergeCell ref="H101:J101"/>
    <mergeCell ref="I48:I49"/>
    <mergeCell ref="CT32:CX32"/>
    <mergeCell ref="CF114:CI114"/>
    <mergeCell ref="CT112:CX112"/>
    <mergeCell ref="O91:O92"/>
    <mergeCell ref="CF107:CI107"/>
    <mergeCell ref="Q122:S125"/>
    <mergeCell ref="CP104:CS104"/>
    <mergeCell ref="Q78:S81"/>
    <mergeCell ref="W102:CC105"/>
    <mergeCell ref="H125:J125"/>
    <mergeCell ref="CT114:CX114"/>
    <mergeCell ref="N109:P109"/>
    <mergeCell ref="N22:P22"/>
    <mergeCell ref="CP106:CS106"/>
    <mergeCell ref="E82:G82"/>
    <mergeCell ref="CZ121:DC121"/>
    <mergeCell ref="CF100:CI100"/>
    <mergeCell ref="BU2:CC4"/>
    <mergeCell ref="CP101:CS101"/>
    <mergeCell ref="CF125:CI125"/>
    <mergeCell ref="O83:O84"/>
    <mergeCell ref="O75:O76"/>
    <mergeCell ref="Q106:S109"/>
    <mergeCell ref="CF127:CI127"/>
    <mergeCell ref="K39:M39"/>
    <mergeCell ref="T47:V50"/>
    <mergeCell ref="CT127:CX127"/>
    <mergeCell ref="CP30:CS30"/>
    <mergeCell ref="CF128:CI128"/>
    <mergeCell ref="W11:CC14"/>
    <mergeCell ref="N35:P35"/>
    <mergeCell ref="DT13:DW13"/>
    <mergeCell ref="E14:G14"/>
    <mergeCell ref="DT15:DW15"/>
    <mergeCell ref="N66:P66"/>
    <mergeCell ref="K50:M50"/>
    <mergeCell ref="DN17:DR17"/>
    <mergeCell ref="DX139:EB139"/>
    <mergeCell ref="K58:M58"/>
    <mergeCell ref="DN19:DR19"/>
    <mergeCell ref="DX16:EB16"/>
    <mergeCell ref="DX51:EB51"/>
    <mergeCell ref="CF52:CI52"/>
    <mergeCell ref="F131:F132"/>
    <mergeCell ref="DX11:EB11"/>
    <mergeCell ref="DD17:DH17"/>
    <mergeCell ref="DT136:EB137"/>
    <mergeCell ref="DD46:DH46"/>
    <mergeCell ref="CP41:CS41"/>
    <mergeCell ref="DD12:DH12"/>
    <mergeCell ref="N122:P122"/>
    <mergeCell ref="H121:J121"/>
    <mergeCell ref="O28:O29"/>
    <mergeCell ref="N105:P105"/>
    <mergeCell ref="DJ64:DM64"/>
    <mergeCell ref="DX62:EB62"/>
    <mergeCell ref="L12:L13"/>
    <mergeCell ref="DX64:EB64"/>
    <mergeCell ref="CJ24:CN24"/>
    <mergeCell ref="DN63:DR63"/>
    <mergeCell ref="CJ26:CN26"/>
    <mergeCell ref="DD74:DH74"/>
    <mergeCell ref="CF34:CI34"/>
    <mergeCell ref="E81:G81"/>
    <mergeCell ref="Q102:S105"/>
    <mergeCell ref="DD76:DH76"/>
    <mergeCell ref="N133:P133"/>
    <mergeCell ref="DJ75:DM75"/>
    <mergeCell ref="DN91:DR91"/>
    <mergeCell ref="E106:G106"/>
    <mergeCell ref="DX82:EB82"/>
    <mergeCell ref="L40:L41"/>
    <mergeCell ref="CZ86:DC86"/>
    <mergeCell ref="CF124:CI124"/>
    <mergeCell ref="DN93:DR93"/>
    <mergeCell ref="CP115:CS115"/>
    <mergeCell ref="CP136:CX137"/>
    <mergeCell ref="DN117:DR117"/>
    <mergeCell ref="DX108:EB108"/>
    <mergeCell ref="K23:M23"/>
    <mergeCell ref="DX12:EB12"/>
    <mergeCell ref="E125:G125"/>
    <mergeCell ref="O123:O124"/>
    <mergeCell ref="K18:M18"/>
    <mergeCell ref="DT24:DW24"/>
    <mergeCell ref="DX38:EB38"/>
    <mergeCell ref="CJ91:CN91"/>
    <mergeCell ref="CT82:CX82"/>
    <mergeCell ref="DN43:DR43"/>
    <mergeCell ref="CT22:CX22"/>
    <mergeCell ref="DD19:DH19"/>
    <mergeCell ref="DJ35:DM35"/>
    <mergeCell ref="CP39:CS39"/>
    <mergeCell ref="DN51:DR51"/>
    <mergeCell ref="DX33:EB33"/>
    <mergeCell ref="CZ30:DC30"/>
    <mergeCell ref="DN34:DR34"/>
    <mergeCell ref="I103:I104"/>
    <mergeCell ref="K77:M77"/>
    <mergeCell ref="DX25:EB25"/>
    <mergeCell ref="DT50:DW50"/>
    <mergeCell ref="CZ29:DC29"/>
    <mergeCell ref="DX60:EB60"/>
    <mergeCell ref="DX35:EB35"/>
    <mergeCell ref="DT80:DW80"/>
    <mergeCell ref="DD14:DH14"/>
    <mergeCell ref="CJ20:CN20"/>
    <mergeCell ref="DT52:DW52"/>
    <mergeCell ref="CZ31:DC31"/>
    <mergeCell ref="DT79:DW79"/>
    <mergeCell ref="F115:F116"/>
    <mergeCell ref="CJ22:CN22"/>
    <mergeCell ref="B98:D101"/>
    <mergeCell ref="DT81:DW81"/>
    <mergeCell ref="CJ15:CN15"/>
    <mergeCell ref="CT12:CX12"/>
    <mergeCell ref="DD72:DH72"/>
    <mergeCell ref="N129:P129"/>
    <mergeCell ref="DX86:EB86"/>
    <mergeCell ref="DD65:DH65"/>
    <mergeCell ref="H50:J50"/>
    <mergeCell ref="K89:M89"/>
    <mergeCell ref="DN62:DR62"/>
    <mergeCell ref="DX122:EB122"/>
    <mergeCell ref="DN56:DR56"/>
    <mergeCell ref="L36:L37"/>
    <mergeCell ref="DJ79:DM79"/>
    <mergeCell ref="DJ73:DM73"/>
    <mergeCell ref="E51:G51"/>
    <mergeCell ref="BZ139:CC139"/>
    <mergeCell ref="CF89:CI89"/>
    <mergeCell ref="CJ48:CN48"/>
    <mergeCell ref="K90:M90"/>
    <mergeCell ref="DT63:DW63"/>
    <mergeCell ref="L127:L128"/>
    <mergeCell ref="T102:V105"/>
    <mergeCell ref="CT38:CX38"/>
    <mergeCell ref="CJ33:CN33"/>
    <mergeCell ref="DJ74:DM74"/>
    <mergeCell ref="DJ110:DM110"/>
    <mergeCell ref="CJ43:CN43"/>
    <mergeCell ref="CT40:CX40"/>
    <mergeCell ref="DX104:EB104"/>
    <mergeCell ref="DD83:DH83"/>
    <mergeCell ref="DJ76:DM76"/>
    <mergeCell ref="CP84:CS84"/>
    <mergeCell ref="O99:O100"/>
    <mergeCell ref="CZ100:DC100"/>
    <mergeCell ref="CJ34:CN34"/>
    <mergeCell ref="DX106:EB106"/>
    <mergeCell ref="DD85:DH85"/>
    <mergeCell ref="K19:M19"/>
    <mergeCell ref="CZ110:DC110"/>
    <mergeCell ref="DJ101:DM101"/>
    <mergeCell ref="CP80:CS80"/>
    <mergeCell ref="L56:L57"/>
    <mergeCell ref="DX105:EB105"/>
    <mergeCell ref="DD84:DH84"/>
    <mergeCell ref="DX99:EB99"/>
    <mergeCell ref="DN75:DR75"/>
    <mergeCell ref="CJ59:CN59"/>
    <mergeCell ref="DJ92:DM92"/>
    <mergeCell ref="DX101:EB101"/>
    <mergeCell ref="DD80:DH80"/>
    <mergeCell ref="CJ61:CN61"/>
    <mergeCell ref="DD109:DH109"/>
    <mergeCell ref="CF105:CI105"/>
    <mergeCell ref="BS5:BT8"/>
    <mergeCell ref="DD111:DH111"/>
    <mergeCell ref="CT122:CX122"/>
    <mergeCell ref="E118:G118"/>
    <mergeCell ref="CT105:CX105"/>
    <mergeCell ref="T27:V30"/>
    <mergeCell ref="DN128:DR128"/>
    <mergeCell ref="CZ129:DC129"/>
    <mergeCell ref="DX29:EB29"/>
    <mergeCell ref="CZ123:DC123"/>
    <mergeCell ref="B59:D62"/>
    <mergeCell ref="DX31:EB31"/>
    <mergeCell ref="DJ26:DM26"/>
    <mergeCell ref="CJ105:CN105"/>
    <mergeCell ref="CT133:CX133"/>
    <mergeCell ref="T55:V58"/>
    <mergeCell ref="DT77:DW77"/>
    <mergeCell ref="T11:V14"/>
    <mergeCell ref="DJ42:DM42"/>
    <mergeCell ref="CP21:CS21"/>
    <mergeCell ref="DD36:DH36"/>
    <mergeCell ref="W19:CC22"/>
    <mergeCell ref="DD28:DH28"/>
    <mergeCell ref="CZ53:DC53"/>
    <mergeCell ref="CF32:CI32"/>
    <mergeCell ref="DJ44:DM44"/>
    <mergeCell ref="CP23:CS23"/>
    <mergeCell ref="DN60:DR60"/>
    <mergeCell ref="I87:I88"/>
    <mergeCell ref="K86:M86"/>
    <mergeCell ref="CZ55:DC55"/>
    <mergeCell ref="L123:L124"/>
    <mergeCell ref="DX44:EB44"/>
    <mergeCell ref="B122:D125"/>
    <mergeCell ref="N59:P59"/>
    <mergeCell ref="DN55:DR55"/>
    <mergeCell ref="CJ39:CN39"/>
    <mergeCell ref="CT36:CX36"/>
    <mergeCell ref="CT30:CX30"/>
    <mergeCell ref="DD54:DH54"/>
    <mergeCell ref="DJ72:DM72"/>
    <mergeCell ref="N68:P69"/>
    <mergeCell ref="CF58:CI58"/>
    <mergeCell ref="DT90:DW90"/>
    <mergeCell ref="CP49:CS49"/>
    <mergeCell ref="CT65:CX65"/>
    <mergeCell ref="DD56:DH56"/>
    <mergeCell ref="N113:P113"/>
    <mergeCell ref="CF16:CI16"/>
    <mergeCell ref="CT31:CX31"/>
    <mergeCell ref="CP76:CS76"/>
    <mergeCell ref="DD49:DH49"/>
    <mergeCell ref="DN71:DR71"/>
    <mergeCell ref="DJ96:DM96"/>
    <mergeCell ref="K114:M114"/>
    <mergeCell ref="DT87:DW87"/>
    <mergeCell ref="CZ66:DC66"/>
    <mergeCell ref="CF18:CI18"/>
    <mergeCell ref="DX103:EB103"/>
    <mergeCell ref="DX97:EB97"/>
    <mergeCell ref="CJ57:CN57"/>
    <mergeCell ref="DJ98:DM98"/>
    <mergeCell ref="CP77:CS77"/>
    <mergeCell ref="H98:J98"/>
    <mergeCell ref="DT116:DW116"/>
    <mergeCell ref="DD107:DH107"/>
    <mergeCell ref="DJ83:DM83"/>
    <mergeCell ref="CF42:CI42"/>
    <mergeCell ref="DT118:DW118"/>
    <mergeCell ref="CJ58:CN58"/>
    <mergeCell ref="CF103:CI103"/>
    <mergeCell ref="K130:M130"/>
    <mergeCell ref="CJ52:CN52"/>
    <mergeCell ref="CT49:CX49"/>
    <mergeCell ref="CF44:CI44"/>
    <mergeCell ref="DD102:DH102"/>
    <mergeCell ref="DN99:DR99"/>
    <mergeCell ref="CT78:CX78"/>
    <mergeCell ref="K125:M125"/>
    <mergeCell ref="CF98:CI98"/>
    <mergeCell ref="DJ116:DM116"/>
    <mergeCell ref="CP95:CS95"/>
    <mergeCell ref="DD110:DH110"/>
    <mergeCell ref="DJ109:DM109"/>
    <mergeCell ref="H82:J82"/>
    <mergeCell ref="DJ139:DM139"/>
    <mergeCell ref="DX116:EB116"/>
    <mergeCell ref="N11:P11"/>
    <mergeCell ref="B5:B8"/>
    <mergeCell ref="CJ114:CN114"/>
    <mergeCell ref="CJ70:CN70"/>
    <mergeCell ref="DJ111:DM111"/>
    <mergeCell ref="CP90:CS90"/>
    <mergeCell ref="H113:J113"/>
    <mergeCell ref="CT129:CX129"/>
    <mergeCell ref="N9:P10"/>
    <mergeCell ref="CZ122:DC122"/>
    <mergeCell ref="DT48:DW48"/>
    <mergeCell ref="T51:V54"/>
    <mergeCell ref="DD120:DH120"/>
    <mergeCell ref="DJ140:DM140"/>
    <mergeCell ref="CP121:CS121"/>
    <mergeCell ref="DT14:DW14"/>
    <mergeCell ref="CJ71:CN71"/>
    <mergeCell ref="CT131:CX131"/>
    <mergeCell ref="W15:CC18"/>
    <mergeCell ref="CF126:CI126"/>
    <mergeCell ref="N39:P39"/>
    <mergeCell ref="E105:G105"/>
    <mergeCell ref="DD121:DH121"/>
    <mergeCell ref="CZ138:DC138"/>
    <mergeCell ref="CZ132:DC132"/>
    <mergeCell ref="I83:I84"/>
    <mergeCell ref="E101:G101"/>
    <mergeCell ref="CZ140:DC140"/>
    <mergeCell ref="DJ41:DM41"/>
    <mergeCell ref="CT113:CX113"/>
    <mergeCell ref="H14:J14"/>
    <mergeCell ref="T35:V38"/>
    <mergeCell ref="B70:D73"/>
    <mergeCell ref="H43:J43"/>
    <mergeCell ref="CP45:CS45"/>
    <mergeCell ref="Q19:S22"/>
    <mergeCell ref="W43:CC46"/>
    <mergeCell ref="N50:P50"/>
    <mergeCell ref="CP47:CS47"/>
    <mergeCell ref="H74:J74"/>
    <mergeCell ref="CF139:CI139"/>
    <mergeCell ref="CP46:CS46"/>
    <mergeCell ref="CZ37:DC37"/>
    <mergeCell ref="E31:G31"/>
    <mergeCell ref="DD47:DH47"/>
    <mergeCell ref="DT32:DW32"/>
    <mergeCell ref="F95:F96"/>
    <mergeCell ref="DT112:DW112"/>
    <mergeCell ref="I131:I132"/>
    <mergeCell ref="T82:V85"/>
    <mergeCell ref="CF38:CI38"/>
    <mergeCell ref="DT114:DW114"/>
    <mergeCell ref="Q47:S50"/>
    <mergeCell ref="E26:G26"/>
    <mergeCell ref="CF40:CI40"/>
    <mergeCell ref="DN36:DR36"/>
    <mergeCell ref="K121:M121"/>
    <mergeCell ref="CT76:CX76"/>
    <mergeCell ref="E42:G42"/>
    <mergeCell ref="Q63:S66"/>
    <mergeCell ref="H122:J122"/>
    <mergeCell ref="CP59:CS59"/>
    <mergeCell ref="CP86:CS86"/>
    <mergeCell ref="DT125:DW125"/>
    <mergeCell ref="CP117:CS117"/>
    <mergeCell ref="F20:F21"/>
    <mergeCell ref="DT127:DW127"/>
    <mergeCell ref="CF87:CI87"/>
    <mergeCell ref="CP119:CS119"/>
    <mergeCell ref="DX79:EB79"/>
    <mergeCell ref="DD117:DH117"/>
    <mergeCell ref="E70:G70"/>
    <mergeCell ref="CP112:CS112"/>
    <mergeCell ref="W110:CC113"/>
    <mergeCell ref="CF82:CI82"/>
    <mergeCell ref="DD119:DH119"/>
    <mergeCell ref="E97:G97"/>
    <mergeCell ref="CJ94:CN94"/>
    <mergeCell ref="T9:V10"/>
    <mergeCell ref="CP114:CS114"/>
    <mergeCell ref="CF113:CI113"/>
    <mergeCell ref="CJ129:CN129"/>
    <mergeCell ref="CJ123:CN123"/>
    <mergeCell ref="DJ120:DM120"/>
    <mergeCell ref="E98:G98"/>
    <mergeCell ref="CJ95:CN95"/>
    <mergeCell ref="CJ89:CN89"/>
    <mergeCell ref="CP130:CS130"/>
    <mergeCell ref="CJ97:CN97"/>
    <mergeCell ref="CJ124:CN124"/>
    <mergeCell ref="CT115:CX115"/>
    <mergeCell ref="CF141:CI141"/>
    <mergeCell ref="N23:P23"/>
    <mergeCell ref="CP132:CS132"/>
    <mergeCell ref="DD130:DH130"/>
    <mergeCell ref="F91:F92"/>
    <mergeCell ref="CJ113:CN113"/>
    <mergeCell ref="CZ35:DC35"/>
    <mergeCell ref="CP127:CS127"/>
    <mergeCell ref="Q130:S133"/>
    <mergeCell ref="K38:M38"/>
    <mergeCell ref="B102:D105"/>
    <mergeCell ref="W27:CC30"/>
    <mergeCell ref="E22:G22"/>
    <mergeCell ref="T68:V69"/>
    <mergeCell ref="W9:CC10"/>
    <mergeCell ref="N74:P74"/>
    <mergeCell ref="CJ108:CN108"/>
    <mergeCell ref="Q51:S54"/>
    <mergeCell ref="F119:F120"/>
    <mergeCell ref="N77:P77"/>
    <mergeCell ref="DX24:EB24"/>
    <mergeCell ref="H85:J85"/>
    <mergeCell ref="CZ68:DH69"/>
    <mergeCell ref="CP57:CS57"/>
    <mergeCell ref="W55:CC58"/>
    <mergeCell ref="I115:I116"/>
    <mergeCell ref="CT39:CX39"/>
    <mergeCell ref="DD30:DH30"/>
    <mergeCell ref="E66:G66"/>
    <mergeCell ref="N89:P89"/>
    <mergeCell ref="DX77:EB77"/>
    <mergeCell ref="Q118:S121"/>
    <mergeCell ref="CJ32:CN32"/>
    <mergeCell ref="CT29:CX29"/>
    <mergeCell ref="CT23:CX23"/>
    <mergeCell ref="F127:F128"/>
    <mergeCell ref="K106:M106"/>
    <mergeCell ref="CF104:CI104"/>
    <mergeCell ref="DN79:DR79"/>
    <mergeCell ref="DN73:DR73"/>
    <mergeCell ref="DX95:EB95"/>
    <mergeCell ref="CF106:CI106"/>
    <mergeCell ref="N19:P19"/>
    <mergeCell ref="W126:CC129"/>
    <mergeCell ref="CJ122:CN122"/>
    <mergeCell ref="O56:O57"/>
    <mergeCell ref="DX96:EB96"/>
    <mergeCell ref="CZ9:DH10"/>
    <mergeCell ref="DJ91:DM91"/>
    <mergeCell ref="F28:F29"/>
    <mergeCell ref="B39:D42"/>
    <mergeCell ref="DD100:DH100"/>
    <mergeCell ref="F64:F65"/>
    <mergeCell ref="K34:M34"/>
    <mergeCell ref="DN92:DR92"/>
    <mergeCell ref="O111:O112"/>
    <mergeCell ref="DX124:EB124"/>
    <mergeCell ref="DX118:EB118"/>
    <mergeCell ref="K31:M31"/>
    <mergeCell ref="E133:G133"/>
    <mergeCell ref="DJ15:DM15"/>
    <mergeCell ref="T15:V18"/>
    <mergeCell ref="DT12:DW12"/>
    <mergeCell ref="F75:F76"/>
    <mergeCell ref="DX22:EB22"/>
    <mergeCell ref="DX46:EB46"/>
    <mergeCell ref="DN16:DR16"/>
    <mergeCell ref="CP20:CS20"/>
    <mergeCell ref="DT38:DW38"/>
    <mergeCell ref="CZ11:DC11"/>
    <mergeCell ref="DJ33:DM33"/>
    <mergeCell ref="DX48:EB48"/>
    <mergeCell ref="DD27:DH27"/>
    <mergeCell ref="DN18:DR18"/>
    <mergeCell ref="DJ43:DM43"/>
    <mergeCell ref="B78:D81"/>
    <mergeCell ref="DJ34:DM34"/>
    <mergeCell ref="Q27:S30"/>
    <mergeCell ref="DJ136:DR137"/>
    <mergeCell ref="DN42:DR42"/>
    <mergeCell ref="CF20:CI20"/>
    <mergeCell ref="DJ59:DM59"/>
    <mergeCell ref="CP38:CS38"/>
    <mergeCell ref="Q68:S69"/>
    <mergeCell ref="DN44:DR44"/>
    <mergeCell ref="DD45:DH45"/>
    <mergeCell ref="CT20:CX20"/>
    <mergeCell ref="CP40:CS40"/>
    <mergeCell ref="DD11:DH11"/>
    <mergeCell ref="DX59:EB59"/>
    <mergeCell ref="CF15:CI15"/>
    <mergeCell ref="CZ72:DC72"/>
    <mergeCell ref="CF51:CI51"/>
    <mergeCell ref="DJ54:DM54"/>
    <mergeCell ref="CP92:CS92"/>
    <mergeCell ref="W90:CC93"/>
    <mergeCell ref="N114:P114"/>
    <mergeCell ref="DX61:EB61"/>
    <mergeCell ref="DT122:DW122"/>
    <mergeCell ref="DT78:DW78"/>
    <mergeCell ref="DN72:DR72"/>
    <mergeCell ref="CP94:CS94"/>
    <mergeCell ref="CT46:CX46"/>
    <mergeCell ref="DD37:DH37"/>
    <mergeCell ref="CJ16:CN16"/>
    <mergeCell ref="DD98:DH98"/>
    <mergeCell ref="N130:P130"/>
    <mergeCell ref="K129:M129"/>
    <mergeCell ref="CF33:CI33"/>
    <mergeCell ref="CJ18:CN18"/>
    <mergeCell ref="DN88:DR88"/>
    <mergeCell ref="O107:O108"/>
    <mergeCell ref="CZ83:DC83"/>
    <mergeCell ref="DX114:EB114"/>
    <mergeCell ref="DD93:DH93"/>
    <mergeCell ref="I28:I29"/>
    <mergeCell ref="DN90:DR90"/>
    <mergeCell ref="L64:L65"/>
    <mergeCell ref="CZ85:DC85"/>
    <mergeCell ref="DT133:DW133"/>
    <mergeCell ref="DN83:DR83"/>
    <mergeCell ref="CJ103:CN103"/>
    <mergeCell ref="CT66:CX66"/>
    <mergeCell ref="B23:D26"/>
    <mergeCell ref="Q9:S10"/>
    <mergeCell ref="CJ77:CN77"/>
    <mergeCell ref="CT59:CX59"/>
    <mergeCell ref="CJ98:CN98"/>
    <mergeCell ref="DN141:DR141"/>
    <mergeCell ref="DN116:DR116"/>
    <mergeCell ref="CT95:CX95"/>
    <mergeCell ref="N54:P54"/>
    <mergeCell ref="DT39:DW39"/>
    <mergeCell ref="CT89:CX89"/>
    <mergeCell ref="DX132:EB132"/>
    <mergeCell ref="K55:M55"/>
    <mergeCell ref="CT97:CX97"/>
    <mergeCell ref="CZ13:DC13"/>
    <mergeCell ref="L75:L76"/>
    <mergeCell ref="DX133:EB133"/>
    <mergeCell ref="DJ39:DM39"/>
    <mergeCell ref="L91:L92"/>
    <mergeCell ref="DX127:EB127"/>
    <mergeCell ref="CZ15:DC15"/>
    <mergeCell ref="K46:M46"/>
    <mergeCell ref="DT30:DW30"/>
    <mergeCell ref="CJ87:CN87"/>
    <mergeCell ref="F99:F100"/>
    <mergeCell ref="DJ128:DM128"/>
    <mergeCell ref="DN13:DR13"/>
    <mergeCell ref="L83:L84"/>
    <mergeCell ref="DT29:DW29"/>
    <mergeCell ref="DT65:DW65"/>
    <mergeCell ref="DN38:DR38"/>
    <mergeCell ref="DT31:DW31"/>
    <mergeCell ref="CJ88:CN88"/>
    <mergeCell ref="DT58:DW58"/>
    <mergeCell ref="K73:M73"/>
    <mergeCell ref="CZ25:DC25"/>
    <mergeCell ref="DN40:DR40"/>
    <mergeCell ref="CJ90:CN90"/>
    <mergeCell ref="DT60:DW60"/>
    <mergeCell ref="DD138:DH138"/>
    <mergeCell ref="DD132:DH132"/>
    <mergeCell ref="K66:M66"/>
    <mergeCell ref="DJ57:DM57"/>
    <mergeCell ref="CP36:CS36"/>
    <mergeCell ref="DD51:DH51"/>
    <mergeCell ref="H30:J30"/>
    <mergeCell ref="K74:M74"/>
    <mergeCell ref="CF22:CI22"/>
    <mergeCell ref="DN41:DR41"/>
    <mergeCell ref="L111:L112"/>
    <mergeCell ref="N110:P110"/>
    <mergeCell ref="DJ58:DM58"/>
    <mergeCell ref="DJ52:DM52"/>
    <mergeCell ref="CP31:CS31"/>
    <mergeCell ref="H31:J31"/>
    <mergeCell ref="DT49:DW49"/>
    <mergeCell ref="CZ28:DC28"/>
    <mergeCell ref="H58:J58"/>
    <mergeCell ref="W68:CC69"/>
    <mergeCell ref="DJ60:DM60"/>
    <mergeCell ref="DT42:DW42"/>
    <mergeCell ref="CJ12:CN12"/>
    <mergeCell ref="DT44:DW44"/>
    <mergeCell ref="CF29:CI29"/>
    <mergeCell ref="CJ14:CN14"/>
    <mergeCell ref="DD62:DH62"/>
    <mergeCell ref="E46:G46"/>
    <mergeCell ref="DJ55:DM55"/>
    <mergeCell ref="DN59:DR59"/>
    <mergeCell ref="B90:D93"/>
    <mergeCell ref="CZ79:DC79"/>
    <mergeCell ref="CZ54:DC54"/>
    <mergeCell ref="DJ70:DM70"/>
    <mergeCell ref="DX85:EB85"/>
    <mergeCell ref="DD64:DH64"/>
    <mergeCell ref="DJ80:DM80"/>
    <mergeCell ref="CZ81:DC81"/>
    <mergeCell ref="DT129:DW129"/>
    <mergeCell ref="CZ56:DC56"/>
    <mergeCell ref="H42:J42"/>
    <mergeCell ref="T63:V66"/>
    <mergeCell ref="DN54:DR54"/>
    <mergeCell ref="CJ38:CN38"/>
    <mergeCell ref="DJ71:DM71"/>
    <mergeCell ref="DT131:DW131"/>
    <mergeCell ref="E43:G43"/>
    <mergeCell ref="DN81:DR81"/>
    <mergeCell ref="CJ40:CN40"/>
    <mergeCell ref="CT62:CX62"/>
    <mergeCell ref="E129:G129"/>
    <mergeCell ref="CZ76:DC76"/>
    <mergeCell ref="CF84:CI84"/>
    <mergeCell ref="T94:V97"/>
    <mergeCell ref="CP75:CS75"/>
    <mergeCell ref="DN112:DR112"/>
    <mergeCell ref="CT91:CX91"/>
    <mergeCell ref="DT126:DW126"/>
    <mergeCell ref="DD82:DH82"/>
    <mergeCell ref="K138:M138"/>
    <mergeCell ref="CZ107:DC107"/>
    <mergeCell ref="CF86:CI86"/>
    <mergeCell ref="CT57:CX57"/>
    <mergeCell ref="H129:J129"/>
    <mergeCell ref="CT93:CX93"/>
    <mergeCell ref="DD75:DH75"/>
    <mergeCell ref="CP70:CS70"/>
    <mergeCell ref="DT113:DW113"/>
    <mergeCell ref="CZ92:DC92"/>
    <mergeCell ref="DN107:DR107"/>
    <mergeCell ref="CT86:CX86"/>
    <mergeCell ref="H70:J70"/>
    <mergeCell ref="E68:G69"/>
    <mergeCell ref="CZ102:DC102"/>
    <mergeCell ref="CT117:CX117"/>
    <mergeCell ref="E113:G113"/>
    <mergeCell ref="B47:D50"/>
    <mergeCell ref="CJ84:CN84"/>
    <mergeCell ref="CT119:CX119"/>
    <mergeCell ref="CT75:CX75"/>
    <mergeCell ref="N27:P27"/>
    <mergeCell ref="CF70:CI70"/>
    <mergeCell ref="CJ86:CN86"/>
    <mergeCell ref="CJ80:CN80"/>
    <mergeCell ref="DN125:DR125"/>
    <mergeCell ref="CP129:CS129"/>
    <mergeCell ref="CZ120:DC120"/>
    <mergeCell ref="CF99:CI99"/>
    <mergeCell ref="DN127:DR127"/>
    <mergeCell ref="CP131:CS131"/>
    <mergeCell ref="L107:L108"/>
    <mergeCell ref="DX28:EB28"/>
    <mergeCell ref="DJ23:DM23"/>
    <mergeCell ref="DN39:DR39"/>
    <mergeCell ref="I91:I92"/>
    <mergeCell ref="CJ112:CN112"/>
    <mergeCell ref="CT130:CX130"/>
    <mergeCell ref="N38:P38"/>
    <mergeCell ref="CJ141:CN141"/>
    <mergeCell ref="DT40:DW40"/>
    <mergeCell ref="CT132:CX132"/>
    <mergeCell ref="DT76:DW76"/>
    <mergeCell ref="DJ51:DM51"/>
    <mergeCell ref="B86:D89"/>
    <mergeCell ref="CZ50:DC50"/>
    <mergeCell ref="DD35:DH35"/>
    <mergeCell ref="CP55:CS55"/>
    <mergeCell ref="CZ52:DC52"/>
    <mergeCell ref="CF31:CI31"/>
    <mergeCell ref="DN50:DR50"/>
    <mergeCell ref="I119:I120"/>
    <mergeCell ref="CT25:CX25"/>
    <mergeCell ref="CZ45:DC45"/>
    <mergeCell ref="DT102:DW102"/>
    <mergeCell ref="E39:G39"/>
    <mergeCell ref="Q35:S38"/>
    <mergeCell ref="CJ36:CN36"/>
    <mergeCell ref="Q136:S136"/>
    <mergeCell ref="CJ125:CN125"/>
    <mergeCell ref="DT95:DW95"/>
    <mergeCell ref="CZ47:DC47"/>
    <mergeCell ref="CF26:CI26"/>
    <mergeCell ref="N93:P93"/>
    <mergeCell ref="B114:D117"/>
    <mergeCell ref="CJ127:CN127"/>
    <mergeCell ref="DT97:DW97"/>
    <mergeCell ref="CF57:CI57"/>
    <mergeCell ref="CT28:CX28"/>
    <mergeCell ref="CP73:CS73"/>
    <mergeCell ref="CF23:CI23"/>
    <mergeCell ref="H66:J66"/>
    <mergeCell ref="CZ63:DC63"/>
    <mergeCell ref="DJ95:DM95"/>
    <mergeCell ref="CP74:CS74"/>
    <mergeCell ref="DJ89:DM89"/>
    <mergeCell ref="B130:D133"/>
    <mergeCell ref="DD104:DH104"/>
    <mergeCell ref="DJ97:DM97"/>
    <mergeCell ref="DJ124:DM124"/>
    <mergeCell ref="H97:J97"/>
    <mergeCell ref="T118:V121"/>
    <mergeCell ref="DT115:DW115"/>
    <mergeCell ref="E58:G58"/>
    <mergeCell ref="CJ49:CN49"/>
    <mergeCell ref="CZ91:DC91"/>
    <mergeCell ref="DJ126:DM126"/>
    <mergeCell ref="BW139:BY139"/>
    <mergeCell ref="DD99:DH99"/>
    <mergeCell ref="N106:P106"/>
    <mergeCell ref="DT141:DW141"/>
    <mergeCell ref="Q74:S77"/>
    <mergeCell ref="CZ116:DC116"/>
    <mergeCell ref="CF95:CI95"/>
    <mergeCell ref="CT110:CX110"/>
    <mergeCell ref="Q110:S113"/>
    <mergeCell ref="DD101:DH101"/>
    <mergeCell ref="CP102:CS102"/>
    <mergeCell ref="CZ118:DC118"/>
    <mergeCell ref="CF97:CI97"/>
    <mergeCell ref="E78:G78"/>
    <mergeCell ref="E114:G114"/>
    <mergeCell ref="CZ117:DC117"/>
    <mergeCell ref="CF96:CI96"/>
    <mergeCell ref="DJ108:DM108"/>
    <mergeCell ref="CP87:CS87"/>
    <mergeCell ref="E86:G86"/>
    <mergeCell ref="I56:I57"/>
    <mergeCell ref="H27:J27"/>
    <mergeCell ref="CZ119:DC119"/>
    <mergeCell ref="N34:P34"/>
    <mergeCell ref="O71:O72"/>
    <mergeCell ref="CT128:CX128"/>
    <mergeCell ref="CF123:CI123"/>
    <mergeCell ref="CP138:CS138"/>
    <mergeCell ref="CP113:CS113"/>
    <mergeCell ref="CF136:CN137"/>
    <mergeCell ref="CZ139:DC139"/>
    <mergeCell ref="CP140:CS140"/>
    <mergeCell ref="CZ130:DC130"/>
    <mergeCell ref="N62:P62"/>
    <mergeCell ref="I75:I76"/>
    <mergeCell ref="CJ121:CN121"/>
    <mergeCell ref="DN20:DR20"/>
    <mergeCell ref="DT93:DW93"/>
    <mergeCell ref="CP44:CS44"/>
    <mergeCell ref="CF55:CI55"/>
    <mergeCell ref="DN15:DR15"/>
    <mergeCell ref="CP37:CS37"/>
    <mergeCell ref="W35:CC38"/>
    <mergeCell ref="CT53:CX53"/>
    <mergeCell ref="DD44:DH44"/>
    <mergeCell ref="CF48:CI48"/>
    <mergeCell ref="CT55:CX55"/>
    <mergeCell ref="E23:G23"/>
    <mergeCell ref="F87:F88"/>
    <mergeCell ref="CF37:CI37"/>
    <mergeCell ref="DN33:DR33"/>
    <mergeCell ref="N102:P102"/>
    <mergeCell ref="DX65:EB65"/>
    <mergeCell ref="CF66:CI66"/>
    <mergeCell ref="O24:O25"/>
    <mergeCell ref="O16:O17"/>
    <mergeCell ref="K68:M69"/>
    <mergeCell ref="CZ89:DC89"/>
    <mergeCell ref="DN87:DR87"/>
    <mergeCell ref="E110:G110"/>
    <mergeCell ref="CZ82:DC82"/>
    <mergeCell ref="DN89:DR89"/>
    <mergeCell ref="H106:J106"/>
    <mergeCell ref="CF119:CI119"/>
    <mergeCell ref="CP109:CS109"/>
    <mergeCell ref="DX78:EB78"/>
    <mergeCell ref="H130:J130"/>
    <mergeCell ref="CT94:CX94"/>
    <mergeCell ref="E94:G94"/>
    <mergeCell ref="K122:M122"/>
    <mergeCell ref="F44:F45"/>
    <mergeCell ref="CP111:CS111"/>
    <mergeCell ref="DX80:EB80"/>
    <mergeCell ref="CF122:CI122"/>
    <mergeCell ref="E89:G89"/>
    <mergeCell ref="DN105:DR105"/>
    <mergeCell ref="CF138:CI138"/>
    <mergeCell ref="CF132:CI132"/>
    <mergeCell ref="N55:P55"/>
    <mergeCell ref="E121:G121"/>
    <mergeCell ref="Y5:AY8"/>
    <mergeCell ref="O119:O120"/>
    <mergeCell ref="CF133:CI133"/>
    <mergeCell ref="I99:I100"/>
    <mergeCell ref="DT20:DW20"/>
    <mergeCell ref="F83:F84"/>
    <mergeCell ref="DD13:DH13"/>
    <mergeCell ref="DN29:DR29"/>
    <mergeCell ref="DT22:DW22"/>
    <mergeCell ref="N73:P73"/>
    <mergeCell ref="DD15:DH15"/>
    <mergeCell ref="DX30:EB30"/>
    <mergeCell ref="DN31:DR31"/>
    <mergeCell ref="DN24:DR24"/>
    <mergeCell ref="DX21:EB21"/>
    <mergeCell ref="DT46:DW46"/>
    <mergeCell ref="DJ16:DM16"/>
    <mergeCell ref="DN32:DR32"/>
    <mergeCell ref="E47:G47"/>
    <mergeCell ref="DX23:EB23"/>
    <mergeCell ref="CZ27:DC27"/>
    <mergeCell ref="F111:F112"/>
    <mergeCell ref="DJ18:DM18"/>
    <mergeCell ref="DN57:DR57"/>
    <mergeCell ref="E63:G63"/>
    <mergeCell ref="K85:M85"/>
    <mergeCell ref="H46:J46"/>
    <mergeCell ref="DN58:DR58"/>
    <mergeCell ref="DN52:DR52"/>
    <mergeCell ref="DX74:EB74"/>
    <mergeCell ref="DX49:EB49"/>
    <mergeCell ref="L32:L33"/>
    <mergeCell ref="BW136:CC137"/>
    <mergeCell ref="DX76:EB76"/>
    <mergeCell ref="W63:CC66"/>
    <mergeCell ref="DT59:DW59"/>
    <mergeCell ref="T98:V101"/>
    <mergeCell ref="DT89:DW89"/>
    <mergeCell ref="CJ29:CN29"/>
    <mergeCell ref="O64:O65"/>
    <mergeCell ref="DT61:DW61"/>
    <mergeCell ref="DX100:EB100"/>
    <mergeCell ref="DD79:DH79"/>
    <mergeCell ref="CJ31:CN31"/>
    <mergeCell ref="DN70:DR70"/>
    <mergeCell ref="Q82:S85"/>
    <mergeCell ref="CT21:CX21"/>
    <mergeCell ref="DX102:EB102"/>
    <mergeCell ref="DD81:DH81"/>
    <mergeCell ref="E122:G122"/>
    <mergeCell ref="K15:M15"/>
    <mergeCell ref="L52:L53"/>
    <mergeCell ref="DN96:DR96"/>
    <mergeCell ref="DX131:EB131"/>
    <mergeCell ref="DJ88:DM88"/>
    <mergeCell ref="W118:CC121"/>
    <mergeCell ref="DJ90:DM90"/>
    <mergeCell ref="B31:D34"/>
    <mergeCell ref="DX113:EB113"/>
    <mergeCell ref="DD92:DH92"/>
    <mergeCell ref="F56:F57"/>
    <mergeCell ref="DN124:DR124"/>
    <mergeCell ref="CT103:CX103"/>
    <mergeCell ref="DX115:EB115"/>
    <mergeCell ref="I64:I65"/>
    <mergeCell ref="DN126:DR126"/>
    <mergeCell ref="E130:G130"/>
    <mergeCell ref="DJ12:DM12"/>
    <mergeCell ref="K30:M30"/>
    <mergeCell ref="F107:F108"/>
    <mergeCell ref="DJ14:DM14"/>
    <mergeCell ref="CT92:CX92"/>
    <mergeCell ref="DJ13:DM13"/>
    <mergeCell ref="T43:V46"/>
    <mergeCell ref="DX14:EB14"/>
    <mergeCell ref="CJ96:CN96"/>
    <mergeCell ref="DJ38:DM38"/>
    <mergeCell ref="CP17:CS17"/>
    <mergeCell ref="H11:J11"/>
    <mergeCell ref="DX45:EB45"/>
    <mergeCell ref="DD24:DH24"/>
    <mergeCell ref="DD18:DH18"/>
    <mergeCell ref="DJ40:DM40"/>
    <mergeCell ref="CP19:CS19"/>
    <mergeCell ref="H19:J19"/>
    <mergeCell ref="CZ41:DC41"/>
    <mergeCell ref="H9:J10"/>
    <mergeCell ref="DX47:EB47"/>
    <mergeCell ref="DD26:DH26"/>
    <mergeCell ref="CZ51:DC51"/>
    <mergeCell ref="DN139:DR139"/>
    <mergeCell ref="CZ34:DC34"/>
    <mergeCell ref="L119:L120"/>
    <mergeCell ref="DT91:DW91"/>
    <mergeCell ref="DX40:EB40"/>
    <mergeCell ref="CT60:CX60"/>
    <mergeCell ref="DT57:DW57"/>
    <mergeCell ref="DT84:DW84"/>
    <mergeCell ref="DD50:DH50"/>
    <mergeCell ref="DN66:DR66"/>
    <mergeCell ref="DT86:DW86"/>
    <mergeCell ref="CF46:CI46"/>
    <mergeCell ref="DD16:DH16"/>
    <mergeCell ref="CT17:CX17"/>
    <mergeCell ref="DX98:EB98"/>
    <mergeCell ref="DD77:DH77"/>
    <mergeCell ref="DD52:DH52"/>
    <mergeCell ref="CT11:CX11"/>
    <mergeCell ref="CF12:CI12"/>
    <mergeCell ref="K94:M94"/>
    <mergeCell ref="CT19:CX19"/>
    <mergeCell ref="CF14:CI14"/>
    <mergeCell ref="CZ62:DC62"/>
    <mergeCell ref="CF41:CI41"/>
    <mergeCell ref="DJ84:DM84"/>
    <mergeCell ref="K102:M102"/>
    <mergeCell ref="DX93:EB93"/>
    <mergeCell ref="BW141:BY141"/>
    <mergeCell ref="DT75:DW75"/>
    <mergeCell ref="CJ53:CN53"/>
    <mergeCell ref="CT44:CX44"/>
    <mergeCell ref="CZ64:DC64"/>
    <mergeCell ref="DJ86:DM86"/>
    <mergeCell ref="H68:J69"/>
    <mergeCell ref="CJ55:CN55"/>
    <mergeCell ref="DN94:DR94"/>
    <mergeCell ref="CT73:CX73"/>
    <mergeCell ref="K97:M97"/>
    <mergeCell ref="DT70:DW70"/>
    <mergeCell ref="CT45:CX45"/>
    <mergeCell ref="DD88:DH88"/>
    <mergeCell ref="DD63:DH63"/>
    <mergeCell ref="DJ81:DM81"/>
    <mergeCell ref="CT47:CX47"/>
    <mergeCell ref="DN95:DR95"/>
    <mergeCell ref="CT74:CX74"/>
    <mergeCell ref="DX117:EB117"/>
    <mergeCell ref="DD96:DH96"/>
    <mergeCell ref="DX111:EB111"/>
    <mergeCell ref="DD90:DH90"/>
    <mergeCell ref="DJ112:DM112"/>
    <mergeCell ref="CP91:CS91"/>
    <mergeCell ref="K113:M113"/>
    <mergeCell ref="DN122:DR122"/>
    <mergeCell ref="DT130:DW130"/>
    <mergeCell ref="DN97:DR97"/>
    <mergeCell ref="DJ105:DM105"/>
    <mergeCell ref="DT43:DW43"/>
    <mergeCell ref="CP93:CS93"/>
    <mergeCell ref="DJ141:DM141"/>
    <mergeCell ref="CZ75:DC75"/>
    <mergeCell ref="DX112:EB112"/>
    <mergeCell ref="DD91:DH91"/>
    <mergeCell ref="DT132:DW132"/>
    <mergeCell ref="H114:J114"/>
    <mergeCell ref="DN82:DR82"/>
    <mergeCell ref="CJ66:CN66"/>
    <mergeCell ref="DJ107:DM107"/>
    <mergeCell ref="DX141:EB141"/>
    <mergeCell ref="B55:D58"/>
    <mergeCell ref="DD116:DH116"/>
    <mergeCell ref="L87:L88"/>
    <mergeCell ref="DD118:DH118"/>
    <mergeCell ref="CP13:CS13"/>
    <mergeCell ref="DN133:DR133"/>
    <mergeCell ref="DN108:DR108"/>
    <mergeCell ref="DX130:EB130"/>
    <mergeCell ref="DJ36:DM36"/>
    <mergeCell ref="CP15:CS15"/>
    <mergeCell ref="H15:J15"/>
    <mergeCell ref="DJ125:DM125"/>
    <mergeCell ref="I79:I80"/>
    <mergeCell ref="DJ127:DM127"/>
    <mergeCell ref="DX125:EB125"/>
    <mergeCell ref="DT28:DW28"/>
    <mergeCell ref="CF140:CI140"/>
    <mergeCell ref="DN37:DR37"/>
    <mergeCell ref="CT138:CX138"/>
    <mergeCell ref="B74:D77"/>
    <mergeCell ref="H39:J39"/>
    <mergeCell ref="Q15:S18"/>
    <mergeCell ref="K63:M63"/>
    <mergeCell ref="N46:P46"/>
    <mergeCell ref="DD48:DH48"/>
    <mergeCell ref="CT140:CX140"/>
    <mergeCell ref="CP43:CS43"/>
    <mergeCell ref="CZ58:DC58"/>
    <mergeCell ref="CP34:CS34"/>
    <mergeCell ref="DJ49:DM49"/>
    <mergeCell ref="CP28:CS28"/>
    <mergeCell ref="DD43:DH43"/>
    <mergeCell ref="E27:G27"/>
    <mergeCell ref="CJ138:CN138"/>
    <mergeCell ref="CZ60:DC60"/>
    <mergeCell ref="CF39:CI39"/>
    <mergeCell ref="B94:D97"/>
    <mergeCell ref="T78:V81"/>
    <mergeCell ref="BZ141:CC141"/>
    <mergeCell ref="DJ50:DM50"/>
    <mergeCell ref="K93:M93"/>
    <mergeCell ref="DT110:DW110"/>
    <mergeCell ref="Q43:S46"/>
    <mergeCell ref="H23:J23"/>
    <mergeCell ref="CP25:CS25"/>
    <mergeCell ref="CT41:CX41"/>
    <mergeCell ref="CJ133:CN133"/>
    <mergeCell ref="DD59:DH59"/>
    <mergeCell ref="CJ11:CN11"/>
    <mergeCell ref="CP54:CS54"/>
    <mergeCell ref="H54:J54"/>
    <mergeCell ref="DD61:DH61"/>
    <mergeCell ref="CF65:CI65"/>
    <mergeCell ref="B9:D10"/>
    <mergeCell ref="K126:M126"/>
    <mergeCell ref="CP62:CS62"/>
    <mergeCell ref="CF21:CI21"/>
    <mergeCell ref="CP56:CS56"/>
    <mergeCell ref="CZ78:DC78"/>
    <mergeCell ref="CT72:CX72"/>
    <mergeCell ref="E38:G38"/>
    <mergeCell ref="DT92:DW92"/>
    <mergeCell ref="CZ71:DC71"/>
    <mergeCell ref="H110:J110"/>
    <mergeCell ref="DT128:DW128"/>
    <mergeCell ref="I16:I17"/>
    <mergeCell ref="CJ37:CN37"/>
    <mergeCell ref="DJ103:DM103"/>
    <mergeCell ref="CZ73:DC73"/>
    <mergeCell ref="DT121:DW121"/>
    <mergeCell ref="CT88:CX88"/>
    <mergeCell ref="T126:V129"/>
    <mergeCell ref="DT123:DW123"/>
    <mergeCell ref="CZ104:DC104"/>
    <mergeCell ref="CF83:CI83"/>
    <mergeCell ref="CT54:CX54"/>
    <mergeCell ref="DD114:DH114"/>
    <mergeCell ref="CJ93:CN93"/>
    <mergeCell ref="B11:D14"/>
    <mergeCell ref="CF49:CI49"/>
    <mergeCell ref="K137:M137"/>
    <mergeCell ref="CJ65:CN65"/>
    <mergeCell ref="CT56:CX56"/>
    <mergeCell ref="DN104:DR104"/>
    <mergeCell ref="CT83:CX83"/>
    <mergeCell ref="CZ105:DC105"/>
    <mergeCell ref="CZ99:DC99"/>
    <mergeCell ref="CF78:CI78"/>
    <mergeCell ref="DJ121:DM121"/>
    <mergeCell ref="K139:M139"/>
    <mergeCell ref="CP100:CS100"/>
    <mergeCell ref="W98:CC101"/>
    <mergeCell ref="I44:I45"/>
    <mergeCell ref="DN106:DR106"/>
    <mergeCell ref="CT85:CX85"/>
    <mergeCell ref="CP110:CS110"/>
    <mergeCell ref="CZ101:DC101"/>
    <mergeCell ref="CF80:CI80"/>
    <mergeCell ref="DJ123:DM123"/>
    <mergeCell ref="W5:X8"/>
    <mergeCell ref="N18:P18"/>
    <mergeCell ref="F36:F37"/>
    <mergeCell ref="CT109:CX109"/>
    <mergeCell ref="CJ83:CN83"/>
    <mergeCell ref="DT53:DW53"/>
    <mergeCell ref="DJ118:DM118"/>
    <mergeCell ref="CT111:CX111"/>
    <mergeCell ref="DT55:DW55"/>
    <mergeCell ref="DD133:DH133"/>
    <mergeCell ref="DD127:DH127"/>
    <mergeCell ref="CP128:CS128"/>
    <mergeCell ref="CJ78:CN78"/>
    <mergeCell ref="DD128:DH128"/>
    <mergeCell ref="K62:M62"/>
    <mergeCell ref="CJ109:CN109"/>
    <mergeCell ref="CP123:CS123"/>
    <mergeCell ref="L99:L100"/>
    <mergeCell ref="CJ104:CN104"/>
    <mergeCell ref="CJ140:CN140"/>
    <mergeCell ref="CP9:CX10"/>
    <mergeCell ref="CJ106:CN106"/>
    <mergeCell ref="CP58:CS58"/>
    <mergeCell ref="CP52:CS52"/>
    <mergeCell ref="E34:G34"/>
    <mergeCell ref="DX20:EB20"/>
    <mergeCell ref="CZ42:DC42"/>
    <mergeCell ref="H81:J81"/>
    <mergeCell ref="E11:G11"/>
    <mergeCell ref="CP53:CS53"/>
    <mergeCell ref="W51:CC54"/>
    <mergeCell ref="H47:J47"/>
    <mergeCell ref="CZ44:DC44"/>
    <mergeCell ref="I111:I112"/>
    <mergeCell ref="CJ35:CN35"/>
    <mergeCell ref="N90:P90"/>
    <mergeCell ref="DT94:DW94"/>
    <mergeCell ref="CF45:CI45"/>
    <mergeCell ref="CP63:CS63"/>
    <mergeCell ref="CJ30:CN30"/>
    <mergeCell ref="E62:G62"/>
    <mergeCell ref="N85:P85"/>
    <mergeCell ref="H63:J63"/>
    <mergeCell ref="CZ95:DC95"/>
    <mergeCell ref="CF74:CI74"/>
    <mergeCell ref="CP71:CS71"/>
    <mergeCell ref="CZ97:DC97"/>
    <mergeCell ref="CF76:CI76"/>
    <mergeCell ref="Q114:S117"/>
    <mergeCell ref="H94:J94"/>
    <mergeCell ref="Q70:S73"/>
    <mergeCell ref="DJ87:DM87"/>
    <mergeCell ref="F32:F33"/>
    <mergeCell ref="CZ98:DC98"/>
    <mergeCell ref="DX91:EB91"/>
    <mergeCell ref="CT107:CX107"/>
    <mergeCell ref="CF102:CI102"/>
    <mergeCell ref="N15:P15"/>
    <mergeCell ref="CP124:CS124"/>
    <mergeCell ref="W122:CC125"/>
    <mergeCell ref="CF94:CI94"/>
    <mergeCell ref="O52:O53"/>
    <mergeCell ref="O79:O80"/>
    <mergeCell ref="CP126:CS126"/>
    <mergeCell ref="CZ108:DC108"/>
    <mergeCell ref="CZ136:DH137"/>
    <mergeCell ref="CJ46:CN46"/>
    <mergeCell ref="W82:CC85"/>
    <mergeCell ref="F60:F61"/>
    <mergeCell ref="CT125:CX125"/>
    <mergeCell ref="CJ100:CN100"/>
    <mergeCell ref="CF120:CI120"/>
    <mergeCell ref="CJ102:CN102"/>
    <mergeCell ref="CT120:CX120"/>
    <mergeCell ref="CF121:CI121"/>
    <mergeCell ref="CF115:CI115"/>
    <mergeCell ref="K27:M27"/>
    <mergeCell ref="CJ131:CN131"/>
    <mergeCell ref="N30:P30"/>
    <mergeCell ref="CP139:CS139"/>
    <mergeCell ref="F71:F72"/>
    <mergeCell ref="I107:I108"/>
    <mergeCell ref="Q23:S26"/>
    <mergeCell ref="DN12:DR12"/>
    <mergeCell ref="DX34:EB34"/>
    <mergeCell ref="N81:P81"/>
    <mergeCell ref="K11:M11"/>
    <mergeCell ref="CJ115:CN115"/>
    <mergeCell ref="DJ29:DM29"/>
    <mergeCell ref="K47:M47"/>
    <mergeCell ref="DN14:DR14"/>
    <mergeCell ref="DX36:EB36"/>
    <mergeCell ref="K9:M10"/>
    <mergeCell ref="DJ31:DM31"/>
    <mergeCell ref="CF47:CI47"/>
    <mergeCell ref="DJ24:DM24"/>
    <mergeCell ref="DT21:DW21"/>
    <mergeCell ref="DJ32:DM32"/>
    <mergeCell ref="T106:V109"/>
    <mergeCell ref="DD41:DH41"/>
    <mergeCell ref="N101:P101"/>
    <mergeCell ref="DJ114:DM114"/>
    <mergeCell ref="DD34:DH34"/>
    <mergeCell ref="CP89:CS89"/>
    <mergeCell ref="DN25:DR25"/>
    <mergeCell ref="N94:P94"/>
    <mergeCell ref="DX57:EB57"/>
    <mergeCell ref="Q98:S101"/>
    <mergeCell ref="CJ17:CN17"/>
    <mergeCell ref="H118:J118"/>
    <mergeCell ref="W78:CC81"/>
    <mergeCell ref="E73:G73"/>
    <mergeCell ref="N125:P125"/>
    <mergeCell ref="DT103:DW103"/>
    <mergeCell ref="G138:J138"/>
    <mergeCell ref="E74:G74"/>
    <mergeCell ref="CT34:CX34"/>
    <mergeCell ref="DD25:DH25"/>
    <mergeCell ref="K117:M117"/>
    <mergeCell ref="DN84:DR84"/>
    <mergeCell ref="O103:O104"/>
    <mergeCell ref="DX75:EB75"/>
    <mergeCell ref="CF117:CI117"/>
    <mergeCell ref="I24:I25"/>
    <mergeCell ref="CF111:CI111"/>
    <mergeCell ref="Q126:S129"/>
    <mergeCell ref="DN86:DR86"/>
    <mergeCell ref="CP108:CS108"/>
    <mergeCell ref="W106:CC109"/>
    <mergeCell ref="DN80:DR80"/>
    <mergeCell ref="L60:L61"/>
    <mergeCell ref="DX70:EB70"/>
    <mergeCell ref="B19:D22"/>
    <mergeCell ref="DX128:EB128"/>
    <mergeCell ref="O87:O88"/>
    <mergeCell ref="DT68:EB69"/>
    <mergeCell ref="K43:M43"/>
    <mergeCell ref="DX129:EB129"/>
    <mergeCell ref="CF130:CI130"/>
    <mergeCell ref="L79:L80"/>
    <mergeCell ref="CJ85:CN85"/>
    <mergeCell ref="DT17:DW17"/>
    <mergeCell ref="DT11:DW11"/>
    <mergeCell ref="DT27:DW27"/>
    <mergeCell ref="DJ22:DM22"/>
    <mergeCell ref="DT19:DW19"/>
    <mergeCell ref="N70:P70"/>
    <mergeCell ref="N63:P63"/>
    <mergeCell ref="CP32:CS32"/>
    <mergeCell ref="K54:M54"/>
    <mergeCell ref="DN21:DR21"/>
    <mergeCell ref="DX53:EB53"/>
    <mergeCell ref="DD32:DH32"/>
    <mergeCell ref="CJ13:CN13"/>
    <mergeCell ref="DN23:DR23"/>
    <mergeCell ref="CP27:CS27"/>
    <mergeCell ref="DT45:DW45"/>
    <mergeCell ref="CZ24:DC24"/>
    <mergeCell ref="CZ18:DC18"/>
    <mergeCell ref="DX55:EB55"/>
    <mergeCell ref="DT47:DW47"/>
    <mergeCell ref="CZ26:DC26"/>
    <mergeCell ref="DT74:DW74"/>
    <mergeCell ref="CP68:CX69"/>
    <mergeCell ref="G136:J136"/>
    <mergeCell ref="DD58:DH58"/>
    <mergeCell ref="K82:M82"/>
    <mergeCell ref="DN49:DR49"/>
    <mergeCell ref="DX71:EB71"/>
    <mergeCell ref="N118:P118"/>
    <mergeCell ref="DJ66:DM66"/>
    <mergeCell ref="I20:I21"/>
    <mergeCell ref="DD60:DH60"/>
    <mergeCell ref="E9:G10"/>
    <mergeCell ref="N126:P126"/>
    <mergeCell ref="DX73:EB73"/>
    <mergeCell ref="CZ77:DC77"/>
    <mergeCell ref="H38:J38"/>
    <mergeCell ref="T59:V62"/>
    <mergeCell ref="DX66:EB66"/>
    <mergeCell ref="E126:G126"/>
    <mergeCell ref="K110:M110"/>
    <mergeCell ref="DJ61:DM61"/>
    <mergeCell ref="L16:L17"/>
    <mergeCell ref="DT83:DW83"/>
    <mergeCell ref="DN77:DR77"/>
    <mergeCell ref="B15:D18"/>
    <mergeCell ref="CJ28:CN28"/>
    <mergeCell ref="F40:F41"/>
    <mergeCell ref="T90:V93"/>
    <mergeCell ref="DD42:DH42"/>
    <mergeCell ref="CJ21:CN21"/>
    <mergeCell ref="DD78:DH78"/>
    <mergeCell ref="DJ94:DM94"/>
    <mergeCell ref="DN110:DR110"/>
    <mergeCell ref="O32:O33"/>
    <mergeCell ref="DX92:EB92"/>
    <mergeCell ref="DD71:DH71"/>
    <mergeCell ref="CJ23:CN23"/>
    <mergeCell ref="K136:M136"/>
    <mergeCell ref="K14:M14"/>
    <mergeCell ref="CZ88:DC88"/>
    <mergeCell ref="DN103:DR103"/>
    <mergeCell ref="DX94:EB94"/>
    <mergeCell ref="DD73:DH73"/>
    <mergeCell ref="CJ54:CN54"/>
    <mergeCell ref="CZ96:DC96"/>
    <mergeCell ref="L44:L45"/>
    <mergeCell ref="CZ90:DC90"/>
    <mergeCell ref="DT138:DW138"/>
    <mergeCell ref="E109:G109"/>
    <mergeCell ref="CJ81:CN81"/>
    <mergeCell ref="B43:D46"/>
    <mergeCell ref="DT140:DW140"/>
    <mergeCell ref="CT71:CX71"/>
    <mergeCell ref="CJ110:CN110"/>
    <mergeCell ref="CJ76:CN76"/>
    <mergeCell ref="DN121:DR121"/>
    <mergeCell ref="CT100:CX100"/>
    <mergeCell ref="DJ138:DM138"/>
    <mergeCell ref="L131:L132"/>
    <mergeCell ref="DN123:DR123"/>
    <mergeCell ref="CT102:CX102"/>
    <mergeCell ref="L103:L104"/>
    <mergeCell ref="DX138:EB138"/>
    <mergeCell ref="DT41:DW41"/>
    <mergeCell ref="CZ20:DC20"/>
    <mergeCell ref="DJ133:DM133"/>
    <mergeCell ref="DX26:EB26"/>
    <mergeCell ref="DJ11:DM11"/>
    <mergeCell ref="O127:O128"/>
    <mergeCell ref="DN118:DR118"/>
    <mergeCell ref="DX140:EB140"/>
    <mergeCell ref="CZ22:DC22"/>
    <mergeCell ref="DT36:DW36"/>
    <mergeCell ref="DT72:DW72"/>
    <mergeCell ref="K78:M78"/>
    <mergeCell ref="DN45:DR45"/>
    <mergeCell ref="L115:L116"/>
    <mergeCell ref="DX42:EB42"/>
    <mergeCell ref="CZ46:DC46"/>
    <mergeCell ref="DJ37:DM37"/>
    <mergeCell ref="CP16:CS16"/>
    <mergeCell ref="DN53:DR53"/>
    <mergeCell ref="DN47:DR47"/>
    <mergeCell ref="DD139:DH139"/>
    <mergeCell ref="CZ48:DC48"/>
    <mergeCell ref="CF27:CI27"/>
    <mergeCell ref="H34:J34"/>
    <mergeCell ref="DN46:DR46"/>
    <mergeCell ref="CP18:CS18"/>
    <mergeCell ref="DX37:EB37"/>
    <mergeCell ref="K81:M81"/>
    <mergeCell ref="CP11:CS11"/>
    <mergeCell ref="DT54:DW54"/>
    <mergeCell ref="CZ33:DC33"/>
    <mergeCell ref="DN48:DR48"/>
    <mergeCell ref="DJ93:DM93"/>
    <mergeCell ref="CT27:CX27"/>
    <mergeCell ref="CZ43:DC43"/>
    <mergeCell ref="DJ65:DM65"/>
    <mergeCell ref="DT56:DW56"/>
    <mergeCell ref="T86:V89"/>
    <mergeCell ref="CT58:CX58"/>
    <mergeCell ref="B110:D113"/>
    <mergeCell ref="DT85:DW85"/>
    <mergeCell ref="CJ19:CN19"/>
    <mergeCell ref="H62:J62"/>
    <mergeCell ref="K101:M101"/>
    <mergeCell ref="CF11:CI11"/>
    <mergeCell ref="CZ59:DC59"/>
    <mergeCell ref="CT26:CX26"/>
    <mergeCell ref="DX90:EB90"/>
    <mergeCell ref="BW138:BY138"/>
    <mergeCell ref="CJ50:CN50"/>
    <mergeCell ref="DX126:EB126"/>
    <mergeCell ref="DT82:DW82"/>
    <mergeCell ref="CZ61:DC61"/>
    <mergeCell ref="DT109:DW109"/>
    <mergeCell ref="BW140:BY140"/>
    <mergeCell ref="E55:G55"/>
    <mergeCell ref="CP72:CS72"/>
    <mergeCell ref="T114:V117"/>
    <mergeCell ref="H93:J93"/>
    <mergeCell ref="DT111:DW111"/>
    <mergeCell ref="T70:V73"/>
    <mergeCell ref="DN61:DR61"/>
    <mergeCell ref="CJ45:CN45"/>
    <mergeCell ref="CT42:CX42"/>
    <mergeCell ref="DJ122:DM122"/>
  </mergeCells>
  <dataValidations count="6">
    <dataValidation sqref="H11:J11 H15:J15 H19:J19 H23:J23 H27:J27 H31:J31 H35:J35 H39:J39 H43:J43 H47:J47 H51:J51 H55:J55 H59:J59 H63:J63 H70:J70 H74:J74 H78:J78 H82:J82 H86:J86 H90:J90 H94:J94 H98:J98 H102:J102 H106:J106 H110:J110 H114:J114 H118:J118 H122:J122 H126:J126 H130:J130" showDropDown="0" showInputMessage="1" showErrorMessage="1" allowBlank="1" error="8時以前は時間外に記入してください。" type="time">
      <formula1>0.333333333333333</formula1>
      <formula2>0.708333333333333</formula2>
    </dataValidation>
    <dataValidation sqref="H14:J14 H18:J18 H22:J22 H26:J26 H30:J30 H34:J34 H38:J38 H42:J42 H46:J46 H50:J50 H54:J54 H58:J58 H62:J62 H66:J67 H73:J73 H77:J77 H81:J81 H85:J85 H89:J89 H93:J93 H97:J97 H101:J101 H105:J105 H109:J109 H113:J113 H117:J117 H121:J121 H125:J125 H129:J129 H133:J135" showDropDown="0" showInputMessage="1" showErrorMessage="1" allowBlank="1" error="17時以降は時間外に記入してください。" type="time">
      <formula1>0.333333333333333</formula1>
      <formula2>0.708333333333333</formula2>
    </dataValidation>
    <dataValidation sqref="Q67:S67 Q134:S135" showDropDown="0" showInputMessage="1" showErrorMessage="1" allowBlank="1" type="list">
      <formula1>$Q$137:$Q$139</formula1>
    </dataValidation>
    <dataValidation sqref="L20:L21 L87:L88" showDropDown="0" showInputMessage="1" showErrorMessage="1" allowBlank="1" type="custom">
      <formula1>AND(L20&gt;=$K$136,L20&lt;=$K$137)+AND(L20&gt;=$K$138,L20&lt;=$K$139)</formula1>
    </dataValidation>
    <dataValidation sqref="K11:M11 K14:M15 K18:M19 K22:M23 K26:M27 K30:M31 K34:M35 K38:M39 K42:M43 K46:M47 K50:M51 K54:M55 K58:M59 K62:M63 K66:M66 K70:M70 K73:M74 K77:M78 K81:M82 K85:M86 K89:M90 K93:M94 K97:M98 K101:M102 K105:M106 K109:M110 K113:M114 K117:M118 K121:M122 K125:M126 K129:M130 K133:M133 L79:L80" showDropDown="0" showInputMessage="1" showErrorMessage="1" allowBlank="1" error="時間外のみ記載してください。" type="custom">
      <formula1>AND(K11&gt;=$K$136,K11&lt;=$K$137)+AND(K11&gt;=$K$138,K11&lt;=$K$139)</formula1>
    </dataValidation>
    <dataValidation sqref="Q11:S66 Q70:S133" showDropDown="0" showInputMessage="1" showErrorMessage="1" allowBlank="1" type="list">
      <formula1>$Q$137:$Q$141</formula1>
    </dataValidation>
  </dataValidations>
  <pageMargins left="0.3149606299212598" right="0.1181102362204725" top="0.3149606299212598" bottom="0" header="0.1968503937007874" footer="0.1968503937007874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41"/>
  <sheetViews>
    <sheetView showZeros="0" zoomScaleNormal="100" workbookViewId="0">
      <pane xSplit="1" ySplit="3" topLeftCell="B4" activePane="bottomRight" state="frozen"/>
      <selection activeCell="E35" sqref="E35:G35 E32:G32"/>
      <selection pane="topRight" activeCell="E35" sqref="E35:G35 E32:G32"/>
      <selection pane="bottomLeft" activeCell="E35" sqref="E35:G35 E32:G32"/>
      <selection pane="bottomRight" activeCell="T28" sqref="T28:V31"/>
    </sheetView>
  </sheetViews>
  <sheetFormatPr baseColWidth="8" defaultRowHeight="18.75"/>
  <cols>
    <col width="1.625" customWidth="1" style="1" min="1" max="1"/>
    <col width="3.375" customWidth="1" style="1" min="2" max="2"/>
    <col width="1.625" customWidth="1" style="1" min="3" max="5"/>
    <col width="2.375" customWidth="1" style="1" min="6" max="6"/>
    <col width="2.125" customWidth="1" style="1" min="7" max="7"/>
    <col width="1.625" customWidth="1" style="1" min="8" max="8"/>
    <col width="2.375" customWidth="1" style="1" min="9" max="9"/>
    <col width="2.125" customWidth="1" style="1" min="10" max="10"/>
    <col width="1.625" customWidth="1" style="1" min="11" max="11"/>
    <col width="2.375" customWidth="1" style="1" min="12" max="12"/>
    <col width="2.125" customWidth="1" style="1" min="13" max="13"/>
    <col width="1.625" customWidth="1" style="1" min="14" max="14"/>
    <col width="2.375" customWidth="1" style="1" min="15" max="15"/>
    <col width="2.125" customWidth="1" style="1" min="16" max="16"/>
    <col width="1.875" customWidth="1" style="1" min="17" max="18"/>
    <col width="2.375" customWidth="1" style="1" min="19" max="19"/>
    <col width="1.875" customWidth="1" style="1" min="20" max="21"/>
    <col width="2.375" customWidth="1" style="1" min="22" max="22"/>
    <col width="1.625" customWidth="1" style="1" min="23" max="24"/>
    <col width="3.375" customWidth="1" style="1" min="25" max="25"/>
    <col width="1.125" customWidth="1" style="1" min="26" max="30"/>
    <col width="1.625" customWidth="1" style="1" min="31" max="49"/>
    <col width="3.375" customWidth="1" style="1" min="50" max="50"/>
    <col width="1.625" customWidth="1" style="1" min="51" max="64"/>
    <col width="3.375" customWidth="1" style="1" min="65" max="65"/>
    <col width="1.625" customWidth="1" style="1" min="66" max="75"/>
    <col width="3.375" customWidth="1" style="1" min="76" max="76"/>
    <col width="1.625" customWidth="1" style="1" min="77" max="78"/>
    <col width="1.75" customWidth="1" style="1" min="79" max="85"/>
    <col width="1.625" customWidth="1" style="1" min="86" max="132"/>
    <col width="4.125" customWidth="1" style="1" min="133" max="184"/>
    <col width="9" customWidth="1" style="1" min="185" max="16384"/>
  </cols>
  <sheetData>
    <row r="1" ht="9.949999999999999" customHeight="1" s="337"/>
    <row r="2" ht="14.1" customHeight="1" s="337">
      <c r="B2" s="355" t="inlineStr">
        <is>
          <t>月／日</t>
        </is>
      </c>
      <c r="C2" s="342" t="n"/>
      <c r="D2" s="356" t="n"/>
      <c r="E2" s="357" t="inlineStr">
        <is>
          <t>移 動</t>
        </is>
      </c>
      <c r="F2" s="342" t="n"/>
      <c r="G2" s="356" t="n"/>
      <c r="H2" s="358" t="inlineStr">
        <is>
          <t>作業内　(平日)</t>
        </is>
      </c>
      <c r="I2" s="342" t="n"/>
      <c r="J2" s="356" t="n"/>
      <c r="K2" s="358" t="inlineStr">
        <is>
          <t>作業外　(平日)</t>
        </is>
      </c>
      <c r="L2" s="342" t="n"/>
      <c r="M2" s="356" t="n"/>
      <c r="N2" s="357" t="inlineStr">
        <is>
          <t>休日</t>
        </is>
      </c>
      <c r="O2" s="342" t="n"/>
      <c r="P2" s="356" t="n"/>
      <c r="Q2" s="359" t="inlineStr">
        <is>
          <t>作業者</t>
        </is>
      </c>
      <c r="R2" s="342" t="n"/>
      <c r="S2" s="356" t="n"/>
      <c r="T2" s="359" t="inlineStr">
        <is>
          <t>場  所</t>
        </is>
      </c>
      <c r="U2" s="342" t="n"/>
      <c r="V2" s="356" t="n"/>
      <c r="W2" s="360" t="inlineStr">
        <is>
          <t xml:space="preserve">   作　　　　    　　業　　　    　 　内　　　  　  　　容　</t>
        </is>
      </c>
      <c r="X2" s="342" t="n"/>
      <c r="Y2" s="342" t="n"/>
      <c r="Z2" s="342" t="n"/>
      <c r="AA2" s="342" t="n"/>
      <c r="AB2" s="342" t="n"/>
      <c r="AC2" s="342" t="n"/>
      <c r="AD2" s="342" t="n"/>
      <c r="AE2" s="342" t="n"/>
      <c r="AF2" s="342" t="n"/>
      <c r="AG2" s="342" t="n"/>
      <c r="AH2" s="342" t="n"/>
      <c r="AI2" s="342" t="n"/>
      <c r="AJ2" s="342" t="n"/>
      <c r="AK2" s="342" t="n"/>
      <c r="AL2" s="342" t="n"/>
      <c r="AM2" s="342" t="n"/>
      <c r="AN2" s="342" t="n"/>
      <c r="AO2" s="342" t="n"/>
      <c r="AP2" s="342" t="n"/>
      <c r="AQ2" s="342" t="n"/>
      <c r="AR2" s="342" t="n"/>
      <c r="AS2" s="342" t="n"/>
      <c r="AT2" s="342" t="n"/>
      <c r="AU2" s="342" t="n"/>
      <c r="AV2" s="342" t="n"/>
      <c r="AW2" s="342" t="n"/>
      <c r="AX2" s="342" t="n"/>
      <c r="AY2" s="342" t="n"/>
      <c r="AZ2" s="342" t="n"/>
      <c r="BA2" s="342" t="n"/>
      <c r="BB2" s="342" t="n"/>
      <c r="BC2" s="342" t="n"/>
      <c r="BD2" s="342" t="n"/>
      <c r="BE2" s="342" t="n"/>
      <c r="BF2" s="342" t="n"/>
      <c r="BG2" s="342" t="n"/>
      <c r="BH2" s="342" t="n"/>
      <c r="BI2" s="342" t="n"/>
      <c r="BJ2" s="342" t="n"/>
      <c r="BK2" s="342" t="n"/>
      <c r="BL2" s="342" t="n"/>
      <c r="BM2" s="342" t="n"/>
      <c r="BN2" s="342" t="n"/>
      <c r="BO2" s="342" t="n"/>
      <c r="BP2" s="342" t="n"/>
      <c r="BQ2" s="342" t="n"/>
      <c r="BR2" s="342" t="n"/>
      <c r="BS2" s="342" t="n"/>
      <c r="BT2" s="342" t="n"/>
      <c r="BU2" s="342" t="n"/>
      <c r="BV2" s="342" t="n"/>
      <c r="BW2" s="342" t="n"/>
      <c r="BX2" s="342" t="n"/>
      <c r="BY2" s="342" t="n"/>
      <c r="BZ2" s="342" t="n"/>
      <c r="CA2" s="342" t="n"/>
      <c r="CB2" s="342" t="n"/>
      <c r="CC2" s="343" t="n"/>
      <c r="CF2" s="361" t="inlineStr">
        <is>
          <t>所要時間　作業者1</t>
        </is>
      </c>
      <c r="CG2" s="362" t="n"/>
      <c r="CH2" s="362" t="n"/>
      <c r="CI2" s="362" t="n"/>
      <c r="CJ2" s="362" t="n"/>
      <c r="CK2" s="362" t="n"/>
      <c r="CL2" s="362" t="n"/>
      <c r="CM2" s="362" t="n"/>
      <c r="CN2" s="363" t="n"/>
      <c r="CP2" s="361" t="inlineStr">
        <is>
          <t>所要時間　作業者2</t>
        </is>
      </c>
      <c r="CQ2" s="362" t="n"/>
      <c r="CR2" s="362" t="n"/>
      <c r="CS2" s="362" t="n"/>
      <c r="CT2" s="362" t="n"/>
      <c r="CU2" s="362" t="n"/>
      <c r="CV2" s="362" t="n"/>
      <c r="CW2" s="362" t="n"/>
      <c r="CX2" s="363" t="n"/>
      <c r="CZ2" s="361" t="inlineStr">
        <is>
          <t>所要時間　作業者3</t>
        </is>
      </c>
      <c r="DA2" s="362" t="n"/>
      <c r="DB2" s="362" t="n"/>
      <c r="DC2" s="362" t="n"/>
      <c r="DD2" s="362" t="n"/>
      <c r="DE2" s="362" t="n"/>
      <c r="DF2" s="362" t="n"/>
      <c r="DG2" s="362" t="n"/>
      <c r="DH2" s="363" t="n"/>
      <c r="DJ2" s="361" t="inlineStr">
        <is>
          <t>所要時間　作業者4</t>
        </is>
      </c>
      <c r="DK2" s="362" t="n"/>
      <c r="DL2" s="362" t="n"/>
      <c r="DM2" s="362" t="n"/>
      <c r="DN2" s="362" t="n"/>
      <c r="DO2" s="362" t="n"/>
      <c r="DP2" s="362" t="n"/>
      <c r="DQ2" s="362" t="n"/>
      <c r="DR2" s="363" t="n"/>
      <c r="DT2" s="361" t="inlineStr">
        <is>
          <t>所要時間　作業者5</t>
        </is>
      </c>
      <c r="DU2" s="362" t="n"/>
      <c r="DV2" s="362" t="n"/>
      <c r="DW2" s="362" t="n"/>
      <c r="DX2" s="362" t="n"/>
      <c r="DY2" s="362" t="n"/>
      <c r="DZ2" s="362" t="n"/>
      <c r="EA2" s="362" t="n"/>
      <c r="EB2" s="363" t="n"/>
    </row>
    <row r="3" ht="14.1" customHeight="1" s="337">
      <c r="B3" s="353" t="n"/>
      <c r="C3" s="339" t="n"/>
      <c r="D3" s="364" t="n"/>
      <c r="E3" s="365" t="n"/>
      <c r="F3" s="339" t="n"/>
      <c r="G3" s="364" t="n"/>
      <c r="H3" s="365" t="n"/>
      <c r="I3" s="339" t="n"/>
      <c r="J3" s="364" t="n"/>
      <c r="K3" s="365" t="n"/>
      <c r="L3" s="339" t="n"/>
      <c r="M3" s="364" t="n"/>
      <c r="N3" s="365" t="n"/>
      <c r="O3" s="339" t="n"/>
      <c r="P3" s="364" t="n"/>
      <c r="Q3" s="365" t="n"/>
      <c r="R3" s="339" t="n"/>
      <c r="S3" s="364" t="n"/>
      <c r="T3" s="365" t="n"/>
      <c r="U3" s="339" t="n"/>
      <c r="V3" s="364" t="n"/>
      <c r="W3" s="365" t="n"/>
      <c r="X3" s="339" t="n"/>
      <c r="Y3" s="339" t="n"/>
      <c r="Z3" s="339" t="n"/>
      <c r="AA3" s="339" t="n"/>
      <c r="AB3" s="339" t="n"/>
      <c r="AC3" s="339" t="n"/>
      <c r="AD3" s="339" t="n"/>
      <c r="AE3" s="339" t="n"/>
      <c r="AF3" s="339" t="n"/>
      <c r="AG3" s="339" t="n"/>
      <c r="AH3" s="339" t="n"/>
      <c r="AI3" s="339" t="n"/>
      <c r="AJ3" s="339" t="n"/>
      <c r="AK3" s="339" t="n"/>
      <c r="AL3" s="339" t="n"/>
      <c r="AM3" s="339" t="n"/>
      <c r="AN3" s="339" t="n"/>
      <c r="AO3" s="339" t="n"/>
      <c r="AP3" s="339" t="n"/>
      <c r="AQ3" s="339" t="n"/>
      <c r="AR3" s="339" t="n"/>
      <c r="AS3" s="339" t="n"/>
      <c r="AT3" s="339" t="n"/>
      <c r="AU3" s="339" t="n"/>
      <c r="AV3" s="339" t="n"/>
      <c r="AW3" s="339" t="n"/>
      <c r="AX3" s="339" t="n"/>
      <c r="AY3" s="339" t="n"/>
      <c r="AZ3" s="339" t="n"/>
      <c r="BA3" s="339" t="n"/>
      <c r="BB3" s="339" t="n"/>
      <c r="BC3" s="339" t="n"/>
      <c r="BD3" s="339" t="n"/>
      <c r="BE3" s="339" t="n"/>
      <c r="BF3" s="339" t="n"/>
      <c r="BG3" s="339" t="n"/>
      <c r="BH3" s="339" t="n"/>
      <c r="BI3" s="339" t="n"/>
      <c r="BJ3" s="339" t="n"/>
      <c r="BK3" s="339" t="n"/>
      <c r="BL3" s="339" t="n"/>
      <c r="BM3" s="339" t="n"/>
      <c r="BN3" s="339" t="n"/>
      <c r="BO3" s="339" t="n"/>
      <c r="BP3" s="339" t="n"/>
      <c r="BQ3" s="339" t="n"/>
      <c r="BR3" s="339" t="n"/>
      <c r="BS3" s="339" t="n"/>
      <c r="BT3" s="339" t="n"/>
      <c r="BU3" s="339" t="n"/>
      <c r="BV3" s="339" t="n"/>
      <c r="BW3" s="339" t="n"/>
      <c r="BX3" s="339" t="n"/>
      <c r="BY3" s="339" t="n"/>
      <c r="BZ3" s="339" t="n"/>
      <c r="CA3" s="339" t="n"/>
      <c r="CB3" s="339" t="n"/>
      <c r="CC3" s="354" t="n"/>
      <c r="CF3" s="366" t="n"/>
      <c r="CG3" s="367" t="n"/>
      <c r="CH3" s="367" t="n"/>
      <c r="CI3" s="367" t="n"/>
      <c r="CJ3" s="367" t="n"/>
      <c r="CK3" s="367" t="n"/>
      <c r="CL3" s="367" t="n"/>
      <c r="CM3" s="367" t="n"/>
      <c r="CN3" s="368" t="n"/>
      <c r="CP3" s="366" t="n"/>
      <c r="CQ3" s="367" t="n"/>
      <c r="CR3" s="367" t="n"/>
      <c r="CS3" s="367" t="n"/>
      <c r="CT3" s="367" t="n"/>
      <c r="CU3" s="367" t="n"/>
      <c r="CV3" s="367" t="n"/>
      <c r="CW3" s="367" t="n"/>
      <c r="CX3" s="368" t="n"/>
      <c r="CZ3" s="366" t="n"/>
      <c r="DA3" s="367" t="n"/>
      <c r="DB3" s="367" t="n"/>
      <c r="DC3" s="367" t="n"/>
      <c r="DD3" s="367" t="n"/>
      <c r="DE3" s="367" t="n"/>
      <c r="DF3" s="367" t="n"/>
      <c r="DG3" s="367" t="n"/>
      <c r="DH3" s="368" t="n"/>
      <c r="DJ3" s="366" t="n"/>
      <c r="DK3" s="367" t="n"/>
      <c r="DL3" s="367" t="n"/>
      <c r="DM3" s="367" t="n"/>
      <c r="DN3" s="367" t="n"/>
      <c r="DO3" s="367" t="n"/>
      <c r="DP3" s="367" t="n"/>
      <c r="DQ3" s="367" t="n"/>
      <c r="DR3" s="368" t="n"/>
      <c r="DT3" s="366" t="n"/>
      <c r="DU3" s="367" t="n"/>
      <c r="DV3" s="367" t="n"/>
      <c r="DW3" s="367" t="n"/>
      <c r="DX3" s="367" t="n"/>
      <c r="DY3" s="367" t="n"/>
      <c r="DZ3" s="367" t="n"/>
      <c r="EA3" s="367" t="n"/>
      <c r="EB3" s="368" t="n"/>
    </row>
    <row r="4" ht="9" customHeight="1" s="337">
      <c r="B4" s="440" t="n"/>
      <c r="C4" s="338" t="n"/>
      <c r="D4" s="380" t="n"/>
      <c r="E4" s="421" t="n"/>
      <c r="F4" s="338" t="n"/>
      <c r="G4" s="380" t="n"/>
      <c r="H4" s="421" t="n"/>
      <c r="I4" s="338" t="n"/>
      <c r="J4" s="380" t="n"/>
      <c r="K4" s="421" t="n"/>
      <c r="L4" s="338" t="n"/>
      <c r="M4" s="380" t="n"/>
      <c r="N4" s="421" t="n"/>
      <c r="O4" s="338" t="n"/>
      <c r="P4" s="380" t="n"/>
      <c r="Q4" s="441" t="n"/>
      <c r="R4" s="338" t="n"/>
      <c r="S4" s="380" t="n"/>
      <c r="T4" s="422" t="n"/>
      <c r="U4" s="338" t="n"/>
      <c r="V4" s="380" t="n"/>
      <c r="W4" s="442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83" t="n"/>
      <c r="CD4" s="30" t="n"/>
      <c r="CE4" s="31" t="n"/>
      <c r="CF4" s="248" t="inlineStr">
        <is>
          <t>移動</t>
        </is>
      </c>
      <c r="CG4" s="377" t="n"/>
      <c r="CH4" s="377" t="n"/>
      <c r="CI4" s="378" t="n"/>
      <c r="CJ4" s="379">
        <f>IF(Q4="作業者1",E7-E4,0)</f>
        <v/>
      </c>
      <c r="CK4" s="377" t="n"/>
      <c r="CL4" s="377" t="n"/>
      <c r="CM4" s="377" t="n"/>
      <c r="CN4" s="378" t="n"/>
      <c r="CP4" s="248" t="inlineStr">
        <is>
          <t>移動</t>
        </is>
      </c>
      <c r="CQ4" s="377" t="n"/>
      <c r="CR4" s="377" t="n"/>
      <c r="CS4" s="378" t="n"/>
      <c r="CT4" s="379">
        <f>IF(Q4="作業者2",E7-E4,0)</f>
        <v/>
      </c>
      <c r="CU4" s="377" t="n"/>
      <c r="CV4" s="377" t="n"/>
      <c r="CW4" s="377" t="n"/>
      <c r="CX4" s="378" t="n"/>
      <c r="CZ4" s="248" t="inlineStr">
        <is>
          <t>移動</t>
        </is>
      </c>
      <c r="DA4" s="377" t="n"/>
      <c r="DB4" s="377" t="n"/>
      <c r="DC4" s="378" t="n"/>
      <c r="DD4" s="379">
        <f>IF(Q4="作業者3",E7-E4,0)</f>
        <v/>
      </c>
      <c r="DE4" s="377" t="n"/>
      <c r="DF4" s="377" t="n"/>
      <c r="DG4" s="377" t="n"/>
      <c r="DH4" s="378" t="n"/>
      <c r="DJ4" s="248" t="inlineStr">
        <is>
          <t>移動</t>
        </is>
      </c>
      <c r="DK4" s="377" t="n"/>
      <c r="DL4" s="377" t="n"/>
      <c r="DM4" s="378" t="n"/>
      <c r="DN4" s="379">
        <f>IF(Q4="作業者4",E7-E4,0)</f>
        <v/>
      </c>
      <c r="DO4" s="377" t="n"/>
      <c r="DP4" s="377" t="n"/>
      <c r="DQ4" s="377" t="n"/>
      <c r="DR4" s="378" t="n"/>
      <c r="DT4" s="248" t="inlineStr">
        <is>
          <t>移動</t>
        </is>
      </c>
      <c r="DU4" s="377" t="n"/>
      <c r="DV4" s="377" t="n"/>
      <c r="DW4" s="378" t="n"/>
      <c r="DX4" s="379">
        <f>IF(Q4="作業者5",E7-E4,0)</f>
        <v/>
      </c>
      <c r="DY4" s="377" t="n"/>
      <c r="DZ4" s="377" t="n"/>
      <c r="EA4" s="377" t="n"/>
      <c r="EB4" s="378" t="n"/>
    </row>
    <row r="5" ht="9" customHeight="1" s="337">
      <c r="B5" s="350" t="n"/>
      <c r="C5" s="338" t="n"/>
      <c r="D5" s="380" t="n"/>
      <c r="E5" s="381" t="n"/>
      <c r="F5" s="122" t="inlineStr">
        <is>
          <t>～</t>
        </is>
      </c>
      <c r="G5" s="22" t="n"/>
      <c r="H5" s="381" t="n"/>
      <c r="I5" s="122" t="inlineStr">
        <is>
          <t>～</t>
        </is>
      </c>
      <c r="J5" s="22" t="n"/>
      <c r="K5" s="381" t="n"/>
      <c r="L5" s="122" t="inlineStr">
        <is>
          <t>～</t>
        </is>
      </c>
      <c r="M5" s="22" t="n"/>
      <c r="N5" s="381" t="n"/>
      <c r="O5" s="122" t="inlineStr">
        <is>
          <t>～</t>
        </is>
      </c>
      <c r="P5" s="22" t="n"/>
      <c r="Q5" s="382" t="n"/>
      <c r="R5" s="338" t="n"/>
      <c r="S5" s="380" t="n"/>
      <c r="T5" s="382" t="n"/>
      <c r="U5" s="338" t="n"/>
      <c r="V5" s="380" t="n"/>
      <c r="W5" s="382" t="n"/>
      <c r="X5" s="338" t="n"/>
      <c r="Y5" s="338" t="n"/>
      <c r="Z5" s="338" t="n"/>
      <c r="AA5" s="338" t="n"/>
      <c r="AB5" s="338" t="n"/>
      <c r="AC5" s="338" t="n"/>
      <c r="AD5" s="338" t="n"/>
      <c r="AE5" s="338" t="n"/>
      <c r="AF5" s="338" t="n"/>
      <c r="AG5" s="338" t="n"/>
      <c r="AH5" s="338" t="n"/>
      <c r="AI5" s="338" t="n"/>
      <c r="AJ5" s="338" t="n"/>
      <c r="AK5" s="338" t="n"/>
      <c r="AL5" s="338" t="n"/>
      <c r="AM5" s="338" t="n"/>
      <c r="AN5" s="338" t="n"/>
      <c r="AO5" s="338" t="n"/>
      <c r="AP5" s="338" t="n"/>
      <c r="AQ5" s="338" t="n"/>
      <c r="AR5" s="338" t="n"/>
      <c r="AS5" s="338" t="n"/>
      <c r="AT5" s="338" t="n"/>
      <c r="AU5" s="338" t="n"/>
      <c r="AV5" s="338" t="n"/>
      <c r="AW5" s="338" t="n"/>
      <c r="AX5" s="338" t="n"/>
      <c r="AY5" s="338" t="n"/>
      <c r="AZ5" s="338" t="n"/>
      <c r="BA5" s="338" t="n"/>
      <c r="BB5" s="338" t="n"/>
      <c r="BC5" s="338" t="n"/>
      <c r="BD5" s="338" t="n"/>
      <c r="BE5" s="338" t="n"/>
      <c r="BF5" s="338" t="n"/>
      <c r="BG5" s="338" t="n"/>
      <c r="BH5" s="338" t="n"/>
      <c r="BI5" s="338" t="n"/>
      <c r="BJ5" s="338" t="n"/>
      <c r="BK5" s="338" t="n"/>
      <c r="BL5" s="338" t="n"/>
      <c r="BM5" s="338" t="n"/>
      <c r="BN5" s="338" t="n"/>
      <c r="BO5" s="338" t="n"/>
      <c r="BP5" s="338" t="n"/>
      <c r="BQ5" s="338" t="n"/>
      <c r="BR5" s="338" t="n"/>
      <c r="BS5" s="338" t="n"/>
      <c r="BT5" s="338" t="n"/>
      <c r="BU5" s="338" t="n"/>
      <c r="BV5" s="338" t="n"/>
      <c r="BW5" s="338" t="n"/>
      <c r="BX5" s="338" t="n"/>
      <c r="BY5" s="338" t="n"/>
      <c r="BZ5" s="338" t="n"/>
      <c r="CA5" s="338" t="n"/>
      <c r="CB5" s="338" t="n"/>
      <c r="CC5" s="383" t="n"/>
      <c r="CD5" s="30" t="n"/>
      <c r="CE5" s="31" t="n"/>
      <c r="CF5" s="253" t="inlineStr">
        <is>
          <t>時間内</t>
        </is>
      </c>
      <c r="CG5" s="384" t="n"/>
      <c r="CH5" s="384" t="n"/>
      <c r="CI5" s="385" t="n"/>
      <c r="CJ5" s="386">
        <f>IF(Q4="作業者1",H7-H4,0)</f>
        <v/>
      </c>
      <c r="CK5" s="387" t="n"/>
      <c r="CL5" s="387" t="n"/>
      <c r="CM5" s="387" t="n"/>
      <c r="CN5" s="388" t="n"/>
      <c r="CP5" s="253" t="inlineStr">
        <is>
          <t>時間内</t>
        </is>
      </c>
      <c r="CQ5" s="384" t="n"/>
      <c r="CR5" s="384" t="n"/>
      <c r="CS5" s="385" t="n"/>
      <c r="CT5" s="386">
        <f>IF(Q4="作業者2",H7-H4,0)</f>
        <v/>
      </c>
      <c r="CU5" s="387" t="n"/>
      <c r="CV5" s="387" t="n"/>
      <c r="CW5" s="387" t="n"/>
      <c r="CX5" s="388" t="n"/>
      <c r="CZ5" s="253" t="inlineStr">
        <is>
          <t>時間内</t>
        </is>
      </c>
      <c r="DA5" s="384" t="n"/>
      <c r="DB5" s="384" t="n"/>
      <c r="DC5" s="385" t="n"/>
      <c r="DD5" s="386">
        <f>IF(Q4="作業者3",H7-H4,0)</f>
        <v/>
      </c>
      <c r="DE5" s="387" t="n"/>
      <c r="DF5" s="387" t="n"/>
      <c r="DG5" s="387" t="n"/>
      <c r="DH5" s="388" t="n"/>
      <c r="DJ5" s="253" t="inlineStr">
        <is>
          <t>時間内</t>
        </is>
      </c>
      <c r="DK5" s="384" t="n"/>
      <c r="DL5" s="384" t="n"/>
      <c r="DM5" s="385" t="n"/>
      <c r="DN5" s="386">
        <f>IF(Q4="作業者4",H7-H4,0)</f>
        <v/>
      </c>
      <c r="DO5" s="387" t="n"/>
      <c r="DP5" s="387" t="n"/>
      <c r="DQ5" s="387" t="n"/>
      <c r="DR5" s="388" t="n"/>
      <c r="DT5" s="253" t="inlineStr">
        <is>
          <t>時間内</t>
        </is>
      </c>
      <c r="DU5" s="384" t="n"/>
      <c r="DV5" s="384" t="n"/>
      <c r="DW5" s="385" t="n"/>
      <c r="DX5" s="386">
        <f>IF(Q4="作業者5",H7-H4,0)</f>
        <v/>
      </c>
      <c r="DY5" s="387" t="n"/>
      <c r="DZ5" s="387" t="n"/>
      <c r="EA5" s="387" t="n"/>
      <c r="EB5" s="388" t="n"/>
    </row>
    <row r="6" ht="9" customHeight="1" s="337">
      <c r="B6" s="350" t="n"/>
      <c r="C6" s="338" t="n"/>
      <c r="D6" s="380" t="n"/>
      <c r="E6" s="23" t="n"/>
      <c r="F6" s="338" t="n"/>
      <c r="G6" s="24" t="n"/>
      <c r="H6" s="23" t="n"/>
      <c r="I6" s="338" t="n"/>
      <c r="J6" s="24" t="n"/>
      <c r="K6" s="23" t="n"/>
      <c r="L6" s="338" t="n"/>
      <c r="M6" s="24" t="n"/>
      <c r="N6" s="23" t="n"/>
      <c r="O6" s="338" t="n"/>
      <c r="P6" s="24" t="n"/>
      <c r="Q6" s="382" t="n"/>
      <c r="R6" s="338" t="n"/>
      <c r="S6" s="380" t="n"/>
      <c r="T6" s="382" t="n"/>
      <c r="U6" s="338" t="n"/>
      <c r="V6" s="380" t="n"/>
      <c r="W6" s="382" t="n"/>
      <c r="X6" s="338" t="n"/>
      <c r="Y6" s="338" t="n"/>
      <c r="Z6" s="338" t="n"/>
      <c r="AA6" s="338" t="n"/>
      <c r="AB6" s="338" t="n"/>
      <c r="AC6" s="338" t="n"/>
      <c r="AD6" s="338" t="n"/>
      <c r="AE6" s="338" t="n"/>
      <c r="AF6" s="338" t="n"/>
      <c r="AG6" s="338" t="n"/>
      <c r="AH6" s="338" t="n"/>
      <c r="AI6" s="338" t="n"/>
      <c r="AJ6" s="338" t="n"/>
      <c r="AK6" s="338" t="n"/>
      <c r="AL6" s="338" t="n"/>
      <c r="AM6" s="338" t="n"/>
      <c r="AN6" s="338" t="n"/>
      <c r="AO6" s="338" t="n"/>
      <c r="AP6" s="338" t="n"/>
      <c r="AQ6" s="338" t="n"/>
      <c r="AR6" s="338" t="n"/>
      <c r="AS6" s="338" t="n"/>
      <c r="AT6" s="338" t="n"/>
      <c r="AU6" s="338" t="n"/>
      <c r="AV6" s="338" t="n"/>
      <c r="AW6" s="338" t="n"/>
      <c r="AX6" s="338" t="n"/>
      <c r="AY6" s="338" t="n"/>
      <c r="AZ6" s="338" t="n"/>
      <c r="BA6" s="338" t="n"/>
      <c r="BB6" s="338" t="n"/>
      <c r="BC6" s="338" t="n"/>
      <c r="BD6" s="338" t="n"/>
      <c r="BE6" s="338" t="n"/>
      <c r="BF6" s="338" t="n"/>
      <c r="BG6" s="338" t="n"/>
      <c r="BH6" s="338" t="n"/>
      <c r="BI6" s="338" t="n"/>
      <c r="BJ6" s="338" t="n"/>
      <c r="BK6" s="338" t="n"/>
      <c r="BL6" s="338" t="n"/>
      <c r="BM6" s="338" t="n"/>
      <c r="BN6" s="338" t="n"/>
      <c r="BO6" s="338" t="n"/>
      <c r="BP6" s="338" t="n"/>
      <c r="BQ6" s="338" t="n"/>
      <c r="BR6" s="338" t="n"/>
      <c r="BS6" s="338" t="n"/>
      <c r="BT6" s="338" t="n"/>
      <c r="BU6" s="338" t="n"/>
      <c r="BV6" s="338" t="n"/>
      <c r="BW6" s="338" t="n"/>
      <c r="BX6" s="338" t="n"/>
      <c r="BY6" s="338" t="n"/>
      <c r="BZ6" s="338" t="n"/>
      <c r="CA6" s="338" t="n"/>
      <c r="CB6" s="338" t="n"/>
      <c r="CC6" s="383" t="n"/>
      <c r="CD6" s="30" t="n"/>
      <c r="CE6" s="31" t="n"/>
      <c r="CF6" s="253" t="inlineStr">
        <is>
          <t>時間外</t>
        </is>
      </c>
      <c r="CG6" s="384" t="n"/>
      <c r="CH6" s="384" t="n"/>
      <c r="CI6" s="385" t="n"/>
      <c r="CJ6" s="386">
        <f>IF(Q4="作業者1",K7-K4,0)</f>
        <v/>
      </c>
      <c r="CK6" s="387" t="n"/>
      <c r="CL6" s="387" t="n"/>
      <c r="CM6" s="387" t="n"/>
      <c r="CN6" s="388" t="n"/>
      <c r="CP6" s="253" t="inlineStr">
        <is>
          <t>時間外</t>
        </is>
      </c>
      <c r="CQ6" s="384" t="n"/>
      <c r="CR6" s="384" t="n"/>
      <c r="CS6" s="385" t="n"/>
      <c r="CT6" s="386">
        <f>IF(Q4="作業者2",K7-K4,0)</f>
        <v/>
      </c>
      <c r="CU6" s="387" t="n"/>
      <c r="CV6" s="387" t="n"/>
      <c r="CW6" s="387" t="n"/>
      <c r="CX6" s="388" t="n"/>
      <c r="CZ6" s="253" t="inlineStr">
        <is>
          <t>時間外</t>
        </is>
      </c>
      <c r="DA6" s="384" t="n"/>
      <c r="DB6" s="384" t="n"/>
      <c r="DC6" s="385" t="n"/>
      <c r="DD6" s="386">
        <f>IF(Q4="作業者3",K7-K4,0)</f>
        <v/>
      </c>
      <c r="DE6" s="387" t="n"/>
      <c r="DF6" s="387" t="n"/>
      <c r="DG6" s="387" t="n"/>
      <c r="DH6" s="388" t="n"/>
      <c r="DJ6" s="253" t="inlineStr">
        <is>
          <t>時間外</t>
        </is>
      </c>
      <c r="DK6" s="384" t="n"/>
      <c r="DL6" s="384" t="n"/>
      <c r="DM6" s="385" t="n"/>
      <c r="DN6" s="386">
        <f>IF(Q4="作業者4",K7-K4,0)</f>
        <v/>
      </c>
      <c r="DO6" s="387" t="n"/>
      <c r="DP6" s="387" t="n"/>
      <c r="DQ6" s="387" t="n"/>
      <c r="DR6" s="388" t="n"/>
      <c r="DT6" s="253" t="inlineStr">
        <is>
          <t>時間外</t>
        </is>
      </c>
      <c r="DU6" s="384" t="n"/>
      <c r="DV6" s="384" t="n"/>
      <c r="DW6" s="385" t="n"/>
      <c r="DX6" s="386">
        <f>IF(Q4="作業者5",K7-K4,0)</f>
        <v/>
      </c>
      <c r="DY6" s="387" t="n"/>
      <c r="DZ6" s="387" t="n"/>
      <c r="EA6" s="387" t="n"/>
      <c r="EB6" s="388" t="n"/>
    </row>
    <row r="7" ht="9" customHeight="1" s="337">
      <c r="B7" s="389" t="n"/>
      <c r="C7" s="390" t="n"/>
      <c r="D7" s="391" t="n"/>
      <c r="E7" s="392" t="n"/>
      <c r="F7" s="390" t="n"/>
      <c r="G7" s="391" t="n"/>
      <c r="H7" s="392" t="n"/>
      <c r="I7" s="390" t="n"/>
      <c r="J7" s="391" t="n"/>
      <c r="K7" s="392" t="n"/>
      <c r="L7" s="390" t="n"/>
      <c r="M7" s="391" t="n"/>
      <c r="N7" s="392" t="n"/>
      <c r="O7" s="390" t="n"/>
      <c r="P7" s="391" t="n"/>
      <c r="Q7" s="382" t="n"/>
      <c r="R7" s="338" t="n"/>
      <c r="S7" s="380" t="n"/>
      <c r="T7" s="393" t="n"/>
      <c r="U7" s="390" t="n"/>
      <c r="V7" s="391" t="n"/>
      <c r="W7" s="393" t="n"/>
      <c r="X7" s="390" t="n"/>
      <c r="Y7" s="390" t="n"/>
      <c r="Z7" s="390" t="n"/>
      <c r="AA7" s="390" t="n"/>
      <c r="AB7" s="390" t="n"/>
      <c r="AC7" s="390" t="n"/>
      <c r="AD7" s="390" t="n"/>
      <c r="AE7" s="390" t="n"/>
      <c r="AF7" s="390" t="n"/>
      <c r="AG7" s="390" t="n"/>
      <c r="AH7" s="390" t="n"/>
      <c r="AI7" s="390" t="n"/>
      <c r="AJ7" s="390" t="n"/>
      <c r="AK7" s="390" t="n"/>
      <c r="AL7" s="390" t="n"/>
      <c r="AM7" s="390" t="n"/>
      <c r="AN7" s="390" t="n"/>
      <c r="AO7" s="390" t="n"/>
      <c r="AP7" s="390" t="n"/>
      <c r="AQ7" s="390" t="n"/>
      <c r="AR7" s="390" t="n"/>
      <c r="AS7" s="390" t="n"/>
      <c r="AT7" s="390" t="n"/>
      <c r="AU7" s="390" t="n"/>
      <c r="AV7" s="390" t="n"/>
      <c r="AW7" s="390" t="n"/>
      <c r="AX7" s="390" t="n"/>
      <c r="AY7" s="390" t="n"/>
      <c r="AZ7" s="390" t="n"/>
      <c r="BA7" s="390" t="n"/>
      <c r="BB7" s="390" t="n"/>
      <c r="BC7" s="390" t="n"/>
      <c r="BD7" s="390" t="n"/>
      <c r="BE7" s="390" t="n"/>
      <c r="BF7" s="390" t="n"/>
      <c r="BG7" s="390" t="n"/>
      <c r="BH7" s="390" t="n"/>
      <c r="BI7" s="390" t="n"/>
      <c r="BJ7" s="390" t="n"/>
      <c r="BK7" s="390" t="n"/>
      <c r="BL7" s="390" t="n"/>
      <c r="BM7" s="390" t="n"/>
      <c r="BN7" s="390" t="n"/>
      <c r="BO7" s="390" t="n"/>
      <c r="BP7" s="390" t="n"/>
      <c r="BQ7" s="390" t="n"/>
      <c r="BR7" s="390" t="n"/>
      <c r="BS7" s="390" t="n"/>
      <c r="BT7" s="390" t="n"/>
      <c r="BU7" s="390" t="n"/>
      <c r="BV7" s="390" t="n"/>
      <c r="BW7" s="390" t="n"/>
      <c r="BX7" s="390" t="n"/>
      <c r="BY7" s="390" t="n"/>
      <c r="BZ7" s="390" t="n"/>
      <c r="CA7" s="390" t="n"/>
      <c r="CB7" s="390" t="n"/>
      <c r="CC7" s="394" t="n"/>
      <c r="CD7" s="30" t="n"/>
      <c r="CE7" s="31" t="n"/>
      <c r="CF7" s="254" t="inlineStr">
        <is>
          <t>休日</t>
        </is>
      </c>
      <c r="CG7" s="395" t="n"/>
      <c r="CH7" s="395" t="n"/>
      <c r="CI7" s="396" t="n"/>
      <c r="CJ7" s="386">
        <f>IF(Q4="作業者1",N7-N4,0)</f>
        <v/>
      </c>
      <c r="CK7" s="387" t="n"/>
      <c r="CL7" s="387" t="n"/>
      <c r="CM7" s="387" t="n"/>
      <c r="CN7" s="388" t="n"/>
      <c r="CP7" s="253" t="inlineStr">
        <is>
          <t>休日</t>
        </is>
      </c>
      <c r="CQ7" s="384" t="n"/>
      <c r="CR7" s="384" t="n"/>
      <c r="CS7" s="385" t="n"/>
      <c r="CT7" s="386">
        <f>IF(Q4="作業者2",N7-N4,0)</f>
        <v/>
      </c>
      <c r="CU7" s="387" t="n"/>
      <c r="CV7" s="387" t="n"/>
      <c r="CW7" s="387" t="n"/>
      <c r="CX7" s="388" t="n"/>
      <c r="CZ7" s="254" t="inlineStr">
        <is>
          <t>休日</t>
        </is>
      </c>
      <c r="DA7" s="395" t="n"/>
      <c r="DB7" s="395" t="n"/>
      <c r="DC7" s="396" t="n"/>
      <c r="DD7" s="397">
        <f>IF(Q4="作業者3",N7-N4,0)</f>
        <v/>
      </c>
      <c r="DE7" s="395" t="n"/>
      <c r="DF7" s="395" t="n"/>
      <c r="DG7" s="395" t="n"/>
      <c r="DH7" s="396" t="n"/>
      <c r="DJ7" s="254" t="inlineStr">
        <is>
          <t>休日</t>
        </is>
      </c>
      <c r="DK7" s="395" t="n"/>
      <c r="DL7" s="395" t="n"/>
      <c r="DM7" s="396" t="n"/>
      <c r="DN7" s="397">
        <f>IF(Q4="作業者4",N7-N4,0)</f>
        <v/>
      </c>
      <c r="DO7" s="395" t="n"/>
      <c r="DP7" s="395" t="n"/>
      <c r="DQ7" s="395" t="n"/>
      <c r="DR7" s="396" t="n"/>
      <c r="DT7" s="254" t="inlineStr">
        <is>
          <t>休日</t>
        </is>
      </c>
      <c r="DU7" s="395" t="n"/>
      <c r="DV7" s="395" t="n"/>
      <c r="DW7" s="396" t="n"/>
      <c r="DX7" s="397">
        <f>IF(Q4="作業者5",N7-N4,0)</f>
        <v/>
      </c>
      <c r="DY7" s="395" t="n"/>
      <c r="DZ7" s="395" t="n"/>
      <c r="EA7" s="395" t="n"/>
      <c r="EB7" s="396" t="n"/>
    </row>
    <row r="8" ht="9" customHeight="1" s="337">
      <c r="B8" s="398" t="n"/>
      <c r="C8" s="372" t="n"/>
      <c r="D8" s="373" t="n"/>
      <c r="E8" s="399" t="n"/>
      <c r="F8" s="372" t="n"/>
      <c r="G8" s="373" t="n"/>
      <c r="H8" s="399" t="n"/>
      <c r="I8" s="372" t="n"/>
      <c r="J8" s="373" t="n"/>
      <c r="K8" s="399" t="n"/>
      <c r="L8" s="372" t="n"/>
      <c r="M8" s="373" t="n"/>
      <c r="N8" s="399" t="n"/>
      <c r="O8" s="372" t="n"/>
      <c r="P8" s="373" t="n"/>
      <c r="Q8" s="371" t="n"/>
      <c r="R8" s="372" t="n"/>
      <c r="S8" s="373" t="n"/>
      <c r="T8" s="400" t="n"/>
      <c r="U8" s="372" t="n"/>
      <c r="V8" s="373" t="n"/>
      <c r="W8" s="443" t="n"/>
      <c r="X8" s="372" t="n"/>
      <c r="Y8" s="372" t="n"/>
      <c r="Z8" s="372" t="n"/>
      <c r="AA8" s="372" t="n"/>
      <c r="AB8" s="372" t="n"/>
      <c r="AC8" s="372" t="n"/>
      <c r="AD8" s="372" t="n"/>
      <c r="AE8" s="372" t="n"/>
      <c r="AF8" s="372" t="n"/>
      <c r="AG8" s="372" t="n"/>
      <c r="AH8" s="372" t="n"/>
      <c r="AI8" s="372" t="n"/>
      <c r="AJ8" s="372" t="n"/>
      <c r="AK8" s="372" t="n"/>
      <c r="AL8" s="372" t="n"/>
      <c r="AM8" s="372" t="n"/>
      <c r="AN8" s="372" t="n"/>
      <c r="AO8" s="372" t="n"/>
      <c r="AP8" s="372" t="n"/>
      <c r="AQ8" s="372" t="n"/>
      <c r="AR8" s="372" t="n"/>
      <c r="AS8" s="372" t="n"/>
      <c r="AT8" s="372" t="n"/>
      <c r="AU8" s="372" t="n"/>
      <c r="AV8" s="372" t="n"/>
      <c r="AW8" s="372" t="n"/>
      <c r="AX8" s="372" t="n"/>
      <c r="AY8" s="372" t="n"/>
      <c r="AZ8" s="372" t="n"/>
      <c r="BA8" s="372" t="n"/>
      <c r="BB8" s="372" t="n"/>
      <c r="BC8" s="372" t="n"/>
      <c r="BD8" s="372" t="n"/>
      <c r="BE8" s="372" t="n"/>
      <c r="BF8" s="372" t="n"/>
      <c r="BG8" s="372" t="n"/>
      <c r="BH8" s="372" t="n"/>
      <c r="BI8" s="372" t="n"/>
      <c r="BJ8" s="372" t="n"/>
      <c r="BK8" s="372" t="n"/>
      <c r="BL8" s="372" t="n"/>
      <c r="BM8" s="372" t="n"/>
      <c r="BN8" s="372" t="n"/>
      <c r="BO8" s="372" t="n"/>
      <c r="BP8" s="372" t="n"/>
      <c r="BQ8" s="372" t="n"/>
      <c r="BR8" s="372" t="n"/>
      <c r="BS8" s="372" t="n"/>
      <c r="BT8" s="372" t="n"/>
      <c r="BU8" s="372" t="n"/>
      <c r="BV8" s="372" t="n"/>
      <c r="BW8" s="372" t="n"/>
      <c r="BX8" s="372" t="n"/>
      <c r="BY8" s="372" t="n"/>
      <c r="BZ8" s="372" t="n"/>
      <c r="CA8" s="372" t="n"/>
      <c r="CB8" s="372" t="n"/>
      <c r="CC8" s="402" t="n"/>
      <c r="CD8" s="30" t="n"/>
      <c r="CE8" s="31" t="n"/>
      <c r="CF8" s="259" t="inlineStr">
        <is>
          <t>移動</t>
        </is>
      </c>
      <c r="CG8" s="403" t="n"/>
      <c r="CH8" s="403" t="n"/>
      <c r="CI8" s="404" t="n"/>
      <c r="CJ8" s="379">
        <f>IF(Q8="作業者1",E11-E8,0)</f>
        <v/>
      </c>
      <c r="CK8" s="377" t="n"/>
      <c r="CL8" s="377" t="n"/>
      <c r="CM8" s="377" t="n"/>
      <c r="CN8" s="378" t="n"/>
      <c r="CP8" s="248" t="inlineStr">
        <is>
          <t>移動</t>
        </is>
      </c>
      <c r="CQ8" s="377" t="n"/>
      <c r="CR8" s="377" t="n"/>
      <c r="CS8" s="378" t="n"/>
      <c r="CT8" s="379">
        <f>IF(Q8="作業者2",E11-E8,0)</f>
        <v/>
      </c>
      <c r="CU8" s="377" t="n"/>
      <c r="CV8" s="377" t="n"/>
      <c r="CW8" s="377" t="n"/>
      <c r="CX8" s="378" t="n"/>
      <c r="CZ8" s="259" t="inlineStr">
        <is>
          <t>移動</t>
        </is>
      </c>
      <c r="DA8" s="403" t="n"/>
      <c r="DB8" s="403" t="n"/>
      <c r="DC8" s="404" t="n"/>
      <c r="DD8" s="405">
        <f>IF(Q8="作業者3",E11-E8,0)</f>
        <v/>
      </c>
      <c r="DE8" s="406" t="n"/>
      <c r="DF8" s="406" t="n"/>
      <c r="DG8" s="406" t="n"/>
      <c r="DH8" s="407" t="n"/>
      <c r="DJ8" s="259" t="inlineStr">
        <is>
          <t>移動</t>
        </is>
      </c>
      <c r="DK8" s="403" t="n"/>
      <c r="DL8" s="403" t="n"/>
      <c r="DM8" s="404" t="n"/>
      <c r="DN8" s="379">
        <f>IF(Q8="作業者4",E11-E8,0)</f>
        <v/>
      </c>
      <c r="DO8" s="377" t="n"/>
      <c r="DP8" s="377" t="n"/>
      <c r="DQ8" s="377" t="n"/>
      <c r="DR8" s="378" t="n"/>
      <c r="DT8" s="259" t="inlineStr">
        <is>
          <t>移動</t>
        </is>
      </c>
      <c r="DU8" s="403" t="n"/>
      <c r="DV8" s="403" t="n"/>
      <c r="DW8" s="404" t="n"/>
      <c r="DX8" s="379">
        <f>IF(Q8="作業者5",E11-E8,0)</f>
        <v/>
      </c>
      <c r="DY8" s="377" t="n"/>
      <c r="DZ8" s="377" t="n"/>
      <c r="EA8" s="377" t="n"/>
      <c r="EB8" s="378" t="n"/>
    </row>
    <row r="9" ht="9" customHeight="1" s="337">
      <c r="B9" s="350" t="n"/>
      <c r="C9" s="338" t="n"/>
      <c r="D9" s="380" t="n"/>
      <c r="E9" s="381" t="n"/>
      <c r="F9" s="122" t="inlineStr">
        <is>
          <t>～</t>
        </is>
      </c>
      <c r="G9" s="22" t="n"/>
      <c r="H9" s="381" t="n"/>
      <c r="I9" s="122" t="inlineStr">
        <is>
          <t>～</t>
        </is>
      </c>
      <c r="J9" s="22" t="n"/>
      <c r="K9" s="381" t="n"/>
      <c r="L9" s="122" t="inlineStr">
        <is>
          <t>～</t>
        </is>
      </c>
      <c r="M9" s="22" t="n"/>
      <c r="N9" s="381" t="n"/>
      <c r="O9" s="122" t="inlineStr">
        <is>
          <t>～</t>
        </is>
      </c>
      <c r="P9" s="22" t="n"/>
      <c r="Q9" s="382" t="n"/>
      <c r="R9" s="338" t="n"/>
      <c r="S9" s="380" t="n"/>
      <c r="T9" s="382" t="n"/>
      <c r="U9" s="338" t="n"/>
      <c r="V9" s="380" t="n"/>
      <c r="W9" s="382" t="n"/>
      <c r="X9" s="338" t="n"/>
      <c r="Y9" s="338" t="n"/>
      <c r="Z9" s="338" t="n"/>
      <c r="AA9" s="338" t="n"/>
      <c r="AB9" s="338" t="n"/>
      <c r="AC9" s="338" t="n"/>
      <c r="AD9" s="338" t="n"/>
      <c r="AE9" s="338" t="n"/>
      <c r="AF9" s="338" t="n"/>
      <c r="AG9" s="338" t="n"/>
      <c r="AH9" s="338" t="n"/>
      <c r="AI9" s="338" t="n"/>
      <c r="AJ9" s="338" t="n"/>
      <c r="AK9" s="338" t="n"/>
      <c r="AL9" s="338" t="n"/>
      <c r="AM9" s="338" t="n"/>
      <c r="AN9" s="338" t="n"/>
      <c r="AO9" s="338" t="n"/>
      <c r="AP9" s="338" t="n"/>
      <c r="AQ9" s="338" t="n"/>
      <c r="AR9" s="338" t="n"/>
      <c r="AS9" s="338" t="n"/>
      <c r="AT9" s="338" t="n"/>
      <c r="AU9" s="338" t="n"/>
      <c r="AV9" s="338" t="n"/>
      <c r="AW9" s="338" t="n"/>
      <c r="AX9" s="338" t="n"/>
      <c r="AY9" s="338" t="n"/>
      <c r="AZ9" s="338" t="n"/>
      <c r="BA9" s="338" t="n"/>
      <c r="BB9" s="338" t="n"/>
      <c r="BC9" s="338" t="n"/>
      <c r="BD9" s="338" t="n"/>
      <c r="BE9" s="338" t="n"/>
      <c r="BF9" s="338" t="n"/>
      <c r="BG9" s="338" t="n"/>
      <c r="BH9" s="338" t="n"/>
      <c r="BI9" s="338" t="n"/>
      <c r="BJ9" s="338" t="n"/>
      <c r="BK9" s="338" t="n"/>
      <c r="BL9" s="338" t="n"/>
      <c r="BM9" s="338" t="n"/>
      <c r="BN9" s="338" t="n"/>
      <c r="BO9" s="338" t="n"/>
      <c r="BP9" s="338" t="n"/>
      <c r="BQ9" s="338" t="n"/>
      <c r="BR9" s="338" t="n"/>
      <c r="BS9" s="338" t="n"/>
      <c r="BT9" s="338" t="n"/>
      <c r="BU9" s="338" t="n"/>
      <c r="BV9" s="338" t="n"/>
      <c r="BW9" s="338" t="n"/>
      <c r="BX9" s="338" t="n"/>
      <c r="BY9" s="338" t="n"/>
      <c r="BZ9" s="338" t="n"/>
      <c r="CA9" s="338" t="n"/>
      <c r="CB9" s="338" t="n"/>
      <c r="CC9" s="383" t="n"/>
      <c r="CD9" s="30" t="n"/>
      <c r="CE9" s="31" t="n"/>
      <c r="CF9" s="253" t="inlineStr">
        <is>
          <t>時間内</t>
        </is>
      </c>
      <c r="CG9" s="384" t="n"/>
      <c r="CH9" s="384" t="n"/>
      <c r="CI9" s="385" t="n"/>
      <c r="CJ9" s="386">
        <f>IF(Q8="作業者1",H11-H8,0)</f>
        <v/>
      </c>
      <c r="CK9" s="387" t="n"/>
      <c r="CL9" s="387" t="n"/>
      <c r="CM9" s="387" t="n"/>
      <c r="CN9" s="388" t="n"/>
      <c r="CP9" s="253" t="inlineStr">
        <is>
          <t>時間内</t>
        </is>
      </c>
      <c r="CQ9" s="384" t="n"/>
      <c r="CR9" s="384" t="n"/>
      <c r="CS9" s="385" t="n"/>
      <c r="CT9" s="386">
        <f>IF(Q8="作業者2",H11-H8,0)</f>
        <v/>
      </c>
      <c r="CU9" s="387" t="n"/>
      <c r="CV9" s="387" t="n"/>
      <c r="CW9" s="387" t="n"/>
      <c r="CX9" s="388" t="n"/>
      <c r="CZ9" s="253" t="inlineStr">
        <is>
          <t>時間内</t>
        </is>
      </c>
      <c r="DA9" s="384" t="n"/>
      <c r="DB9" s="384" t="n"/>
      <c r="DC9" s="385" t="n"/>
      <c r="DD9" s="386">
        <f>IF(Q8="作業者3",H11-H8,0)</f>
        <v/>
      </c>
      <c r="DE9" s="387" t="n"/>
      <c r="DF9" s="387" t="n"/>
      <c r="DG9" s="387" t="n"/>
      <c r="DH9" s="388" t="n"/>
      <c r="DJ9" s="253" t="inlineStr">
        <is>
          <t>時間内</t>
        </is>
      </c>
      <c r="DK9" s="384" t="n"/>
      <c r="DL9" s="384" t="n"/>
      <c r="DM9" s="385" t="n"/>
      <c r="DN9" s="386">
        <f>IF(Q8="作業者4",H11-H8,0)</f>
        <v/>
      </c>
      <c r="DO9" s="387" t="n"/>
      <c r="DP9" s="387" t="n"/>
      <c r="DQ9" s="387" t="n"/>
      <c r="DR9" s="388" t="n"/>
      <c r="DT9" s="253" t="inlineStr">
        <is>
          <t>時間内</t>
        </is>
      </c>
      <c r="DU9" s="384" t="n"/>
      <c r="DV9" s="384" t="n"/>
      <c r="DW9" s="385" t="n"/>
      <c r="DX9" s="386">
        <f>IF(Q8="作業者5",H11-H8,0)</f>
        <v/>
      </c>
      <c r="DY9" s="387" t="n"/>
      <c r="DZ9" s="387" t="n"/>
      <c r="EA9" s="387" t="n"/>
      <c r="EB9" s="388" t="n"/>
    </row>
    <row r="10" ht="9" customHeight="1" s="337">
      <c r="B10" s="350" t="n"/>
      <c r="C10" s="338" t="n"/>
      <c r="D10" s="380" t="n"/>
      <c r="E10" s="23" t="n"/>
      <c r="F10" s="338" t="n"/>
      <c r="G10" s="24" t="n"/>
      <c r="H10" s="23" t="n"/>
      <c r="I10" s="338" t="n"/>
      <c r="J10" s="24" t="n"/>
      <c r="K10" s="23" t="n"/>
      <c r="L10" s="338" t="n"/>
      <c r="M10" s="24" t="n"/>
      <c r="N10" s="23" t="n"/>
      <c r="O10" s="338" t="n"/>
      <c r="P10" s="24" t="n"/>
      <c r="Q10" s="382" t="n"/>
      <c r="R10" s="338" t="n"/>
      <c r="S10" s="380" t="n"/>
      <c r="T10" s="382" t="n"/>
      <c r="U10" s="338" t="n"/>
      <c r="V10" s="380" t="n"/>
      <c r="W10" s="382" t="n"/>
      <c r="X10" s="338" t="n"/>
      <c r="Y10" s="338" t="n"/>
      <c r="Z10" s="338" t="n"/>
      <c r="AA10" s="338" t="n"/>
      <c r="AB10" s="338" t="n"/>
      <c r="AC10" s="338" t="n"/>
      <c r="AD10" s="338" t="n"/>
      <c r="AE10" s="338" t="n"/>
      <c r="AF10" s="338" t="n"/>
      <c r="AG10" s="338" t="n"/>
      <c r="AH10" s="338" t="n"/>
      <c r="AI10" s="338" t="n"/>
      <c r="AJ10" s="338" t="n"/>
      <c r="AK10" s="338" t="n"/>
      <c r="AL10" s="338" t="n"/>
      <c r="AM10" s="338" t="n"/>
      <c r="AN10" s="338" t="n"/>
      <c r="AO10" s="338" t="n"/>
      <c r="AP10" s="338" t="n"/>
      <c r="AQ10" s="338" t="n"/>
      <c r="AR10" s="338" t="n"/>
      <c r="AS10" s="338" t="n"/>
      <c r="AT10" s="338" t="n"/>
      <c r="AU10" s="338" t="n"/>
      <c r="AV10" s="338" t="n"/>
      <c r="AW10" s="338" t="n"/>
      <c r="AX10" s="338" t="n"/>
      <c r="AY10" s="338" t="n"/>
      <c r="AZ10" s="338" t="n"/>
      <c r="BA10" s="338" t="n"/>
      <c r="BB10" s="338" t="n"/>
      <c r="BC10" s="338" t="n"/>
      <c r="BD10" s="338" t="n"/>
      <c r="BE10" s="338" t="n"/>
      <c r="BF10" s="338" t="n"/>
      <c r="BG10" s="338" t="n"/>
      <c r="BH10" s="338" t="n"/>
      <c r="BI10" s="338" t="n"/>
      <c r="BJ10" s="338" t="n"/>
      <c r="BK10" s="338" t="n"/>
      <c r="BL10" s="338" t="n"/>
      <c r="BM10" s="338" t="n"/>
      <c r="BN10" s="338" t="n"/>
      <c r="BO10" s="338" t="n"/>
      <c r="BP10" s="338" t="n"/>
      <c r="BQ10" s="338" t="n"/>
      <c r="BR10" s="338" t="n"/>
      <c r="BS10" s="338" t="n"/>
      <c r="BT10" s="338" t="n"/>
      <c r="BU10" s="338" t="n"/>
      <c r="BV10" s="338" t="n"/>
      <c r="BW10" s="338" t="n"/>
      <c r="BX10" s="338" t="n"/>
      <c r="BY10" s="338" t="n"/>
      <c r="BZ10" s="338" t="n"/>
      <c r="CA10" s="338" t="n"/>
      <c r="CB10" s="338" t="n"/>
      <c r="CC10" s="383" t="n"/>
      <c r="CD10" s="30" t="n"/>
      <c r="CE10" s="31" t="n"/>
      <c r="CF10" s="253" t="inlineStr">
        <is>
          <t>時間外</t>
        </is>
      </c>
      <c r="CG10" s="384" t="n"/>
      <c r="CH10" s="384" t="n"/>
      <c r="CI10" s="385" t="n"/>
      <c r="CJ10" s="386">
        <f>IF(Q8="作業者1",K11-K8,0)</f>
        <v/>
      </c>
      <c r="CK10" s="387" t="n"/>
      <c r="CL10" s="387" t="n"/>
      <c r="CM10" s="387" t="n"/>
      <c r="CN10" s="388" t="n"/>
      <c r="CP10" s="253" t="inlineStr">
        <is>
          <t>時間外</t>
        </is>
      </c>
      <c r="CQ10" s="384" t="n"/>
      <c r="CR10" s="384" t="n"/>
      <c r="CS10" s="385" t="n"/>
      <c r="CT10" s="386">
        <f>IF(Q8="作業者2",K11-K8,0)</f>
        <v/>
      </c>
      <c r="CU10" s="387" t="n"/>
      <c r="CV10" s="387" t="n"/>
      <c r="CW10" s="387" t="n"/>
      <c r="CX10" s="388" t="n"/>
      <c r="CZ10" s="253" t="inlineStr">
        <is>
          <t>時間外</t>
        </is>
      </c>
      <c r="DA10" s="384" t="n"/>
      <c r="DB10" s="384" t="n"/>
      <c r="DC10" s="385" t="n"/>
      <c r="DD10" s="386">
        <f>IF(Q8="作業者3",K11-K8,0)</f>
        <v/>
      </c>
      <c r="DE10" s="387" t="n"/>
      <c r="DF10" s="387" t="n"/>
      <c r="DG10" s="387" t="n"/>
      <c r="DH10" s="388" t="n"/>
      <c r="DJ10" s="253" t="inlineStr">
        <is>
          <t>時間外</t>
        </is>
      </c>
      <c r="DK10" s="384" t="n"/>
      <c r="DL10" s="384" t="n"/>
      <c r="DM10" s="385" t="n"/>
      <c r="DN10" s="386">
        <f>IF(Q8="作業者4",K11-K8,0)</f>
        <v/>
      </c>
      <c r="DO10" s="387" t="n"/>
      <c r="DP10" s="387" t="n"/>
      <c r="DQ10" s="387" t="n"/>
      <c r="DR10" s="388" t="n"/>
      <c r="DT10" s="253" t="inlineStr">
        <is>
          <t>時間外</t>
        </is>
      </c>
      <c r="DU10" s="384" t="n"/>
      <c r="DV10" s="384" t="n"/>
      <c r="DW10" s="385" t="n"/>
      <c r="DX10" s="386">
        <f>IF(Q8="作業者5",K11-K8,0)</f>
        <v/>
      </c>
      <c r="DY10" s="387" t="n"/>
      <c r="DZ10" s="387" t="n"/>
      <c r="EA10" s="387" t="n"/>
      <c r="EB10" s="388" t="n"/>
    </row>
    <row r="11" ht="9" customHeight="1" s="337">
      <c r="B11" s="389" t="n"/>
      <c r="C11" s="390" t="n"/>
      <c r="D11" s="391" t="n"/>
      <c r="E11" s="392" t="n"/>
      <c r="F11" s="390" t="n"/>
      <c r="G11" s="391" t="n"/>
      <c r="H11" s="392" t="n"/>
      <c r="I11" s="390" t="n"/>
      <c r="J11" s="391" t="n"/>
      <c r="K11" s="392" t="n"/>
      <c r="L11" s="390" t="n"/>
      <c r="M11" s="391" t="n"/>
      <c r="N11" s="392" t="n"/>
      <c r="O11" s="390" t="n"/>
      <c r="P11" s="391" t="n"/>
      <c r="Q11" s="393" t="n"/>
      <c r="R11" s="390" t="n"/>
      <c r="S11" s="391" t="n"/>
      <c r="T11" s="393" t="n"/>
      <c r="U11" s="390" t="n"/>
      <c r="V11" s="391" t="n"/>
      <c r="W11" s="393" t="n"/>
      <c r="X11" s="390" t="n"/>
      <c r="Y11" s="390" t="n"/>
      <c r="Z11" s="390" t="n"/>
      <c r="AA11" s="390" t="n"/>
      <c r="AB11" s="390" t="n"/>
      <c r="AC11" s="390" t="n"/>
      <c r="AD11" s="390" t="n"/>
      <c r="AE11" s="390" t="n"/>
      <c r="AF11" s="390" t="n"/>
      <c r="AG11" s="390" t="n"/>
      <c r="AH11" s="390" t="n"/>
      <c r="AI11" s="390" t="n"/>
      <c r="AJ11" s="390" t="n"/>
      <c r="AK11" s="390" t="n"/>
      <c r="AL11" s="390" t="n"/>
      <c r="AM11" s="390" t="n"/>
      <c r="AN11" s="390" t="n"/>
      <c r="AO11" s="390" t="n"/>
      <c r="AP11" s="390" t="n"/>
      <c r="AQ11" s="390" t="n"/>
      <c r="AR11" s="390" t="n"/>
      <c r="AS11" s="390" t="n"/>
      <c r="AT11" s="390" t="n"/>
      <c r="AU11" s="390" t="n"/>
      <c r="AV11" s="390" t="n"/>
      <c r="AW11" s="390" t="n"/>
      <c r="AX11" s="390" t="n"/>
      <c r="AY11" s="390" t="n"/>
      <c r="AZ11" s="390" t="n"/>
      <c r="BA11" s="390" t="n"/>
      <c r="BB11" s="390" t="n"/>
      <c r="BC11" s="390" t="n"/>
      <c r="BD11" s="390" t="n"/>
      <c r="BE11" s="390" t="n"/>
      <c r="BF11" s="390" t="n"/>
      <c r="BG11" s="390" t="n"/>
      <c r="BH11" s="390" t="n"/>
      <c r="BI11" s="390" t="n"/>
      <c r="BJ11" s="390" t="n"/>
      <c r="BK11" s="390" t="n"/>
      <c r="BL11" s="390" t="n"/>
      <c r="BM11" s="390" t="n"/>
      <c r="BN11" s="390" t="n"/>
      <c r="BO11" s="390" t="n"/>
      <c r="BP11" s="390" t="n"/>
      <c r="BQ11" s="390" t="n"/>
      <c r="BR11" s="390" t="n"/>
      <c r="BS11" s="390" t="n"/>
      <c r="BT11" s="390" t="n"/>
      <c r="BU11" s="390" t="n"/>
      <c r="BV11" s="390" t="n"/>
      <c r="BW11" s="390" t="n"/>
      <c r="BX11" s="390" t="n"/>
      <c r="BY11" s="390" t="n"/>
      <c r="BZ11" s="390" t="n"/>
      <c r="CA11" s="390" t="n"/>
      <c r="CB11" s="390" t="n"/>
      <c r="CC11" s="394" t="n"/>
      <c r="CD11" s="30" t="n"/>
      <c r="CE11" s="31" t="n"/>
      <c r="CF11" s="249" t="inlineStr">
        <is>
          <t>休日</t>
        </is>
      </c>
      <c r="CG11" s="408" t="n"/>
      <c r="CH11" s="408" t="n"/>
      <c r="CI11" s="409" t="n"/>
      <c r="CJ11" s="386">
        <f>IF(Q8="作業者1",N11-N8,0)</f>
        <v/>
      </c>
      <c r="CK11" s="387" t="n"/>
      <c r="CL11" s="387" t="n"/>
      <c r="CM11" s="387" t="n"/>
      <c r="CN11" s="388" t="n"/>
      <c r="CP11" s="253" t="inlineStr">
        <is>
          <t>休日</t>
        </is>
      </c>
      <c r="CQ11" s="384" t="n"/>
      <c r="CR11" s="384" t="n"/>
      <c r="CS11" s="385" t="n"/>
      <c r="CT11" s="386">
        <f>IF(Q8="作業者2",N11-N8,0)</f>
        <v/>
      </c>
      <c r="CU11" s="387" t="n"/>
      <c r="CV11" s="387" t="n"/>
      <c r="CW11" s="387" t="n"/>
      <c r="CX11" s="388" t="n"/>
      <c r="CZ11" s="254" t="inlineStr">
        <is>
          <t>休日</t>
        </is>
      </c>
      <c r="DA11" s="395" t="n"/>
      <c r="DB11" s="395" t="n"/>
      <c r="DC11" s="396" t="n"/>
      <c r="DD11" s="397">
        <f>IF(Q8="作業者3",N11-N8,0)</f>
        <v/>
      </c>
      <c r="DE11" s="395" t="n"/>
      <c r="DF11" s="395" t="n"/>
      <c r="DG11" s="395" t="n"/>
      <c r="DH11" s="396" t="n"/>
      <c r="DJ11" s="254" t="inlineStr">
        <is>
          <t>休日</t>
        </is>
      </c>
      <c r="DK11" s="395" t="n"/>
      <c r="DL11" s="395" t="n"/>
      <c r="DM11" s="396" t="n"/>
      <c r="DN11" s="397">
        <f>IF(Q8="作業者4",N11-N8,0)</f>
        <v/>
      </c>
      <c r="DO11" s="395" t="n"/>
      <c r="DP11" s="395" t="n"/>
      <c r="DQ11" s="395" t="n"/>
      <c r="DR11" s="396" t="n"/>
      <c r="DT11" s="254" t="inlineStr">
        <is>
          <t>休日</t>
        </is>
      </c>
      <c r="DU11" s="395" t="n"/>
      <c r="DV11" s="395" t="n"/>
      <c r="DW11" s="396" t="n"/>
      <c r="DX11" s="397">
        <f>IF(Q8="作業者5",N11-N8,0)</f>
        <v/>
      </c>
      <c r="DY11" s="395" t="n"/>
      <c r="DZ11" s="395" t="n"/>
      <c r="EA11" s="395" t="n"/>
      <c r="EB11" s="396" t="n"/>
    </row>
    <row r="12" ht="9" customHeight="1" s="337">
      <c r="B12" s="398" t="n"/>
      <c r="C12" s="372" t="n"/>
      <c r="D12" s="373" t="n"/>
      <c r="E12" s="399" t="n"/>
      <c r="F12" s="372" t="n"/>
      <c r="G12" s="373" t="n"/>
      <c r="H12" s="399" t="n"/>
      <c r="I12" s="372" t="n"/>
      <c r="J12" s="373" t="n"/>
      <c r="K12" s="399" t="n"/>
      <c r="L12" s="372" t="n"/>
      <c r="M12" s="373" t="n"/>
      <c r="N12" s="399" t="n"/>
      <c r="O12" s="372" t="n"/>
      <c r="P12" s="373" t="n"/>
      <c r="Q12" s="371" t="n"/>
      <c r="R12" s="372" t="n"/>
      <c r="S12" s="373" t="n"/>
      <c r="T12" s="371" t="n"/>
      <c r="U12" s="372" t="n"/>
      <c r="V12" s="373" t="n"/>
      <c r="W12" s="443" t="n"/>
      <c r="X12" s="372" t="n"/>
      <c r="Y12" s="372" t="n"/>
      <c r="Z12" s="372" t="n"/>
      <c r="AA12" s="372" t="n"/>
      <c r="AB12" s="372" t="n"/>
      <c r="AC12" s="372" t="n"/>
      <c r="AD12" s="372" t="n"/>
      <c r="AE12" s="372" t="n"/>
      <c r="AF12" s="372" t="n"/>
      <c r="AG12" s="372" t="n"/>
      <c r="AH12" s="372" t="n"/>
      <c r="AI12" s="372" t="n"/>
      <c r="AJ12" s="372" t="n"/>
      <c r="AK12" s="372" t="n"/>
      <c r="AL12" s="372" t="n"/>
      <c r="AM12" s="372" t="n"/>
      <c r="AN12" s="372" t="n"/>
      <c r="AO12" s="372" t="n"/>
      <c r="AP12" s="372" t="n"/>
      <c r="AQ12" s="372" t="n"/>
      <c r="AR12" s="372" t="n"/>
      <c r="AS12" s="372" t="n"/>
      <c r="AT12" s="372" t="n"/>
      <c r="AU12" s="372" t="n"/>
      <c r="AV12" s="372" t="n"/>
      <c r="AW12" s="372" t="n"/>
      <c r="AX12" s="372" t="n"/>
      <c r="AY12" s="372" t="n"/>
      <c r="AZ12" s="372" t="n"/>
      <c r="BA12" s="372" t="n"/>
      <c r="BB12" s="372" t="n"/>
      <c r="BC12" s="372" t="n"/>
      <c r="BD12" s="372" t="n"/>
      <c r="BE12" s="372" t="n"/>
      <c r="BF12" s="372" t="n"/>
      <c r="BG12" s="372" t="n"/>
      <c r="BH12" s="372" t="n"/>
      <c r="BI12" s="372" t="n"/>
      <c r="BJ12" s="372" t="n"/>
      <c r="BK12" s="372" t="n"/>
      <c r="BL12" s="372" t="n"/>
      <c r="BM12" s="372" t="n"/>
      <c r="BN12" s="372" t="n"/>
      <c r="BO12" s="372" t="n"/>
      <c r="BP12" s="372" t="n"/>
      <c r="BQ12" s="372" t="n"/>
      <c r="BR12" s="372" t="n"/>
      <c r="BS12" s="372" t="n"/>
      <c r="BT12" s="372" t="n"/>
      <c r="BU12" s="372" t="n"/>
      <c r="BV12" s="372" t="n"/>
      <c r="BW12" s="372" t="n"/>
      <c r="BX12" s="372" t="n"/>
      <c r="BY12" s="372" t="n"/>
      <c r="BZ12" s="372" t="n"/>
      <c r="CA12" s="372" t="n"/>
      <c r="CB12" s="372" t="n"/>
      <c r="CC12" s="402" t="n"/>
      <c r="CF12" s="248" t="inlineStr">
        <is>
          <t>移動</t>
        </is>
      </c>
      <c r="CG12" s="377" t="n"/>
      <c r="CH12" s="377" t="n"/>
      <c r="CI12" s="378" t="n"/>
      <c r="CJ12" s="379">
        <f>IF(Q12="作業者1",E15-E12,0)</f>
        <v/>
      </c>
      <c r="CK12" s="377" t="n"/>
      <c r="CL12" s="377" t="n"/>
      <c r="CM12" s="377" t="n"/>
      <c r="CN12" s="378" t="n"/>
      <c r="CP12" s="248" t="inlineStr">
        <is>
          <t>移動</t>
        </is>
      </c>
      <c r="CQ12" s="377" t="n"/>
      <c r="CR12" s="377" t="n"/>
      <c r="CS12" s="378" t="n"/>
      <c r="CT12" s="379">
        <f>IF(Q12="作業者2",E15-E12,0)</f>
        <v/>
      </c>
      <c r="CU12" s="377" t="n"/>
      <c r="CV12" s="377" t="n"/>
      <c r="CW12" s="377" t="n"/>
      <c r="CX12" s="378" t="n"/>
      <c r="CZ12" s="259" t="inlineStr">
        <is>
          <t>移動</t>
        </is>
      </c>
      <c r="DA12" s="403" t="n"/>
      <c r="DB12" s="403" t="n"/>
      <c r="DC12" s="404" t="n"/>
      <c r="DD12" s="405">
        <f>IF(Q12="作業者3",E15-E12,0)</f>
        <v/>
      </c>
      <c r="DE12" s="406" t="n"/>
      <c r="DF12" s="406" t="n"/>
      <c r="DG12" s="406" t="n"/>
      <c r="DH12" s="407" t="n"/>
      <c r="DJ12" s="259" t="inlineStr">
        <is>
          <t>移動</t>
        </is>
      </c>
      <c r="DK12" s="403" t="n"/>
      <c r="DL12" s="403" t="n"/>
      <c r="DM12" s="404" t="n"/>
      <c r="DN12" s="379">
        <f>IF(Q12="作業者4",E15-E12,0)</f>
        <v/>
      </c>
      <c r="DO12" s="377" t="n"/>
      <c r="DP12" s="377" t="n"/>
      <c r="DQ12" s="377" t="n"/>
      <c r="DR12" s="378" t="n"/>
      <c r="DT12" s="259" t="inlineStr">
        <is>
          <t>移動</t>
        </is>
      </c>
      <c r="DU12" s="403" t="n"/>
      <c r="DV12" s="403" t="n"/>
      <c r="DW12" s="404" t="n"/>
      <c r="DX12" s="379">
        <f>IF(Q12="作業者5",E15-E12,0)</f>
        <v/>
      </c>
      <c r="DY12" s="377" t="n"/>
      <c r="DZ12" s="377" t="n"/>
      <c r="EA12" s="377" t="n"/>
      <c r="EB12" s="378" t="n"/>
    </row>
    <row r="13" ht="9" customHeight="1" s="337">
      <c r="B13" s="350" t="n"/>
      <c r="C13" s="338" t="n"/>
      <c r="D13" s="380" t="n"/>
      <c r="E13" s="381" t="n"/>
      <c r="F13" s="122" t="inlineStr">
        <is>
          <t>～</t>
        </is>
      </c>
      <c r="G13" s="22" t="n"/>
      <c r="H13" s="381" t="n"/>
      <c r="I13" s="122" t="inlineStr">
        <is>
          <t>～</t>
        </is>
      </c>
      <c r="J13" s="22" t="n"/>
      <c r="K13" s="381" t="n"/>
      <c r="L13" s="122" t="inlineStr">
        <is>
          <t>～</t>
        </is>
      </c>
      <c r="M13" s="22" t="n"/>
      <c r="N13" s="381" t="n"/>
      <c r="O13" s="122" t="inlineStr">
        <is>
          <t>～</t>
        </is>
      </c>
      <c r="P13" s="22" t="n"/>
      <c r="Q13" s="382" t="n"/>
      <c r="R13" s="338" t="n"/>
      <c r="S13" s="380" t="n"/>
      <c r="T13" s="382" t="n"/>
      <c r="U13" s="338" t="n"/>
      <c r="V13" s="380" t="n"/>
      <c r="W13" s="382" t="n"/>
      <c r="X13" s="338" t="n"/>
      <c r="Y13" s="338" t="n"/>
      <c r="Z13" s="338" t="n"/>
      <c r="AA13" s="338" t="n"/>
      <c r="AB13" s="338" t="n"/>
      <c r="AC13" s="338" t="n"/>
      <c r="AD13" s="338" t="n"/>
      <c r="AE13" s="338" t="n"/>
      <c r="AF13" s="338" t="n"/>
      <c r="AG13" s="338" t="n"/>
      <c r="AH13" s="338" t="n"/>
      <c r="AI13" s="338" t="n"/>
      <c r="AJ13" s="338" t="n"/>
      <c r="AK13" s="338" t="n"/>
      <c r="AL13" s="338" t="n"/>
      <c r="AM13" s="338" t="n"/>
      <c r="AN13" s="338" t="n"/>
      <c r="AO13" s="338" t="n"/>
      <c r="AP13" s="338" t="n"/>
      <c r="AQ13" s="338" t="n"/>
      <c r="AR13" s="338" t="n"/>
      <c r="AS13" s="338" t="n"/>
      <c r="AT13" s="338" t="n"/>
      <c r="AU13" s="338" t="n"/>
      <c r="AV13" s="338" t="n"/>
      <c r="AW13" s="338" t="n"/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8" t="n"/>
      <c r="BH13" s="338" t="n"/>
      <c r="BI13" s="338" t="n"/>
      <c r="BJ13" s="338" t="n"/>
      <c r="BK13" s="338" t="n"/>
      <c r="BL13" s="338" t="n"/>
      <c r="BM13" s="338" t="n"/>
      <c r="BN13" s="338" t="n"/>
      <c r="BO13" s="338" t="n"/>
      <c r="BP13" s="338" t="n"/>
      <c r="BQ13" s="338" t="n"/>
      <c r="BR13" s="338" t="n"/>
      <c r="BS13" s="338" t="n"/>
      <c r="BT13" s="338" t="n"/>
      <c r="BU13" s="338" t="n"/>
      <c r="BV13" s="338" t="n"/>
      <c r="BW13" s="338" t="n"/>
      <c r="BX13" s="338" t="n"/>
      <c r="BY13" s="338" t="n"/>
      <c r="BZ13" s="338" t="n"/>
      <c r="CA13" s="338" t="n"/>
      <c r="CB13" s="338" t="n"/>
      <c r="CC13" s="383" t="n"/>
      <c r="CF13" s="253" t="inlineStr">
        <is>
          <t>時間内</t>
        </is>
      </c>
      <c r="CG13" s="384" t="n"/>
      <c r="CH13" s="384" t="n"/>
      <c r="CI13" s="385" t="n"/>
      <c r="CJ13" s="386">
        <f>IF(Q12="作業者1",H15-H12,0)</f>
        <v/>
      </c>
      <c r="CK13" s="387" t="n"/>
      <c r="CL13" s="387" t="n"/>
      <c r="CM13" s="387" t="n"/>
      <c r="CN13" s="388" t="n"/>
      <c r="CP13" s="253" t="inlineStr">
        <is>
          <t>時間内</t>
        </is>
      </c>
      <c r="CQ13" s="384" t="n"/>
      <c r="CR13" s="384" t="n"/>
      <c r="CS13" s="385" t="n"/>
      <c r="CT13" s="386">
        <f>IF(Q12="作業者2",H15-H12,0)</f>
        <v/>
      </c>
      <c r="CU13" s="387" t="n"/>
      <c r="CV13" s="387" t="n"/>
      <c r="CW13" s="387" t="n"/>
      <c r="CX13" s="388" t="n"/>
      <c r="CZ13" s="253" t="inlineStr">
        <is>
          <t>時間内</t>
        </is>
      </c>
      <c r="DA13" s="384" t="n"/>
      <c r="DB13" s="384" t="n"/>
      <c r="DC13" s="385" t="n"/>
      <c r="DD13" s="386">
        <f>IF(Q12="作業者3",H15-H12,0)</f>
        <v/>
      </c>
      <c r="DE13" s="387" t="n"/>
      <c r="DF13" s="387" t="n"/>
      <c r="DG13" s="387" t="n"/>
      <c r="DH13" s="388" t="n"/>
      <c r="DJ13" s="253" t="inlineStr">
        <is>
          <t>時間内</t>
        </is>
      </c>
      <c r="DK13" s="384" t="n"/>
      <c r="DL13" s="384" t="n"/>
      <c r="DM13" s="385" t="n"/>
      <c r="DN13" s="386">
        <f>IF(Q12="作業者4",H15-H12,0)</f>
        <v/>
      </c>
      <c r="DO13" s="387" t="n"/>
      <c r="DP13" s="387" t="n"/>
      <c r="DQ13" s="387" t="n"/>
      <c r="DR13" s="388" t="n"/>
      <c r="DT13" s="253" t="inlineStr">
        <is>
          <t>時間内</t>
        </is>
      </c>
      <c r="DU13" s="384" t="n"/>
      <c r="DV13" s="384" t="n"/>
      <c r="DW13" s="385" t="n"/>
      <c r="DX13" s="386">
        <f>IF(Q12="作業者5",H15-H12,0)</f>
        <v/>
      </c>
      <c r="DY13" s="387" t="n"/>
      <c r="DZ13" s="387" t="n"/>
      <c r="EA13" s="387" t="n"/>
      <c r="EB13" s="388" t="n"/>
    </row>
    <row r="14" ht="9" customHeight="1" s="337">
      <c r="B14" s="350" t="n"/>
      <c r="C14" s="338" t="n"/>
      <c r="D14" s="380" t="n"/>
      <c r="E14" s="44" t="n"/>
      <c r="F14" s="338" t="n"/>
      <c r="G14" s="24" t="n"/>
      <c r="H14" s="44" t="n"/>
      <c r="I14" s="338" t="n"/>
      <c r="J14" s="24" t="n"/>
      <c r="K14" s="44" t="n"/>
      <c r="L14" s="338" t="n"/>
      <c r="M14" s="24" t="n"/>
      <c r="N14" s="44" t="n"/>
      <c r="O14" s="338" t="n"/>
      <c r="P14" s="24" t="n"/>
      <c r="Q14" s="382" t="n"/>
      <c r="R14" s="338" t="n"/>
      <c r="S14" s="380" t="n"/>
      <c r="T14" s="382" t="n"/>
      <c r="U14" s="338" t="n"/>
      <c r="V14" s="380" t="n"/>
      <c r="W14" s="382" t="n"/>
      <c r="X14" s="338" t="n"/>
      <c r="Y14" s="338" t="n"/>
      <c r="Z14" s="338" t="n"/>
      <c r="AA14" s="338" t="n"/>
      <c r="AB14" s="338" t="n"/>
      <c r="AC14" s="338" t="n"/>
      <c r="AD14" s="338" t="n"/>
      <c r="AE14" s="338" t="n"/>
      <c r="AF14" s="338" t="n"/>
      <c r="AG14" s="338" t="n"/>
      <c r="AH14" s="338" t="n"/>
      <c r="AI14" s="338" t="n"/>
      <c r="AJ14" s="338" t="n"/>
      <c r="AK14" s="338" t="n"/>
      <c r="AL14" s="338" t="n"/>
      <c r="AM14" s="338" t="n"/>
      <c r="AN14" s="338" t="n"/>
      <c r="AO14" s="338" t="n"/>
      <c r="AP14" s="338" t="n"/>
      <c r="AQ14" s="338" t="n"/>
      <c r="AR14" s="338" t="n"/>
      <c r="AS14" s="338" t="n"/>
      <c r="AT14" s="338" t="n"/>
      <c r="AU14" s="338" t="n"/>
      <c r="AV14" s="338" t="n"/>
      <c r="AW14" s="338" t="n"/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8" t="n"/>
      <c r="BH14" s="338" t="n"/>
      <c r="BI14" s="338" t="n"/>
      <c r="BJ14" s="338" t="n"/>
      <c r="BK14" s="338" t="n"/>
      <c r="BL14" s="338" t="n"/>
      <c r="BM14" s="338" t="n"/>
      <c r="BN14" s="338" t="n"/>
      <c r="BO14" s="338" t="n"/>
      <c r="BP14" s="338" t="n"/>
      <c r="BQ14" s="338" t="n"/>
      <c r="BR14" s="338" t="n"/>
      <c r="BS14" s="338" t="n"/>
      <c r="BT14" s="338" t="n"/>
      <c r="BU14" s="338" t="n"/>
      <c r="BV14" s="338" t="n"/>
      <c r="BW14" s="338" t="n"/>
      <c r="BX14" s="338" t="n"/>
      <c r="BY14" s="338" t="n"/>
      <c r="BZ14" s="338" t="n"/>
      <c r="CA14" s="338" t="n"/>
      <c r="CB14" s="338" t="n"/>
      <c r="CC14" s="383" t="n"/>
      <c r="CF14" s="253" t="inlineStr">
        <is>
          <t>時間外</t>
        </is>
      </c>
      <c r="CG14" s="384" t="n"/>
      <c r="CH14" s="384" t="n"/>
      <c r="CI14" s="385" t="n"/>
      <c r="CJ14" s="386">
        <f>IF(Q12="作業者1",K15-K12,0)</f>
        <v/>
      </c>
      <c r="CK14" s="387" t="n"/>
      <c r="CL14" s="387" t="n"/>
      <c r="CM14" s="387" t="n"/>
      <c r="CN14" s="388" t="n"/>
      <c r="CP14" s="253" t="inlineStr">
        <is>
          <t>時間外</t>
        </is>
      </c>
      <c r="CQ14" s="384" t="n"/>
      <c r="CR14" s="384" t="n"/>
      <c r="CS14" s="385" t="n"/>
      <c r="CT14" s="386">
        <f>IF(Q12="作業者2",K15-K12,0)</f>
        <v/>
      </c>
      <c r="CU14" s="387" t="n"/>
      <c r="CV14" s="387" t="n"/>
      <c r="CW14" s="387" t="n"/>
      <c r="CX14" s="388" t="n"/>
      <c r="CZ14" s="253" t="inlineStr">
        <is>
          <t>時間外</t>
        </is>
      </c>
      <c r="DA14" s="384" t="n"/>
      <c r="DB14" s="384" t="n"/>
      <c r="DC14" s="385" t="n"/>
      <c r="DD14" s="386">
        <f>IF(Q12="作業者3",K15-K12,0)</f>
        <v/>
      </c>
      <c r="DE14" s="387" t="n"/>
      <c r="DF14" s="387" t="n"/>
      <c r="DG14" s="387" t="n"/>
      <c r="DH14" s="388" t="n"/>
      <c r="DJ14" s="253" t="inlineStr">
        <is>
          <t>時間外</t>
        </is>
      </c>
      <c r="DK14" s="384" t="n"/>
      <c r="DL14" s="384" t="n"/>
      <c r="DM14" s="385" t="n"/>
      <c r="DN14" s="386">
        <f>IF(Q12="作業者4",K15-K12,0)</f>
        <v/>
      </c>
      <c r="DO14" s="387" t="n"/>
      <c r="DP14" s="387" t="n"/>
      <c r="DQ14" s="387" t="n"/>
      <c r="DR14" s="388" t="n"/>
      <c r="DT14" s="253" t="inlineStr">
        <is>
          <t>時間外</t>
        </is>
      </c>
      <c r="DU14" s="384" t="n"/>
      <c r="DV14" s="384" t="n"/>
      <c r="DW14" s="385" t="n"/>
      <c r="DX14" s="386">
        <f>IF(Q12="作業者5",K15-K12,0)</f>
        <v/>
      </c>
      <c r="DY14" s="387" t="n"/>
      <c r="DZ14" s="387" t="n"/>
      <c r="EA14" s="387" t="n"/>
      <c r="EB14" s="388" t="n"/>
    </row>
    <row r="15" ht="9" customHeight="1" s="337">
      <c r="B15" s="389" t="n"/>
      <c r="C15" s="390" t="n"/>
      <c r="D15" s="391" t="n"/>
      <c r="E15" s="392" t="n"/>
      <c r="F15" s="390" t="n"/>
      <c r="G15" s="391" t="n"/>
      <c r="H15" s="392" t="n"/>
      <c r="I15" s="390" t="n"/>
      <c r="J15" s="391" t="n"/>
      <c r="K15" s="392" t="n"/>
      <c r="L15" s="390" t="n"/>
      <c r="M15" s="391" t="n"/>
      <c r="N15" s="392" t="n"/>
      <c r="O15" s="390" t="n"/>
      <c r="P15" s="391" t="n"/>
      <c r="Q15" s="393" t="n"/>
      <c r="R15" s="390" t="n"/>
      <c r="S15" s="391" t="n"/>
      <c r="T15" s="393" t="n"/>
      <c r="U15" s="390" t="n"/>
      <c r="V15" s="391" t="n"/>
      <c r="W15" s="393" t="n"/>
      <c r="X15" s="390" t="n"/>
      <c r="Y15" s="390" t="n"/>
      <c r="Z15" s="390" t="n"/>
      <c r="AA15" s="390" t="n"/>
      <c r="AB15" s="390" t="n"/>
      <c r="AC15" s="390" t="n"/>
      <c r="AD15" s="390" t="n"/>
      <c r="AE15" s="390" t="n"/>
      <c r="AF15" s="390" t="n"/>
      <c r="AG15" s="390" t="n"/>
      <c r="AH15" s="390" t="n"/>
      <c r="AI15" s="390" t="n"/>
      <c r="AJ15" s="390" t="n"/>
      <c r="AK15" s="390" t="n"/>
      <c r="AL15" s="390" t="n"/>
      <c r="AM15" s="390" t="n"/>
      <c r="AN15" s="390" t="n"/>
      <c r="AO15" s="390" t="n"/>
      <c r="AP15" s="390" t="n"/>
      <c r="AQ15" s="390" t="n"/>
      <c r="AR15" s="390" t="n"/>
      <c r="AS15" s="390" t="n"/>
      <c r="AT15" s="390" t="n"/>
      <c r="AU15" s="390" t="n"/>
      <c r="AV15" s="390" t="n"/>
      <c r="AW15" s="390" t="n"/>
      <c r="AX15" s="390" t="n"/>
      <c r="AY15" s="390" t="n"/>
      <c r="AZ15" s="390" t="n"/>
      <c r="BA15" s="390" t="n"/>
      <c r="BB15" s="390" t="n"/>
      <c r="BC15" s="390" t="n"/>
      <c r="BD15" s="390" t="n"/>
      <c r="BE15" s="390" t="n"/>
      <c r="BF15" s="390" t="n"/>
      <c r="BG15" s="390" t="n"/>
      <c r="BH15" s="390" t="n"/>
      <c r="BI15" s="390" t="n"/>
      <c r="BJ15" s="390" t="n"/>
      <c r="BK15" s="390" t="n"/>
      <c r="BL15" s="390" t="n"/>
      <c r="BM15" s="390" t="n"/>
      <c r="BN15" s="390" t="n"/>
      <c r="BO15" s="390" t="n"/>
      <c r="BP15" s="390" t="n"/>
      <c r="BQ15" s="390" t="n"/>
      <c r="BR15" s="390" t="n"/>
      <c r="BS15" s="390" t="n"/>
      <c r="BT15" s="390" t="n"/>
      <c r="BU15" s="390" t="n"/>
      <c r="BV15" s="390" t="n"/>
      <c r="BW15" s="390" t="n"/>
      <c r="BX15" s="390" t="n"/>
      <c r="BY15" s="390" t="n"/>
      <c r="BZ15" s="390" t="n"/>
      <c r="CA15" s="390" t="n"/>
      <c r="CB15" s="390" t="n"/>
      <c r="CC15" s="394" t="n"/>
      <c r="CF15" s="254" t="inlineStr">
        <is>
          <t>休日</t>
        </is>
      </c>
      <c r="CG15" s="395" t="n"/>
      <c r="CH15" s="395" t="n"/>
      <c r="CI15" s="396" t="n"/>
      <c r="CJ15" s="397">
        <f>IF(Q12="作業者1",N15-N12,0)</f>
        <v/>
      </c>
      <c r="CK15" s="395" t="n"/>
      <c r="CL15" s="395" t="n"/>
      <c r="CM15" s="395" t="n"/>
      <c r="CN15" s="396" t="n"/>
      <c r="CP15" s="254" t="inlineStr">
        <is>
          <t>休日</t>
        </is>
      </c>
      <c r="CQ15" s="395" t="n"/>
      <c r="CR15" s="395" t="n"/>
      <c r="CS15" s="396" t="n"/>
      <c r="CT15" s="397">
        <f>IF(Q12="作業者2",N15-N12,0)</f>
        <v/>
      </c>
      <c r="CU15" s="395" t="n"/>
      <c r="CV15" s="395" t="n"/>
      <c r="CW15" s="395" t="n"/>
      <c r="CX15" s="396" t="n"/>
      <c r="CZ15" s="254" t="inlineStr">
        <is>
          <t>休日</t>
        </is>
      </c>
      <c r="DA15" s="395" t="n"/>
      <c r="DB15" s="395" t="n"/>
      <c r="DC15" s="396" t="n"/>
      <c r="DD15" s="397">
        <f>IF(Q12="作業者3",N15-N12,0)</f>
        <v/>
      </c>
      <c r="DE15" s="395" t="n"/>
      <c r="DF15" s="395" t="n"/>
      <c r="DG15" s="395" t="n"/>
      <c r="DH15" s="396" t="n"/>
      <c r="DJ15" s="254" t="inlineStr">
        <is>
          <t>休日</t>
        </is>
      </c>
      <c r="DK15" s="395" t="n"/>
      <c r="DL15" s="395" t="n"/>
      <c r="DM15" s="396" t="n"/>
      <c r="DN15" s="397">
        <f>IF(Q12="作業者4",N15-N12,0)</f>
        <v/>
      </c>
      <c r="DO15" s="395" t="n"/>
      <c r="DP15" s="395" t="n"/>
      <c r="DQ15" s="395" t="n"/>
      <c r="DR15" s="396" t="n"/>
      <c r="DT15" s="254" t="inlineStr">
        <is>
          <t>休日</t>
        </is>
      </c>
      <c r="DU15" s="395" t="n"/>
      <c r="DV15" s="395" t="n"/>
      <c r="DW15" s="396" t="n"/>
      <c r="DX15" s="397">
        <f>IF(Q12="作業者5",N15-N12,0)</f>
        <v/>
      </c>
      <c r="DY15" s="395" t="n"/>
      <c r="DZ15" s="395" t="n"/>
      <c r="EA15" s="395" t="n"/>
      <c r="EB15" s="396" t="n"/>
    </row>
    <row r="16" ht="9" customHeight="1" s="337">
      <c r="B16" s="398" t="n"/>
      <c r="C16" s="372" t="n"/>
      <c r="D16" s="373" t="n"/>
      <c r="E16" s="399" t="n"/>
      <c r="F16" s="372" t="n"/>
      <c r="G16" s="373" t="n"/>
      <c r="H16" s="399" t="n"/>
      <c r="I16" s="372" t="n"/>
      <c r="J16" s="373" t="n"/>
      <c r="K16" s="399" t="n"/>
      <c r="L16" s="372" t="n"/>
      <c r="M16" s="373" t="n"/>
      <c r="N16" s="399" t="n"/>
      <c r="O16" s="372" t="n"/>
      <c r="P16" s="373" t="n"/>
      <c r="Q16" s="371" t="n"/>
      <c r="R16" s="372" t="n"/>
      <c r="S16" s="373" t="n"/>
      <c r="T16" s="400" t="n"/>
      <c r="U16" s="372" t="n"/>
      <c r="V16" s="373" t="n"/>
      <c r="W16" s="443" t="n"/>
      <c r="X16" s="372" t="n"/>
      <c r="Y16" s="372" t="n"/>
      <c r="Z16" s="372" t="n"/>
      <c r="AA16" s="372" t="n"/>
      <c r="AB16" s="372" t="n"/>
      <c r="AC16" s="372" t="n"/>
      <c r="AD16" s="372" t="n"/>
      <c r="AE16" s="372" t="n"/>
      <c r="AF16" s="372" t="n"/>
      <c r="AG16" s="372" t="n"/>
      <c r="AH16" s="372" t="n"/>
      <c r="AI16" s="372" t="n"/>
      <c r="AJ16" s="372" t="n"/>
      <c r="AK16" s="372" t="n"/>
      <c r="AL16" s="372" t="n"/>
      <c r="AM16" s="372" t="n"/>
      <c r="AN16" s="372" t="n"/>
      <c r="AO16" s="372" t="n"/>
      <c r="AP16" s="372" t="n"/>
      <c r="AQ16" s="372" t="n"/>
      <c r="AR16" s="372" t="n"/>
      <c r="AS16" s="372" t="n"/>
      <c r="AT16" s="372" t="n"/>
      <c r="AU16" s="372" t="n"/>
      <c r="AV16" s="372" t="n"/>
      <c r="AW16" s="372" t="n"/>
      <c r="AX16" s="372" t="n"/>
      <c r="AY16" s="372" t="n"/>
      <c r="AZ16" s="372" t="n"/>
      <c r="BA16" s="372" t="n"/>
      <c r="BB16" s="372" t="n"/>
      <c r="BC16" s="372" t="n"/>
      <c r="BD16" s="372" t="n"/>
      <c r="BE16" s="372" t="n"/>
      <c r="BF16" s="372" t="n"/>
      <c r="BG16" s="372" t="n"/>
      <c r="BH16" s="372" t="n"/>
      <c r="BI16" s="372" t="n"/>
      <c r="BJ16" s="372" t="n"/>
      <c r="BK16" s="372" t="n"/>
      <c r="BL16" s="372" t="n"/>
      <c r="BM16" s="372" t="n"/>
      <c r="BN16" s="372" t="n"/>
      <c r="BO16" s="372" t="n"/>
      <c r="BP16" s="372" t="n"/>
      <c r="BQ16" s="372" t="n"/>
      <c r="BR16" s="372" t="n"/>
      <c r="BS16" s="372" t="n"/>
      <c r="BT16" s="372" t="n"/>
      <c r="BU16" s="372" t="n"/>
      <c r="BV16" s="372" t="n"/>
      <c r="BW16" s="372" t="n"/>
      <c r="BX16" s="372" t="n"/>
      <c r="BY16" s="372" t="n"/>
      <c r="BZ16" s="372" t="n"/>
      <c r="CA16" s="372" t="n"/>
      <c r="CB16" s="372" t="n"/>
      <c r="CC16" s="402" t="n"/>
      <c r="CD16" s="30" t="n"/>
      <c r="CE16" s="31" t="n"/>
      <c r="CF16" s="259" t="inlineStr">
        <is>
          <t>移動</t>
        </is>
      </c>
      <c r="CG16" s="403" t="n"/>
      <c r="CH16" s="403" t="n"/>
      <c r="CI16" s="404" t="n"/>
      <c r="CJ16" s="379">
        <f>IF(Q16="作業者1",E19-E16,0)</f>
        <v/>
      </c>
      <c r="CK16" s="377" t="n"/>
      <c r="CL16" s="377" t="n"/>
      <c r="CM16" s="377" t="n"/>
      <c r="CN16" s="378" t="n"/>
      <c r="CP16" s="248" t="inlineStr">
        <is>
          <t>移動</t>
        </is>
      </c>
      <c r="CQ16" s="377" t="n"/>
      <c r="CR16" s="377" t="n"/>
      <c r="CS16" s="378" t="n"/>
      <c r="CT16" s="379">
        <f>IF(Q16="作業者2",E19-E16,0)</f>
        <v/>
      </c>
      <c r="CU16" s="377" t="n"/>
      <c r="CV16" s="377" t="n"/>
      <c r="CW16" s="377" t="n"/>
      <c r="CX16" s="378" t="n"/>
      <c r="CZ16" s="259" t="inlineStr">
        <is>
          <t>移動</t>
        </is>
      </c>
      <c r="DA16" s="403" t="n"/>
      <c r="DB16" s="403" t="n"/>
      <c r="DC16" s="404" t="n"/>
      <c r="DD16" s="405">
        <f>IF(Q16="作業者3",E19-E16,0)</f>
        <v/>
      </c>
      <c r="DE16" s="406" t="n"/>
      <c r="DF16" s="406" t="n"/>
      <c r="DG16" s="406" t="n"/>
      <c r="DH16" s="407" t="n"/>
      <c r="DJ16" s="259" t="inlineStr">
        <is>
          <t>移動</t>
        </is>
      </c>
      <c r="DK16" s="403" t="n"/>
      <c r="DL16" s="403" t="n"/>
      <c r="DM16" s="404" t="n"/>
      <c r="DN16" s="379">
        <f>IF(Q16="作業者4",E19-E16,0)</f>
        <v/>
      </c>
      <c r="DO16" s="377" t="n"/>
      <c r="DP16" s="377" t="n"/>
      <c r="DQ16" s="377" t="n"/>
      <c r="DR16" s="378" t="n"/>
      <c r="DT16" s="259" t="inlineStr">
        <is>
          <t>移動</t>
        </is>
      </c>
      <c r="DU16" s="403" t="n"/>
      <c r="DV16" s="403" t="n"/>
      <c r="DW16" s="404" t="n"/>
      <c r="DX16" s="379">
        <f>IF(Q16="作業者5",E19-E16,0)</f>
        <v/>
      </c>
      <c r="DY16" s="377" t="n"/>
      <c r="DZ16" s="377" t="n"/>
      <c r="EA16" s="377" t="n"/>
      <c r="EB16" s="378" t="n"/>
    </row>
    <row r="17" ht="9" customHeight="1" s="337">
      <c r="B17" s="350" t="n"/>
      <c r="C17" s="338" t="n"/>
      <c r="D17" s="380" t="n"/>
      <c r="E17" s="381" t="n"/>
      <c r="F17" s="122" t="inlineStr">
        <is>
          <t>～</t>
        </is>
      </c>
      <c r="G17" s="22" t="n"/>
      <c r="H17" s="381" t="n"/>
      <c r="I17" s="122" t="inlineStr">
        <is>
          <t>～</t>
        </is>
      </c>
      <c r="J17" s="22" t="n"/>
      <c r="K17" s="381" t="n"/>
      <c r="L17" s="122" t="inlineStr">
        <is>
          <t>～</t>
        </is>
      </c>
      <c r="M17" s="22" t="n"/>
      <c r="N17" s="381" t="n"/>
      <c r="O17" s="122" t="inlineStr">
        <is>
          <t>～</t>
        </is>
      </c>
      <c r="P17" s="22" t="n"/>
      <c r="Q17" s="382" t="n"/>
      <c r="R17" s="338" t="n"/>
      <c r="S17" s="380" t="n"/>
      <c r="T17" s="382" t="n"/>
      <c r="U17" s="338" t="n"/>
      <c r="V17" s="380" t="n"/>
      <c r="W17" s="382" t="n"/>
      <c r="X17" s="338" t="n"/>
      <c r="Y17" s="338" t="n"/>
      <c r="Z17" s="338" t="n"/>
      <c r="AA17" s="338" t="n"/>
      <c r="AB17" s="338" t="n"/>
      <c r="AC17" s="338" t="n"/>
      <c r="AD17" s="338" t="n"/>
      <c r="AE17" s="338" t="n"/>
      <c r="AF17" s="338" t="n"/>
      <c r="AG17" s="338" t="n"/>
      <c r="AH17" s="338" t="n"/>
      <c r="AI17" s="338" t="n"/>
      <c r="AJ17" s="338" t="n"/>
      <c r="AK17" s="338" t="n"/>
      <c r="AL17" s="338" t="n"/>
      <c r="AM17" s="338" t="n"/>
      <c r="AN17" s="338" t="n"/>
      <c r="AO17" s="338" t="n"/>
      <c r="AP17" s="338" t="n"/>
      <c r="AQ17" s="338" t="n"/>
      <c r="AR17" s="338" t="n"/>
      <c r="AS17" s="338" t="n"/>
      <c r="AT17" s="338" t="n"/>
      <c r="AU17" s="338" t="n"/>
      <c r="AV17" s="338" t="n"/>
      <c r="AW17" s="338" t="n"/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8" t="n"/>
      <c r="BH17" s="338" t="n"/>
      <c r="BI17" s="338" t="n"/>
      <c r="BJ17" s="338" t="n"/>
      <c r="BK17" s="338" t="n"/>
      <c r="BL17" s="338" t="n"/>
      <c r="BM17" s="338" t="n"/>
      <c r="BN17" s="338" t="n"/>
      <c r="BO17" s="338" t="n"/>
      <c r="BP17" s="338" t="n"/>
      <c r="BQ17" s="338" t="n"/>
      <c r="BR17" s="338" t="n"/>
      <c r="BS17" s="338" t="n"/>
      <c r="BT17" s="338" t="n"/>
      <c r="BU17" s="338" t="n"/>
      <c r="BV17" s="338" t="n"/>
      <c r="BW17" s="338" t="n"/>
      <c r="BX17" s="338" t="n"/>
      <c r="BY17" s="338" t="n"/>
      <c r="BZ17" s="338" t="n"/>
      <c r="CA17" s="338" t="n"/>
      <c r="CB17" s="338" t="n"/>
      <c r="CC17" s="383" t="n"/>
      <c r="CD17" s="30" t="n"/>
      <c r="CE17" s="31" t="n"/>
      <c r="CF17" s="253" t="inlineStr">
        <is>
          <t>時間内</t>
        </is>
      </c>
      <c r="CG17" s="384" t="n"/>
      <c r="CH17" s="384" t="n"/>
      <c r="CI17" s="385" t="n"/>
      <c r="CJ17" s="386">
        <f>IF(Q16="作業者1",H19-H16,0)</f>
        <v/>
      </c>
      <c r="CK17" s="387" t="n"/>
      <c r="CL17" s="387" t="n"/>
      <c r="CM17" s="387" t="n"/>
      <c r="CN17" s="388" t="n"/>
      <c r="CP17" s="253" t="inlineStr">
        <is>
          <t>時間内</t>
        </is>
      </c>
      <c r="CQ17" s="384" t="n"/>
      <c r="CR17" s="384" t="n"/>
      <c r="CS17" s="385" t="n"/>
      <c r="CT17" s="386">
        <f>IF(Q16="作業者2",H19-H16,0)</f>
        <v/>
      </c>
      <c r="CU17" s="387" t="n"/>
      <c r="CV17" s="387" t="n"/>
      <c r="CW17" s="387" t="n"/>
      <c r="CX17" s="388" t="n"/>
      <c r="CZ17" s="253" t="inlineStr">
        <is>
          <t>時間内</t>
        </is>
      </c>
      <c r="DA17" s="384" t="n"/>
      <c r="DB17" s="384" t="n"/>
      <c r="DC17" s="385" t="n"/>
      <c r="DD17" s="386">
        <f>IF(Q16="作業者3",H19-H16,0)</f>
        <v/>
      </c>
      <c r="DE17" s="387" t="n"/>
      <c r="DF17" s="387" t="n"/>
      <c r="DG17" s="387" t="n"/>
      <c r="DH17" s="388" t="n"/>
      <c r="DJ17" s="253" t="inlineStr">
        <is>
          <t>時間内</t>
        </is>
      </c>
      <c r="DK17" s="384" t="n"/>
      <c r="DL17" s="384" t="n"/>
      <c r="DM17" s="385" t="n"/>
      <c r="DN17" s="386">
        <f>IF(Q16="作業者4",H19-H16,0)</f>
        <v/>
      </c>
      <c r="DO17" s="387" t="n"/>
      <c r="DP17" s="387" t="n"/>
      <c r="DQ17" s="387" t="n"/>
      <c r="DR17" s="388" t="n"/>
      <c r="DT17" s="253" t="inlineStr">
        <is>
          <t>時間内</t>
        </is>
      </c>
      <c r="DU17" s="384" t="n"/>
      <c r="DV17" s="384" t="n"/>
      <c r="DW17" s="385" t="n"/>
      <c r="DX17" s="386">
        <f>IF(Q16="作業者5",H19-H16,0)</f>
        <v/>
      </c>
      <c r="DY17" s="387" t="n"/>
      <c r="DZ17" s="387" t="n"/>
      <c r="EA17" s="387" t="n"/>
      <c r="EB17" s="388" t="n"/>
    </row>
    <row r="18" ht="9" customHeight="1" s="337">
      <c r="B18" s="350" t="n"/>
      <c r="C18" s="338" t="n"/>
      <c r="D18" s="380" t="n"/>
      <c r="E18" s="23" t="n"/>
      <c r="F18" s="338" t="n"/>
      <c r="G18" s="24" t="n"/>
      <c r="H18" s="23" t="n"/>
      <c r="I18" s="338" t="n"/>
      <c r="J18" s="24" t="n"/>
      <c r="K18" s="23" t="n"/>
      <c r="L18" s="338" t="n"/>
      <c r="M18" s="24" t="n"/>
      <c r="N18" s="23" t="n"/>
      <c r="O18" s="338" t="n"/>
      <c r="P18" s="24" t="n"/>
      <c r="Q18" s="382" t="n"/>
      <c r="R18" s="338" t="n"/>
      <c r="S18" s="380" t="n"/>
      <c r="T18" s="382" t="n"/>
      <c r="U18" s="338" t="n"/>
      <c r="V18" s="380" t="n"/>
      <c r="W18" s="382" t="n"/>
      <c r="X18" s="338" t="n"/>
      <c r="Y18" s="338" t="n"/>
      <c r="Z18" s="338" t="n"/>
      <c r="AA18" s="338" t="n"/>
      <c r="AB18" s="338" t="n"/>
      <c r="AC18" s="338" t="n"/>
      <c r="AD18" s="338" t="n"/>
      <c r="AE18" s="338" t="n"/>
      <c r="AF18" s="338" t="n"/>
      <c r="AG18" s="338" t="n"/>
      <c r="AH18" s="338" t="n"/>
      <c r="AI18" s="338" t="n"/>
      <c r="AJ18" s="338" t="n"/>
      <c r="AK18" s="338" t="n"/>
      <c r="AL18" s="338" t="n"/>
      <c r="AM18" s="338" t="n"/>
      <c r="AN18" s="338" t="n"/>
      <c r="AO18" s="338" t="n"/>
      <c r="AP18" s="338" t="n"/>
      <c r="AQ18" s="338" t="n"/>
      <c r="AR18" s="338" t="n"/>
      <c r="AS18" s="338" t="n"/>
      <c r="AT18" s="338" t="n"/>
      <c r="AU18" s="338" t="n"/>
      <c r="AV18" s="338" t="n"/>
      <c r="AW18" s="338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8" t="n"/>
      <c r="BH18" s="338" t="n"/>
      <c r="BI18" s="338" t="n"/>
      <c r="BJ18" s="338" t="n"/>
      <c r="BK18" s="338" t="n"/>
      <c r="BL18" s="338" t="n"/>
      <c r="BM18" s="338" t="n"/>
      <c r="BN18" s="338" t="n"/>
      <c r="BO18" s="338" t="n"/>
      <c r="BP18" s="338" t="n"/>
      <c r="BQ18" s="338" t="n"/>
      <c r="BR18" s="338" t="n"/>
      <c r="BS18" s="338" t="n"/>
      <c r="BT18" s="338" t="n"/>
      <c r="BU18" s="338" t="n"/>
      <c r="BV18" s="338" t="n"/>
      <c r="BW18" s="338" t="n"/>
      <c r="BX18" s="338" t="n"/>
      <c r="BY18" s="338" t="n"/>
      <c r="BZ18" s="338" t="n"/>
      <c r="CA18" s="338" t="n"/>
      <c r="CB18" s="338" t="n"/>
      <c r="CC18" s="383" t="n"/>
      <c r="CD18" s="30" t="n"/>
      <c r="CE18" s="31" t="n"/>
      <c r="CF18" s="253" t="inlineStr">
        <is>
          <t>時間外</t>
        </is>
      </c>
      <c r="CG18" s="384" t="n"/>
      <c r="CH18" s="384" t="n"/>
      <c r="CI18" s="385" t="n"/>
      <c r="CJ18" s="386">
        <f>IF(Q16="作業者1",K19-K16,0)</f>
        <v/>
      </c>
      <c r="CK18" s="387" t="n"/>
      <c r="CL18" s="387" t="n"/>
      <c r="CM18" s="387" t="n"/>
      <c r="CN18" s="388" t="n"/>
      <c r="CP18" s="253" t="inlineStr">
        <is>
          <t>時間外</t>
        </is>
      </c>
      <c r="CQ18" s="384" t="n"/>
      <c r="CR18" s="384" t="n"/>
      <c r="CS18" s="385" t="n"/>
      <c r="CT18" s="386">
        <f>IF(Q16="作業者2",K19-K16,0)</f>
        <v/>
      </c>
      <c r="CU18" s="387" t="n"/>
      <c r="CV18" s="387" t="n"/>
      <c r="CW18" s="387" t="n"/>
      <c r="CX18" s="388" t="n"/>
      <c r="CZ18" s="253" t="inlineStr">
        <is>
          <t>時間外</t>
        </is>
      </c>
      <c r="DA18" s="384" t="n"/>
      <c r="DB18" s="384" t="n"/>
      <c r="DC18" s="385" t="n"/>
      <c r="DD18" s="386">
        <f>IF(Q16="作業者3",K19-K16,0)</f>
        <v/>
      </c>
      <c r="DE18" s="387" t="n"/>
      <c r="DF18" s="387" t="n"/>
      <c r="DG18" s="387" t="n"/>
      <c r="DH18" s="388" t="n"/>
      <c r="DJ18" s="253" t="inlineStr">
        <is>
          <t>時間外</t>
        </is>
      </c>
      <c r="DK18" s="384" t="n"/>
      <c r="DL18" s="384" t="n"/>
      <c r="DM18" s="385" t="n"/>
      <c r="DN18" s="386">
        <f>IF(Q16="作業者4",K19-K16,0)</f>
        <v/>
      </c>
      <c r="DO18" s="387" t="n"/>
      <c r="DP18" s="387" t="n"/>
      <c r="DQ18" s="387" t="n"/>
      <c r="DR18" s="388" t="n"/>
      <c r="DT18" s="253" t="inlineStr">
        <is>
          <t>時間外</t>
        </is>
      </c>
      <c r="DU18" s="384" t="n"/>
      <c r="DV18" s="384" t="n"/>
      <c r="DW18" s="385" t="n"/>
      <c r="DX18" s="386">
        <f>IF(Q16="作業者5",K19-K16,0)</f>
        <v/>
      </c>
      <c r="DY18" s="387" t="n"/>
      <c r="DZ18" s="387" t="n"/>
      <c r="EA18" s="387" t="n"/>
      <c r="EB18" s="388" t="n"/>
    </row>
    <row r="19" ht="9" customHeight="1" s="337">
      <c r="B19" s="389" t="n"/>
      <c r="C19" s="390" t="n"/>
      <c r="D19" s="391" t="n"/>
      <c r="E19" s="392" t="n"/>
      <c r="F19" s="390" t="n"/>
      <c r="G19" s="391" t="n"/>
      <c r="H19" s="392" t="n"/>
      <c r="I19" s="390" t="n"/>
      <c r="J19" s="391" t="n"/>
      <c r="K19" s="392" t="n"/>
      <c r="L19" s="390" t="n"/>
      <c r="M19" s="391" t="n"/>
      <c r="N19" s="392" t="n"/>
      <c r="O19" s="390" t="n"/>
      <c r="P19" s="391" t="n"/>
      <c r="Q19" s="393" t="n"/>
      <c r="R19" s="390" t="n"/>
      <c r="S19" s="391" t="n"/>
      <c r="T19" s="393" t="n"/>
      <c r="U19" s="390" t="n"/>
      <c r="V19" s="391" t="n"/>
      <c r="W19" s="393" t="n"/>
      <c r="X19" s="390" t="n"/>
      <c r="Y19" s="390" t="n"/>
      <c r="Z19" s="390" t="n"/>
      <c r="AA19" s="390" t="n"/>
      <c r="AB19" s="390" t="n"/>
      <c r="AC19" s="390" t="n"/>
      <c r="AD19" s="390" t="n"/>
      <c r="AE19" s="390" t="n"/>
      <c r="AF19" s="390" t="n"/>
      <c r="AG19" s="390" t="n"/>
      <c r="AH19" s="390" t="n"/>
      <c r="AI19" s="390" t="n"/>
      <c r="AJ19" s="390" t="n"/>
      <c r="AK19" s="390" t="n"/>
      <c r="AL19" s="390" t="n"/>
      <c r="AM19" s="390" t="n"/>
      <c r="AN19" s="390" t="n"/>
      <c r="AO19" s="390" t="n"/>
      <c r="AP19" s="390" t="n"/>
      <c r="AQ19" s="390" t="n"/>
      <c r="AR19" s="390" t="n"/>
      <c r="AS19" s="390" t="n"/>
      <c r="AT19" s="390" t="n"/>
      <c r="AU19" s="390" t="n"/>
      <c r="AV19" s="390" t="n"/>
      <c r="AW19" s="390" t="n"/>
      <c r="AX19" s="390" t="n"/>
      <c r="AY19" s="390" t="n"/>
      <c r="AZ19" s="390" t="n"/>
      <c r="BA19" s="390" t="n"/>
      <c r="BB19" s="390" t="n"/>
      <c r="BC19" s="390" t="n"/>
      <c r="BD19" s="390" t="n"/>
      <c r="BE19" s="390" t="n"/>
      <c r="BF19" s="390" t="n"/>
      <c r="BG19" s="390" t="n"/>
      <c r="BH19" s="390" t="n"/>
      <c r="BI19" s="390" t="n"/>
      <c r="BJ19" s="390" t="n"/>
      <c r="BK19" s="390" t="n"/>
      <c r="BL19" s="390" t="n"/>
      <c r="BM19" s="390" t="n"/>
      <c r="BN19" s="390" t="n"/>
      <c r="BO19" s="390" t="n"/>
      <c r="BP19" s="390" t="n"/>
      <c r="BQ19" s="390" t="n"/>
      <c r="BR19" s="390" t="n"/>
      <c r="BS19" s="390" t="n"/>
      <c r="BT19" s="390" t="n"/>
      <c r="BU19" s="390" t="n"/>
      <c r="BV19" s="390" t="n"/>
      <c r="BW19" s="390" t="n"/>
      <c r="BX19" s="390" t="n"/>
      <c r="BY19" s="390" t="n"/>
      <c r="BZ19" s="390" t="n"/>
      <c r="CA19" s="390" t="n"/>
      <c r="CB19" s="390" t="n"/>
      <c r="CC19" s="394" t="n"/>
      <c r="CD19" s="30" t="n"/>
      <c r="CE19" s="31" t="n"/>
      <c r="CF19" s="249" t="inlineStr">
        <is>
          <t>休日</t>
        </is>
      </c>
      <c r="CG19" s="408" t="n"/>
      <c r="CH19" s="408" t="n"/>
      <c r="CI19" s="409" t="n"/>
      <c r="CJ19" s="386">
        <f>IF(Q16="作業者1",N19-N16,0)</f>
        <v/>
      </c>
      <c r="CK19" s="387" t="n"/>
      <c r="CL19" s="387" t="n"/>
      <c r="CM19" s="387" t="n"/>
      <c r="CN19" s="388" t="n"/>
      <c r="CP19" s="253" t="inlineStr">
        <is>
          <t>休日</t>
        </is>
      </c>
      <c r="CQ19" s="384" t="n"/>
      <c r="CR19" s="384" t="n"/>
      <c r="CS19" s="385" t="n"/>
      <c r="CT19" s="386">
        <f>IF(Q16="作業者2",N19-N16,0)</f>
        <v/>
      </c>
      <c r="CU19" s="387" t="n"/>
      <c r="CV19" s="387" t="n"/>
      <c r="CW19" s="387" t="n"/>
      <c r="CX19" s="388" t="n"/>
      <c r="CZ19" s="254" t="inlineStr">
        <is>
          <t>休日</t>
        </is>
      </c>
      <c r="DA19" s="395" t="n"/>
      <c r="DB19" s="395" t="n"/>
      <c r="DC19" s="396" t="n"/>
      <c r="DD19" s="397">
        <f>IF(Q16="作業者3",N19-N16,0)</f>
        <v/>
      </c>
      <c r="DE19" s="395" t="n"/>
      <c r="DF19" s="395" t="n"/>
      <c r="DG19" s="395" t="n"/>
      <c r="DH19" s="396" t="n"/>
      <c r="DJ19" s="254" t="inlineStr">
        <is>
          <t>休日</t>
        </is>
      </c>
      <c r="DK19" s="395" t="n"/>
      <c r="DL19" s="395" t="n"/>
      <c r="DM19" s="396" t="n"/>
      <c r="DN19" s="397">
        <f>IF(Q16="作業者4",N19-N16,0)</f>
        <v/>
      </c>
      <c r="DO19" s="395" t="n"/>
      <c r="DP19" s="395" t="n"/>
      <c r="DQ19" s="395" t="n"/>
      <c r="DR19" s="396" t="n"/>
      <c r="DT19" s="254" t="inlineStr">
        <is>
          <t>休日</t>
        </is>
      </c>
      <c r="DU19" s="395" t="n"/>
      <c r="DV19" s="395" t="n"/>
      <c r="DW19" s="396" t="n"/>
      <c r="DX19" s="397">
        <f>IF(Q16="作業者5",N19-N16,0)</f>
        <v/>
      </c>
      <c r="DY19" s="395" t="n"/>
      <c r="DZ19" s="395" t="n"/>
      <c r="EA19" s="395" t="n"/>
      <c r="EB19" s="396" t="n"/>
    </row>
    <row r="20" ht="9" customHeight="1" s="337">
      <c r="B20" s="398" t="n"/>
      <c r="C20" s="372" t="n"/>
      <c r="D20" s="373" t="n"/>
      <c r="E20" s="399" t="n"/>
      <c r="F20" s="372" t="n"/>
      <c r="G20" s="373" t="n"/>
      <c r="H20" s="399" t="n"/>
      <c r="I20" s="372" t="n"/>
      <c r="J20" s="373" t="n"/>
      <c r="K20" s="399" t="n"/>
      <c r="L20" s="372" t="n"/>
      <c r="M20" s="373" t="n"/>
      <c r="N20" s="399" t="n"/>
      <c r="O20" s="372" t="n"/>
      <c r="P20" s="373" t="n"/>
      <c r="Q20" s="371" t="n"/>
      <c r="R20" s="372" t="n"/>
      <c r="S20" s="373" t="n"/>
      <c r="T20" s="371" t="n"/>
      <c r="U20" s="372" t="n"/>
      <c r="V20" s="373" t="n"/>
      <c r="W20" s="443" t="n"/>
      <c r="X20" s="372" t="n"/>
      <c r="Y20" s="372" t="n"/>
      <c r="Z20" s="372" t="n"/>
      <c r="AA20" s="372" t="n"/>
      <c r="AB20" s="372" t="n"/>
      <c r="AC20" s="372" t="n"/>
      <c r="AD20" s="372" t="n"/>
      <c r="AE20" s="372" t="n"/>
      <c r="AF20" s="372" t="n"/>
      <c r="AG20" s="372" t="n"/>
      <c r="AH20" s="372" t="n"/>
      <c r="AI20" s="372" t="n"/>
      <c r="AJ20" s="372" t="n"/>
      <c r="AK20" s="372" t="n"/>
      <c r="AL20" s="372" t="n"/>
      <c r="AM20" s="372" t="n"/>
      <c r="AN20" s="372" t="n"/>
      <c r="AO20" s="372" t="n"/>
      <c r="AP20" s="372" t="n"/>
      <c r="AQ20" s="372" t="n"/>
      <c r="AR20" s="372" t="n"/>
      <c r="AS20" s="372" t="n"/>
      <c r="AT20" s="372" t="n"/>
      <c r="AU20" s="372" t="n"/>
      <c r="AV20" s="372" t="n"/>
      <c r="AW20" s="372" t="n"/>
      <c r="AX20" s="372" t="n"/>
      <c r="AY20" s="372" t="n"/>
      <c r="AZ20" s="372" t="n"/>
      <c r="BA20" s="372" t="n"/>
      <c r="BB20" s="372" t="n"/>
      <c r="BC20" s="372" t="n"/>
      <c r="BD20" s="372" t="n"/>
      <c r="BE20" s="372" t="n"/>
      <c r="BF20" s="372" t="n"/>
      <c r="BG20" s="372" t="n"/>
      <c r="BH20" s="372" t="n"/>
      <c r="BI20" s="372" t="n"/>
      <c r="BJ20" s="372" t="n"/>
      <c r="BK20" s="372" t="n"/>
      <c r="BL20" s="372" t="n"/>
      <c r="BM20" s="372" t="n"/>
      <c r="BN20" s="372" t="n"/>
      <c r="BO20" s="372" t="n"/>
      <c r="BP20" s="372" t="n"/>
      <c r="BQ20" s="372" t="n"/>
      <c r="BR20" s="372" t="n"/>
      <c r="BS20" s="372" t="n"/>
      <c r="BT20" s="372" t="n"/>
      <c r="BU20" s="372" t="n"/>
      <c r="BV20" s="372" t="n"/>
      <c r="BW20" s="372" t="n"/>
      <c r="BX20" s="372" t="n"/>
      <c r="BY20" s="372" t="n"/>
      <c r="BZ20" s="372" t="n"/>
      <c r="CA20" s="372" t="n"/>
      <c r="CB20" s="372" t="n"/>
      <c r="CC20" s="402" t="n"/>
      <c r="CF20" s="248" t="inlineStr">
        <is>
          <t>移動</t>
        </is>
      </c>
      <c r="CG20" s="377" t="n"/>
      <c r="CH20" s="377" t="n"/>
      <c r="CI20" s="378" t="n"/>
      <c r="CJ20" s="379">
        <f>IF(Q20="作業者1",E23-E20,0)</f>
        <v/>
      </c>
      <c r="CK20" s="377" t="n"/>
      <c r="CL20" s="377" t="n"/>
      <c r="CM20" s="377" t="n"/>
      <c r="CN20" s="378" t="n"/>
      <c r="CP20" s="248" t="inlineStr">
        <is>
          <t>移動</t>
        </is>
      </c>
      <c r="CQ20" s="377" t="n"/>
      <c r="CR20" s="377" t="n"/>
      <c r="CS20" s="378" t="n"/>
      <c r="CT20" s="379">
        <f>IF(Q20="作業者2",E23-E20,0)</f>
        <v/>
      </c>
      <c r="CU20" s="377" t="n"/>
      <c r="CV20" s="377" t="n"/>
      <c r="CW20" s="377" t="n"/>
      <c r="CX20" s="378" t="n"/>
      <c r="CZ20" s="259" t="inlineStr">
        <is>
          <t>移動</t>
        </is>
      </c>
      <c r="DA20" s="403" t="n"/>
      <c r="DB20" s="403" t="n"/>
      <c r="DC20" s="404" t="n"/>
      <c r="DD20" s="405">
        <f>IF(Q20="作業者3",E23-E20,0)</f>
        <v/>
      </c>
      <c r="DE20" s="406" t="n"/>
      <c r="DF20" s="406" t="n"/>
      <c r="DG20" s="406" t="n"/>
      <c r="DH20" s="407" t="n"/>
      <c r="DJ20" s="259" t="inlineStr">
        <is>
          <t>移動</t>
        </is>
      </c>
      <c r="DK20" s="403" t="n"/>
      <c r="DL20" s="403" t="n"/>
      <c r="DM20" s="404" t="n"/>
      <c r="DN20" s="379">
        <f>IF(Q20="作業者4",E23-E20,0)</f>
        <v/>
      </c>
      <c r="DO20" s="377" t="n"/>
      <c r="DP20" s="377" t="n"/>
      <c r="DQ20" s="377" t="n"/>
      <c r="DR20" s="378" t="n"/>
      <c r="DT20" s="259" t="inlineStr">
        <is>
          <t>移動</t>
        </is>
      </c>
      <c r="DU20" s="403" t="n"/>
      <c r="DV20" s="403" t="n"/>
      <c r="DW20" s="404" t="n"/>
      <c r="DX20" s="379">
        <f>IF(Q20="作業者5",E23-E20,0)</f>
        <v/>
      </c>
      <c r="DY20" s="377" t="n"/>
      <c r="DZ20" s="377" t="n"/>
      <c r="EA20" s="377" t="n"/>
      <c r="EB20" s="378" t="n"/>
    </row>
    <row r="21" ht="9" customHeight="1" s="337">
      <c r="B21" s="350" t="n"/>
      <c r="C21" s="338" t="n"/>
      <c r="D21" s="380" t="n"/>
      <c r="E21" s="381" t="n"/>
      <c r="F21" s="122" t="inlineStr">
        <is>
          <t>～</t>
        </is>
      </c>
      <c r="G21" s="22" t="n"/>
      <c r="H21" s="381" t="n"/>
      <c r="I21" s="122" t="inlineStr">
        <is>
          <t>～</t>
        </is>
      </c>
      <c r="J21" s="22" t="n"/>
      <c r="K21" s="381" t="n"/>
      <c r="L21" s="122" t="inlineStr">
        <is>
          <t>～</t>
        </is>
      </c>
      <c r="M21" s="22" t="n"/>
      <c r="N21" s="381" t="n"/>
      <c r="O21" s="122" t="inlineStr">
        <is>
          <t>～</t>
        </is>
      </c>
      <c r="P21" s="22" t="n"/>
      <c r="Q21" s="382" t="n"/>
      <c r="R21" s="338" t="n"/>
      <c r="S21" s="380" t="n"/>
      <c r="T21" s="382" t="n"/>
      <c r="U21" s="338" t="n"/>
      <c r="V21" s="380" t="n"/>
      <c r="W21" s="382" t="n"/>
      <c r="X21" s="338" t="n"/>
      <c r="Y21" s="338" t="n"/>
      <c r="Z21" s="338" t="n"/>
      <c r="AA21" s="338" t="n"/>
      <c r="AB21" s="338" t="n"/>
      <c r="AC21" s="338" t="n"/>
      <c r="AD21" s="338" t="n"/>
      <c r="AE21" s="338" t="n"/>
      <c r="AF21" s="338" t="n"/>
      <c r="AG21" s="338" t="n"/>
      <c r="AH21" s="338" t="n"/>
      <c r="AI21" s="338" t="n"/>
      <c r="AJ21" s="338" t="n"/>
      <c r="AK21" s="338" t="n"/>
      <c r="AL21" s="338" t="n"/>
      <c r="AM21" s="338" t="n"/>
      <c r="AN21" s="338" t="n"/>
      <c r="AO21" s="338" t="n"/>
      <c r="AP21" s="338" t="n"/>
      <c r="AQ21" s="338" t="n"/>
      <c r="AR21" s="338" t="n"/>
      <c r="AS21" s="338" t="n"/>
      <c r="AT21" s="338" t="n"/>
      <c r="AU21" s="338" t="n"/>
      <c r="AV21" s="338" t="n"/>
      <c r="AW21" s="338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8" t="n"/>
      <c r="BH21" s="338" t="n"/>
      <c r="BI21" s="338" t="n"/>
      <c r="BJ21" s="338" t="n"/>
      <c r="BK21" s="338" t="n"/>
      <c r="BL21" s="338" t="n"/>
      <c r="BM21" s="338" t="n"/>
      <c r="BN21" s="338" t="n"/>
      <c r="BO21" s="338" t="n"/>
      <c r="BP21" s="338" t="n"/>
      <c r="BQ21" s="338" t="n"/>
      <c r="BR21" s="338" t="n"/>
      <c r="BS21" s="338" t="n"/>
      <c r="BT21" s="338" t="n"/>
      <c r="BU21" s="338" t="n"/>
      <c r="BV21" s="338" t="n"/>
      <c r="BW21" s="338" t="n"/>
      <c r="BX21" s="338" t="n"/>
      <c r="BY21" s="338" t="n"/>
      <c r="BZ21" s="338" t="n"/>
      <c r="CA21" s="338" t="n"/>
      <c r="CB21" s="338" t="n"/>
      <c r="CC21" s="383" t="n"/>
      <c r="CF21" s="253" t="inlineStr">
        <is>
          <t>時間内</t>
        </is>
      </c>
      <c r="CG21" s="384" t="n"/>
      <c r="CH21" s="384" t="n"/>
      <c r="CI21" s="385" t="n"/>
      <c r="CJ21" s="386">
        <f>IF(Q20="作業者1",H23-H20,0)</f>
        <v/>
      </c>
      <c r="CK21" s="387" t="n"/>
      <c r="CL21" s="387" t="n"/>
      <c r="CM21" s="387" t="n"/>
      <c r="CN21" s="388" t="n"/>
      <c r="CP21" s="253" t="inlineStr">
        <is>
          <t>時間内</t>
        </is>
      </c>
      <c r="CQ21" s="384" t="n"/>
      <c r="CR21" s="384" t="n"/>
      <c r="CS21" s="385" t="n"/>
      <c r="CT21" s="386">
        <f>IF(Q20="作業者2",H23-H20,0)</f>
        <v/>
      </c>
      <c r="CU21" s="387" t="n"/>
      <c r="CV21" s="387" t="n"/>
      <c r="CW21" s="387" t="n"/>
      <c r="CX21" s="388" t="n"/>
      <c r="CZ21" s="253" t="inlineStr">
        <is>
          <t>時間内</t>
        </is>
      </c>
      <c r="DA21" s="384" t="n"/>
      <c r="DB21" s="384" t="n"/>
      <c r="DC21" s="385" t="n"/>
      <c r="DD21" s="386">
        <f>IF(Q20="作業者3",H23-H20,0)</f>
        <v/>
      </c>
      <c r="DE21" s="387" t="n"/>
      <c r="DF21" s="387" t="n"/>
      <c r="DG21" s="387" t="n"/>
      <c r="DH21" s="388" t="n"/>
      <c r="DJ21" s="253" t="inlineStr">
        <is>
          <t>時間内</t>
        </is>
      </c>
      <c r="DK21" s="384" t="n"/>
      <c r="DL21" s="384" t="n"/>
      <c r="DM21" s="385" t="n"/>
      <c r="DN21" s="386">
        <f>IF(Q20="作業者4",H23-H20,0)</f>
        <v/>
      </c>
      <c r="DO21" s="387" t="n"/>
      <c r="DP21" s="387" t="n"/>
      <c r="DQ21" s="387" t="n"/>
      <c r="DR21" s="388" t="n"/>
      <c r="DT21" s="253" t="inlineStr">
        <is>
          <t>時間内</t>
        </is>
      </c>
      <c r="DU21" s="384" t="n"/>
      <c r="DV21" s="384" t="n"/>
      <c r="DW21" s="385" t="n"/>
      <c r="DX21" s="386">
        <f>IF(Q20="作業者5",H23-H20,0)</f>
        <v/>
      </c>
      <c r="DY21" s="387" t="n"/>
      <c r="DZ21" s="387" t="n"/>
      <c r="EA21" s="387" t="n"/>
      <c r="EB21" s="388" t="n"/>
    </row>
    <row r="22" ht="9" customHeight="1" s="337">
      <c r="B22" s="350" t="n"/>
      <c r="C22" s="338" t="n"/>
      <c r="D22" s="380" t="n"/>
      <c r="E22" s="23" t="n"/>
      <c r="F22" s="338" t="n"/>
      <c r="G22" s="24" t="n"/>
      <c r="H22" s="23" t="n"/>
      <c r="I22" s="338" t="n"/>
      <c r="J22" s="24" t="n"/>
      <c r="K22" s="23" t="n"/>
      <c r="L22" s="338" t="n"/>
      <c r="M22" s="24" t="n"/>
      <c r="N22" s="23" t="n"/>
      <c r="O22" s="338" t="n"/>
      <c r="P22" s="24" t="n"/>
      <c r="Q22" s="382" t="n"/>
      <c r="R22" s="338" t="n"/>
      <c r="S22" s="380" t="n"/>
      <c r="T22" s="382" t="n"/>
      <c r="U22" s="338" t="n"/>
      <c r="V22" s="380" t="n"/>
      <c r="W22" s="382" t="n"/>
      <c r="X22" s="338" t="n"/>
      <c r="Y22" s="338" t="n"/>
      <c r="Z22" s="338" t="n"/>
      <c r="AA22" s="338" t="n"/>
      <c r="AB22" s="338" t="n"/>
      <c r="AC22" s="338" t="n"/>
      <c r="AD22" s="338" t="n"/>
      <c r="AE22" s="338" t="n"/>
      <c r="AF22" s="338" t="n"/>
      <c r="AG22" s="338" t="n"/>
      <c r="AH22" s="338" t="n"/>
      <c r="AI22" s="338" t="n"/>
      <c r="AJ22" s="338" t="n"/>
      <c r="AK22" s="338" t="n"/>
      <c r="AL22" s="338" t="n"/>
      <c r="AM22" s="338" t="n"/>
      <c r="AN22" s="338" t="n"/>
      <c r="AO22" s="338" t="n"/>
      <c r="AP22" s="338" t="n"/>
      <c r="AQ22" s="338" t="n"/>
      <c r="AR22" s="338" t="n"/>
      <c r="AS22" s="338" t="n"/>
      <c r="AT22" s="338" t="n"/>
      <c r="AU22" s="338" t="n"/>
      <c r="AV22" s="338" t="n"/>
      <c r="AW22" s="338" t="n"/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8" t="n"/>
      <c r="BH22" s="338" t="n"/>
      <c r="BI22" s="338" t="n"/>
      <c r="BJ22" s="338" t="n"/>
      <c r="BK22" s="338" t="n"/>
      <c r="BL22" s="338" t="n"/>
      <c r="BM22" s="338" t="n"/>
      <c r="BN22" s="338" t="n"/>
      <c r="BO22" s="338" t="n"/>
      <c r="BP22" s="338" t="n"/>
      <c r="BQ22" s="338" t="n"/>
      <c r="BR22" s="338" t="n"/>
      <c r="BS22" s="338" t="n"/>
      <c r="BT22" s="338" t="n"/>
      <c r="BU22" s="338" t="n"/>
      <c r="BV22" s="338" t="n"/>
      <c r="BW22" s="338" t="n"/>
      <c r="BX22" s="338" t="n"/>
      <c r="BY22" s="338" t="n"/>
      <c r="BZ22" s="338" t="n"/>
      <c r="CA22" s="338" t="n"/>
      <c r="CB22" s="338" t="n"/>
      <c r="CC22" s="383" t="n"/>
      <c r="CF22" s="253" t="inlineStr">
        <is>
          <t>時間外</t>
        </is>
      </c>
      <c r="CG22" s="384" t="n"/>
      <c r="CH22" s="384" t="n"/>
      <c r="CI22" s="385" t="n"/>
      <c r="CJ22" s="386">
        <f>IF(Q20="作業者1",K23-K20,0)</f>
        <v/>
      </c>
      <c r="CK22" s="387" t="n"/>
      <c r="CL22" s="387" t="n"/>
      <c r="CM22" s="387" t="n"/>
      <c r="CN22" s="388" t="n"/>
      <c r="CP22" s="253" t="inlineStr">
        <is>
          <t>時間外</t>
        </is>
      </c>
      <c r="CQ22" s="384" t="n"/>
      <c r="CR22" s="384" t="n"/>
      <c r="CS22" s="385" t="n"/>
      <c r="CT22" s="386">
        <f>IF(Q20="作業者2",K23-K20,0)</f>
        <v/>
      </c>
      <c r="CU22" s="387" t="n"/>
      <c r="CV22" s="387" t="n"/>
      <c r="CW22" s="387" t="n"/>
      <c r="CX22" s="388" t="n"/>
      <c r="CZ22" s="253" t="inlineStr">
        <is>
          <t>時間外</t>
        </is>
      </c>
      <c r="DA22" s="384" t="n"/>
      <c r="DB22" s="384" t="n"/>
      <c r="DC22" s="385" t="n"/>
      <c r="DD22" s="386">
        <f>IF(Q20="作業者3",K23-K20,0)</f>
        <v/>
      </c>
      <c r="DE22" s="387" t="n"/>
      <c r="DF22" s="387" t="n"/>
      <c r="DG22" s="387" t="n"/>
      <c r="DH22" s="388" t="n"/>
      <c r="DJ22" s="253" t="inlineStr">
        <is>
          <t>時間外</t>
        </is>
      </c>
      <c r="DK22" s="384" t="n"/>
      <c r="DL22" s="384" t="n"/>
      <c r="DM22" s="385" t="n"/>
      <c r="DN22" s="386">
        <f>IF(Q20="作業者4",K23-K20,0)</f>
        <v/>
      </c>
      <c r="DO22" s="387" t="n"/>
      <c r="DP22" s="387" t="n"/>
      <c r="DQ22" s="387" t="n"/>
      <c r="DR22" s="388" t="n"/>
      <c r="DT22" s="253" t="inlineStr">
        <is>
          <t>時間外</t>
        </is>
      </c>
      <c r="DU22" s="384" t="n"/>
      <c r="DV22" s="384" t="n"/>
      <c r="DW22" s="385" t="n"/>
      <c r="DX22" s="386">
        <f>IF(Q20="作業者5",K23-K20,0)</f>
        <v/>
      </c>
      <c r="DY22" s="387" t="n"/>
      <c r="DZ22" s="387" t="n"/>
      <c r="EA22" s="387" t="n"/>
      <c r="EB22" s="388" t="n"/>
    </row>
    <row r="23" ht="9" customHeight="1" s="337">
      <c r="B23" s="389" t="n"/>
      <c r="C23" s="390" t="n"/>
      <c r="D23" s="391" t="n"/>
      <c r="E23" s="392" t="n"/>
      <c r="F23" s="390" t="n"/>
      <c r="G23" s="391" t="n"/>
      <c r="H23" s="392" t="n"/>
      <c r="I23" s="390" t="n"/>
      <c r="J23" s="391" t="n"/>
      <c r="K23" s="392" t="n"/>
      <c r="L23" s="390" t="n"/>
      <c r="M23" s="391" t="n"/>
      <c r="N23" s="392" t="n"/>
      <c r="O23" s="390" t="n"/>
      <c r="P23" s="391" t="n"/>
      <c r="Q23" s="393" t="n"/>
      <c r="R23" s="390" t="n"/>
      <c r="S23" s="391" t="n"/>
      <c r="T23" s="393" t="n"/>
      <c r="U23" s="390" t="n"/>
      <c r="V23" s="391" t="n"/>
      <c r="W23" s="393" t="n"/>
      <c r="X23" s="390" t="n"/>
      <c r="Y23" s="390" t="n"/>
      <c r="Z23" s="390" t="n"/>
      <c r="AA23" s="390" t="n"/>
      <c r="AB23" s="390" t="n"/>
      <c r="AC23" s="390" t="n"/>
      <c r="AD23" s="390" t="n"/>
      <c r="AE23" s="390" t="n"/>
      <c r="AF23" s="390" t="n"/>
      <c r="AG23" s="390" t="n"/>
      <c r="AH23" s="390" t="n"/>
      <c r="AI23" s="390" t="n"/>
      <c r="AJ23" s="390" t="n"/>
      <c r="AK23" s="390" t="n"/>
      <c r="AL23" s="390" t="n"/>
      <c r="AM23" s="390" t="n"/>
      <c r="AN23" s="390" t="n"/>
      <c r="AO23" s="390" t="n"/>
      <c r="AP23" s="390" t="n"/>
      <c r="AQ23" s="390" t="n"/>
      <c r="AR23" s="390" t="n"/>
      <c r="AS23" s="390" t="n"/>
      <c r="AT23" s="390" t="n"/>
      <c r="AU23" s="390" t="n"/>
      <c r="AV23" s="390" t="n"/>
      <c r="AW23" s="390" t="n"/>
      <c r="AX23" s="390" t="n"/>
      <c r="AY23" s="390" t="n"/>
      <c r="AZ23" s="390" t="n"/>
      <c r="BA23" s="390" t="n"/>
      <c r="BB23" s="390" t="n"/>
      <c r="BC23" s="390" t="n"/>
      <c r="BD23" s="390" t="n"/>
      <c r="BE23" s="390" t="n"/>
      <c r="BF23" s="390" t="n"/>
      <c r="BG23" s="390" t="n"/>
      <c r="BH23" s="390" t="n"/>
      <c r="BI23" s="390" t="n"/>
      <c r="BJ23" s="390" t="n"/>
      <c r="BK23" s="390" t="n"/>
      <c r="BL23" s="390" t="n"/>
      <c r="BM23" s="390" t="n"/>
      <c r="BN23" s="390" t="n"/>
      <c r="BO23" s="390" t="n"/>
      <c r="BP23" s="390" t="n"/>
      <c r="BQ23" s="390" t="n"/>
      <c r="BR23" s="390" t="n"/>
      <c r="BS23" s="390" t="n"/>
      <c r="BT23" s="390" t="n"/>
      <c r="BU23" s="390" t="n"/>
      <c r="BV23" s="390" t="n"/>
      <c r="BW23" s="390" t="n"/>
      <c r="BX23" s="390" t="n"/>
      <c r="BY23" s="390" t="n"/>
      <c r="BZ23" s="390" t="n"/>
      <c r="CA23" s="390" t="n"/>
      <c r="CB23" s="390" t="n"/>
      <c r="CC23" s="394" t="n"/>
      <c r="CF23" s="254" t="inlineStr">
        <is>
          <t>休日</t>
        </is>
      </c>
      <c r="CG23" s="395" t="n"/>
      <c r="CH23" s="395" t="n"/>
      <c r="CI23" s="396" t="n"/>
      <c r="CJ23" s="397">
        <f>IF(Q20="作業者1",N23-N20,0)</f>
        <v/>
      </c>
      <c r="CK23" s="395" t="n"/>
      <c r="CL23" s="395" t="n"/>
      <c r="CM23" s="395" t="n"/>
      <c r="CN23" s="396" t="n"/>
      <c r="CP23" s="254" t="inlineStr">
        <is>
          <t>休日</t>
        </is>
      </c>
      <c r="CQ23" s="395" t="n"/>
      <c r="CR23" s="395" t="n"/>
      <c r="CS23" s="396" t="n"/>
      <c r="CT23" s="397">
        <f>IF(Q20="作業者2",N23-N20,0)</f>
        <v/>
      </c>
      <c r="CU23" s="395" t="n"/>
      <c r="CV23" s="395" t="n"/>
      <c r="CW23" s="395" t="n"/>
      <c r="CX23" s="396" t="n"/>
      <c r="CZ23" s="254" t="inlineStr">
        <is>
          <t>休日</t>
        </is>
      </c>
      <c r="DA23" s="395" t="n"/>
      <c r="DB23" s="395" t="n"/>
      <c r="DC23" s="396" t="n"/>
      <c r="DD23" s="397">
        <f>IF(Q20="作業者3",N23-N20,0)</f>
        <v/>
      </c>
      <c r="DE23" s="395" t="n"/>
      <c r="DF23" s="395" t="n"/>
      <c r="DG23" s="395" t="n"/>
      <c r="DH23" s="396" t="n"/>
      <c r="DJ23" s="254" t="inlineStr">
        <is>
          <t>休日</t>
        </is>
      </c>
      <c r="DK23" s="395" t="n"/>
      <c r="DL23" s="395" t="n"/>
      <c r="DM23" s="396" t="n"/>
      <c r="DN23" s="397">
        <f>IF(Q20="作業者4",N23-N20,0)</f>
        <v/>
      </c>
      <c r="DO23" s="395" t="n"/>
      <c r="DP23" s="395" t="n"/>
      <c r="DQ23" s="395" t="n"/>
      <c r="DR23" s="396" t="n"/>
      <c r="DT23" s="254" t="inlineStr">
        <is>
          <t>休日</t>
        </is>
      </c>
      <c r="DU23" s="395" t="n"/>
      <c r="DV23" s="395" t="n"/>
      <c r="DW23" s="396" t="n"/>
      <c r="DX23" s="397">
        <f>IF(Q20="作業者5",N23-N20,0)</f>
        <v/>
      </c>
      <c r="DY23" s="395" t="n"/>
      <c r="DZ23" s="395" t="n"/>
      <c r="EA23" s="395" t="n"/>
      <c r="EB23" s="396" t="n"/>
    </row>
    <row r="24" ht="9" customHeight="1" s="337">
      <c r="B24" s="398" t="n"/>
      <c r="C24" s="372" t="n"/>
      <c r="D24" s="373" t="n"/>
      <c r="E24" s="399" t="n"/>
      <c r="F24" s="372" t="n"/>
      <c r="G24" s="373" t="n"/>
      <c r="H24" s="399" t="n"/>
      <c r="I24" s="372" t="n"/>
      <c r="J24" s="373" t="n"/>
      <c r="K24" s="399" t="n"/>
      <c r="L24" s="372" t="n"/>
      <c r="M24" s="373" t="n"/>
      <c r="N24" s="399" t="n"/>
      <c r="O24" s="372" t="n"/>
      <c r="P24" s="373" t="n"/>
      <c r="Q24" s="371" t="n"/>
      <c r="R24" s="372" t="n"/>
      <c r="S24" s="373" t="n"/>
      <c r="T24" s="371" t="n"/>
      <c r="U24" s="372" t="n"/>
      <c r="V24" s="373" t="n"/>
      <c r="W24" s="443" t="n"/>
      <c r="X24" s="372" t="n"/>
      <c r="Y24" s="372" t="n"/>
      <c r="Z24" s="372" t="n"/>
      <c r="AA24" s="372" t="n"/>
      <c r="AB24" s="372" t="n"/>
      <c r="AC24" s="372" t="n"/>
      <c r="AD24" s="372" t="n"/>
      <c r="AE24" s="372" t="n"/>
      <c r="AF24" s="372" t="n"/>
      <c r="AG24" s="372" t="n"/>
      <c r="AH24" s="372" t="n"/>
      <c r="AI24" s="372" t="n"/>
      <c r="AJ24" s="372" t="n"/>
      <c r="AK24" s="372" t="n"/>
      <c r="AL24" s="372" t="n"/>
      <c r="AM24" s="372" t="n"/>
      <c r="AN24" s="372" t="n"/>
      <c r="AO24" s="372" t="n"/>
      <c r="AP24" s="372" t="n"/>
      <c r="AQ24" s="372" t="n"/>
      <c r="AR24" s="372" t="n"/>
      <c r="AS24" s="372" t="n"/>
      <c r="AT24" s="372" t="n"/>
      <c r="AU24" s="372" t="n"/>
      <c r="AV24" s="372" t="n"/>
      <c r="AW24" s="372" t="n"/>
      <c r="AX24" s="372" t="n"/>
      <c r="AY24" s="372" t="n"/>
      <c r="AZ24" s="372" t="n"/>
      <c r="BA24" s="372" t="n"/>
      <c r="BB24" s="372" t="n"/>
      <c r="BC24" s="372" t="n"/>
      <c r="BD24" s="372" t="n"/>
      <c r="BE24" s="372" t="n"/>
      <c r="BF24" s="372" t="n"/>
      <c r="BG24" s="372" t="n"/>
      <c r="BH24" s="372" t="n"/>
      <c r="BI24" s="372" t="n"/>
      <c r="BJ24" s="372" t="n"/>
      <c r="BK24" s="372" t="n"/>
      <c r="BL24" s="372" t="n"/>
      <c r="BM24" s="372" t="n"/>
      <c r="BN24" s="372" t="n"/>
      <c r="BO24" s="372" t="n"/>
      <c r="BP24" s="372" t="n"/>
      <c r="BQ24" s="372" t="n"/>
      <c r="BR24" s="372" t="n"/>
      <c r="BS24" s="372" t="n"/>
      <c r="BT24" s="372" t="n"/>
      <c r="BU24" s="372" t="n"/>
      <c r="BV24" s="372" t="n"/>
      <c r="BW24" s="372" t="n"/>
      <c r="BX24" s="372" t="n"/>
      <c r="BY24" s="372" t="n"/>
      <c r="BZ24" s="372" t="n"/>
      <c r="CA24" s="372" t="n"/>
      <c r="CB24" s="372" t="n"/>
      <c r="CC24" s="402" t="n"/>
      <c r="CF24" s="248" t="inlineStr">
        <is>
          <t>移動</t>
        </is>
      </c>
      <c r="CG24" s="377" t="n"/>
      <c r="CH24" s="377" t="n"/>
      <c r="CI24" s="378" t="n"/>
      <c r="CJ24" s="379">
        <f>IF(Q24="作業者1",E27-E24,0)</f>
        <v/>
      </c>
      <c r="CK24" s="377" t="n"/>
      <c r="CL24" s="377" t="n"/>
      <c r="CM24" s="377" t="n"/>
      <c r="CN24" s="378" t="n"/>
      <c r="CP24" s="248" t="inlineStr">
        <is>
          <t>移動</t>
        </is>
      </c>
      <c r="CQ24" s="377" t="n"/>
      <c r="CR24" s="377" t="n"/>
      <c r="CS24" s="378" t="n"/>
      <c r="CT24" s="379">
        <f>IF(Q24="作業者2",E27-E24,0)</f>
        <v/>
      </c>
      <c r="CU24" s="377" t="n"/>
      <c r="CV24" s="377" t="n"/>
      <c r="CW24" s="377" t="n"/>
      <c r="CX24" s="378" t="n"/>
      <c r="CZ24" s="259" t="inlineStr">
        <is>
          <t>移動</t>
        </is>
      </c>
      <c r="DA24" s="403" t="n"/>
      <c r="DB24" s="403" t="n"/>
      <c r="DC24" s="404" t="n"/>
      <c r="DD24" s="405">
        <f>IF(Q24="作業者3",E27-E24,0)</f>
        <v/>
      </c>
      <c r="DE24" s="406" t="n"/>
      <c r="DF24" s="406" t="n"/>
      <c r="DG24" s="406" t="n"/>
      <c r="DH24" s="407" t="n"/>
      <c r="DJ24" s="259" t="inlineStr">
        <is>
          <t>移動</t>
        </is>
      </c>
      <c r="DK24" s="403" t="n"/>
      <c r="DL24" s="403" t="n"/>
      <c r="DM24" s="404" t="n"/>
      <c r="DN24" s="379">
        <f>IF(Q24="作業者4",E27-E24,0)</f>
        <v/>
      </c>
      <c r="DO24" s="377" t="n"/>
      <c r="DP24" s="377" t="n"/>
      <c r="DQ24" s="377" t="n"/>
      <c r="DR24" s="378" t="n"/>
      <c r="DT24" s="259" t="inlineStr">
        <is>
          <t>移動</t>
        </is>
      </c>
      <c r="DU24" s="403" t="n"/>
      <c r="DV24" s="403" t="n"/>
      <c r="DW24" s="404" t="n"/>
      <c r="DX24" s="379">
        <f>IF(Q24="作業者5",E27-E24,0)</f>
        <v/>
      </c>
      <c r="DY24" s="377" t="n"/>
      <c r="DZ24" s="377" t="n"/>
      <c r="EA24" s="377" t="n"/>
      <c r="EB24" s="378" t="n"/>
    </row>
    <row r="25" ht="9" customHeight="1" s="337">
      <c r="B25" s="350" t="n"/>
      <c r="C25" s="338" t="n"/>
      <c r="D25" s="380" t="n"/>
      <c r="E25" s="381" t="n"/>
      <c r="F25" s="122" t="inlineStr">
        <is>
          <t>～</t>
        </is>
      </c>
      <c r="G25" s="22" t="n"/>
      <c r="H25" s="381" t="n"/>
      <c r="I25" s="122" t="inlineStr">
        <is>
          <t>～</t>
        </is>
      </c>
      <c r="J25" s="22" t="n"/>
      <c r="K25" s="381" t="n"/>
      <c r="L25" s="122" t="inlineStr">
        <is>
          <t>～</t>
        </is>
      </c>
      <c r="M25" s="22" t="n"/>
      <c r="N25" s="381" t="n"/>
      <c r="O25" s="122" t="inlineStr">
        <is>
          <t>～</t>
        </is>
      </c>
      <c r="P25" s="22" t="n"/>
      <c r="Q25" s="382" t="n"/>
      <c r="R25" s="338" t="n"/>
      <c r="S25" s="380" t="n"/>
      <c r="T25" s="382" t="n"/>
      <c r="U25" s="338" t="n"/>
      <c r="V25" s="380" t="n"/>
      <c r="W25" s="382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8" t="n"/>
      <c r="BH25" s="338" t="n"/>
      <c r="BI25" s="338" t="n"/>
      <c r="BJ25" s="338" t="n"/>
      <c r="BK25" s="338" t="n"/>
      <c r="BL25" s="338" t="n"/>
      <c r="BM25" s="338" t="n"/>
      <c r="BN25" s="338" t="n"/>
      <c r="BO25" s="338" t="n"/>
      <c r="BP25" s="338" t="n"/>
      <c r="BQ25" s="338" t="n"/>
      <c r="BR25" s="338" t="n"/>
      <c r="BS25" s="338" t="n"/>
      <c r="BT25" s="338" t="n"/>
      <c r="BU25" s="338" t="n"/>
      <c r="BV25" s="338" t="n"/>
      <c r="BW25" s="338" t="n"/>
      <c r="BX25" s="338" t="n"/>
      <c r="BY25" s="338" t="n"/>
      <c r="BZ25" s="338" t="n"/>
      <c r="CA25" s="338" t="n"/>
      <c r="CB25" s="338" t="n"/>
      <c r="CC25" s="383" t="n"/>
      <c r="CF25" s="253" t="inlineStr">
        <is>
          <t>時間内</t>
        </is>
      </c>
      <c r="CG25" s="384" t="n"/>
      <c r="CH25" s="384" t="n"/>
      <c r="CI25" s="385" t="n"/>
      <c r="CJ25" s="386">
        <f>IF(Q24="作業者1",H27-H24,0)</f>
        <v/>
      </c>
      <c r="CK25" s="387" t="n"/>
      <c r="CL25" s="387" t="n"/>
      <c r="CM25" s="387" t="n"/>
      <c r="CN25" s="388" t="n"/>
      <c r="CP25" s="253" t="inlineStr">
        <is>
          <t>時間内</t>
        </is>
      </c>
      <c r="CQ25" s="384" t="n"/>
      <c r="CR25" s="384" t="n"/>
      <c r="CS25" s="385" t="n"/>
      <c r="CT25" s="386">
        <f>IF(Q24="作業者2",H27-H24,0)</f>
        <v/>
      </c>
      <c r="CU25" s="387" t="n"/>
      <c r="CV25" s="387" t="n"/>
      <c r="CW25" s="387" t="n"/>
      <c r="CX25" s="388" t="n"/>
      <c r="CZ25" s="253" t="inlineStr">
        <is>
          <t>時間内</t>
        </is>
      </c>
      <c r="DA25" s="384" t="n"/>
      <c r="DB25" s="384" t="n"/>
      <c r="DC25" s="385" t="n"/>
      <c r="DD25" s="386">
        <f>IF(Q24="作業者3",H27-H24,0)</f>
        <v/>
      </c>
      <c r="DE25" s="387" t="n"/>
      <c r="DF25" s="387" t="n"/>
      <c r="DG25" s="387" t="n"/>
      <c r="DH25" s="388" t="n"/>
      <c r="DJ25" s="253" t="inlineStr">
        <is>
          <t>時間内</t>
        </is>
      </c>
      <c r="DK25" s="384" t="n"/>
      <c r="DL25" s="384" t="n"/>
      <c r="DM25" s="385" t="n"/>
      <c r="DN25" s="386">
        <f>IF(Q24="作業者4",H27-H24,0)</f>
        <v/>
      </c>
      <c r="DO25" s="387" t="n"/>
      <c r="DP25" s="387" t="n"/>
      <c r="DQ25" s="387" t="n"/>
      <c r="DR25" s="388" t="n"/>
      <c r="DT25" s="253" t="inlineStr">
        <is>
          <t>時間内</t>
        </is>
      </c>
      <c r="DU25" s="384" t="n"/>
      <c r="DV25" s="384" t="n"/>
      <c r="DW25" s="385" t="n"/>
      <c r="DX25" s="386">
        <f>IF(Q24="作業者5",H27-H24,0)</f>
        <v/>
      </c>
      <c r="DY25" s="387" t="n"/>
      <c r="DZ25" s="387" t="n"/>
      <c r="EA25" s="387" t="n"/>
      <c r="EB25" s="388" t="n"/>
    </row>
    <row r="26" ht="9" customHeight="1" s="337">
      <c r="B26" s="350" t="n"/>
      <c r="C26" s="338" t="n"/>
      <c r="D26" s="380" t="n"/>
      <c r="E26" s="23" t="n"/>
      <c r="F26" s="338" t="n"/>
      <c r="G26" s="24" t="n"/>
      <c r="H26" s="23" t="n"/>
      <c r="I26" s="338" t="n"/>
      <c r="J26" s="24" t="n"/>
      <c r="K26" s="23" t="n"/>
      <c r="L26" s="338" t="n"/>
      <c r="M26" s="24" t="n"/>
      <c r="N26" s="23" t="n"/>
      <c r="O26" s="338" t="n"/>
      <c r="P26" s="24" t="n"/>
      <c r="Q26" s="382" t="n"/>
      <c r="R26" s="338" t="n"/>
      <c r="S26" s="380" t="n"/>
      <c r="T26" s="382" t="n"/>
      <c r="U26" s="338" t="n"/>
      <c r="V26" s="380" t="n"/>
      <c r="W26" s="382" t="n"/>
      <c r="X26" s="338" t="n"/>
      <c r="Y26" s="338" t="n"/>
      <c r="Z26" s="338" t="n"/>
      <c r="AA26" s="338" t="n"/>
      <c r="AB26" s="338" t="n"/>
      <c r="AC26" s="338" t="n"/>
      <c r="AD26" s="338" t="n"/>
      <c r="AE26" s="338" t="n"/>
      <c r="AF26" s="338" t="n"/>
      <c r="AG26" s="338" t="n"/>
      <c r="AH26" s="338" t="n"/>
      <c r="AI26" s="338" t="n"/>
      <c r="AJ26" s="338" t="n"/>
      <c r="AK26" s="338" t="n"/>
      <c r="AL26" s="338" t="n"/>
      <c r="AM26" s="338" t="n"/>
      <c r="AN26" s="338" t="n"/>
      <c r="AO26" s="338" t="n"/>
      <c r="AP26" s="338" t="n"/>
      <c r="AQ26" s="338" t="n"/>
      <c r="AR26" s="338" t="n"/>
      <c r="AS26" s="338" t="n"/>
      <c r="AT26" s="338" t="n"/>
      <c r="AU26" s="338" t="n"/>
      <c r="AV26" s="338" t="n"/>
      <c r="AW26" s="338" t="n"/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8" t="n"/>
      <c r="BH26" s="338" t="n"/>
      <c r="BI26" s="338" t="n"/>
      <c r="BJ26" s="338" t="n"/>
      <c r="BK26" s="338" t="n"/>
      <c r="BL26" s="338" t="n"/>
      <c r="BM26" s="338" t="n"/>
      <c r="BN26" s="338" t="n"/>
      <c r="BO26" s="338" t="n"/>
      <c r="BP26" s="338" t="n"/>
      <c r="BQ26" s="338" t="n"/>
      <c r="BR26" s="338" t="n"/>
      <c r="BS26" s="338" t="n"/>
      <c r="BT26" s="338" t="n"/>
      <c r="BU26" s="338" t="n"/>
      <c r="BV26" s="338" t="n"/>
      <c r="BW26" s="338" t="n"/>
      <c r="BX26" s="338" t="n"/>
      <c r="BY26" s="338" t="n"/>
      <c r="BZ26" s="338" t="n"/>
      <c r="CA26" s="338" t="n"/>
      <c r="CB26" s="338" t="n"/>
      <c r="CC26" s="383" t="n"/>
      <c r="CF26" s="253" t="inlineStr">
        <is>
          <t>時間外</t>
        </is>
      </c>
      <c r="CG26" s="384" t="n"/>
      <c r="CH26" s="384" t="n"/>
      <c r="CI26" s="385" t="n"/>
      <c r="CJ26" s="386">
        <f>IF(Q24="作業者1",K27-K24,0)</f>
        <v/>
      </c>
      <c r="CK26" s="387" t="n"/>
      <c r="CL26" s="387" t="n"/>
      <c r="CM26" s="387" t="n"/>
      <c r="CN26" s="388" t="n"/>
      <c r="CP26" s="253" t="inlineStr">
        <is>
          <t>時間外</t>
        </is>
      </c>
      <c r="CQ26" s="384" t="n"/>
      <c r="CR26" s="384" t="n"/>
      <c r="CS26" s="385" t="n"/>
      <c r="CT26" s="386">
        <f>IF(Q24="作業者2",K27-K24,0)</f>
        <v/>
      </c>
      <c r="CU26" s="387" t="n"/>
      <c r="CV26" s="387" t="n"/>
      <c r="CW26" s="387" t="n"/>
      <c r="CX26" s="388" t="n"/>
      <c r="CZ26" s="253" t="inlineStr">
        <is>
          <t>時間外</t>
        </is>
      </c>
      <c r="DA26" s="384" t="n"/>
      <c r="DB26" s="384" t="n"/>
      <c r="DC26" s="385" t="n"/>
      <c r="DD26" s="386">
        <f>IF(Q24="作業者3",K27-K24,0)</f>
        <v/>
      </c>
      <c r="DE26" s="387" t="n"/>
      <c r="DF26" s="387" t="n"/>
      <c r="DG26" s="387" t="n"/>
      <c r="DH26" s="388" t="n"/>
      <c r="DJ26" s="253" t="inlineStr">
        <is>
          <t>時間外</t>
        </is>
      </c>
      <c r="DK26" s="384" t="n"/>
      <c r="DL26" s="384" t="n"/>
      <c r="DM26" s="385" t="n"/>
      <c r="DN26" s="386">
        <f>IF(Q24="作業者4",K27-K24,0)</f>
        <v/>
      </c>
      <c r="DO26" s="387" t="n"/>
      <c r="DP26" s="387" t="n"/>
      <c r="DQ26" s="387" t="n"/>
      <c r="DR26" s="388" t="n"/>
      <c r="DT26" s="253" t="inlineStr">
        <is>
          <t>時間外</t>
        </is>
      </c>
      <c r="DU26" s="384" t="n"/>
      <c r="DV26" s="384" t="n"/>
      <c r="DW26" s="385" t="n"/>
      <c r="DX26" s="386">
        <f>IF(Q24="作業者5",K27-K24,0)</f>
        <v/>
      </c>
      <c r="DY26" s="387" t="n"/>
      <c r="DZ26" s="387" t="n"/>
      <c r="EA26" s="387" t="n"/>
      <c r="EB26" s="388" t="n"/>
    </row>
    <row r="27" ht="9" customHeight="1" s="337">
      <c r="B27" s="389" t="n"/>
      <c r="C27" s="390" t="n"/>
      <c r="D27" s="391" t="n"/>
      <c r="E27" s="392" t="n"/>
      <c r="F27" s="390" t="n"/>
      <c r="G27" s="391" t="n"/>
      <c r="H27" s="392" t="n"/>
      <c r="I27" s="390" t="n"/>
      <c r="J27" s="391" t="n"/>
      <c r="K27" s="392" t="n"/>
      <c r="L27" s="390" t="n"/>
      <c r="M27" s="391" t="n"/>
      <c r="N27" s="392" t="n"/>
      <c r="O27" s="390" t="n"/>
      <c r="P27" s="391" t="n"/>
      <c r="Q27" s="393" t="n"/>
      <c r="R27" s="390" t="n"/>
      <c r="S27" s="391" t="n"/>
      <c r="T27" s="393" t="n"/>
      <c r="U27" s="390" t="n"/>
      <c r="V27" s="391" t="n"/>
      <c r="W27" s="393" t="n"/>
      <c r="X27" s="390" t="n"/>
      <c r="Y27" s="390" t="n"/>
      <c r="Z27" s="390" t="n"/>
      <c r="AA27" s="390" t="n"/>
      <c r="AB27" s="390" t="n"/>
      <c r="AC27" s="390" t="n"/>
      <c r="AD27" s="390" t="n"/>
      <c r="AE27" s="390" t="n"/>
      <c r="AF27" s="390" t="n"/>
      <c r="AG27" s="390" t="n"/>
      <c r="AH27" s="390" t="n"/>
      <c r="AI27" s="390" t="n"/>
      <c r="AJ27" s="390" t="n"/>
      <c r="AK27" s="390" t="n"/>
      <c r="AL27" s="390" t="n"/>
      <c r="AM27" s="390" t="n"/>
      <c r="AN27" s="390" t="n"/>
      <c r="AO27" s="390" t="n"/>
      <c r="AP27" s="390" t="n"/>
      <c r="AQ27" s="390" t="n"/>
      <c r="AR27" s="390" t="n"/>
      <c r="AS27" s="390" t="n"/>
      <c r="AT27" s="390" t="n"/>
      <c r="AU27" s="390" t="n"/>
      <c r="AV27" s="390" t="n"/>
      <c r="AW27" s="390" t="n"/>
      <c r="AX27" s="390" t="n"/>
      <c r="AY27" s="390" t="n"/>
      <c r="AZ27" s="390" t="n"/>
      <c r="BA27" s="390" t="n"/>
      <c r="BB27" s="390" t="n"/>
      <c r="BC27" s="390" t="n"/>
      <c r="BD27" s="390" t="n"/>
      <c r="BE27" s="390" t="n"/>
      <c r="BF27" s="390" t="n"/>
      <c r="BG27" s="390" t="n"/>
      <c r="BH27" s="390" t="n"/>
      <c r="BI27" s="390" t="n"/>
      <c r="BJ27" s="390" t="n"/>
      <c r="BK27" s="390" t="n"/>
      <c r="BL27" s="390" t="n"/>
      <c r="BM27" s="390" t="n"/>
      <c r="BN27" s="390" t="n"/>
      <c r="BO27" s="390" t="n"/>
      <c r="BP27" s="390" t="n"/>
      <c r="BQ27" s="390" t="n"/>
      <c r="BR27" s="390" t="n"/>
      <c r="BS27" s="390" t="n"/>
      <c r="BT27" s="390" t="n"/>
      <c r="BU27" s="390" t="n"/>
      <c r="BV27" s="390" t="n"/>
      <c r="BW27" s="390" t="n"/>
      <c r="BX27" s="390" t="n"/>
      <c r="BY27" s="390" t="n"/>
      <c r="BZ27" s="390" t="n"/>
      <c r="CA27" s="390" t="n"/>
      <c r="CB27" s="390" t="n"/>
      <c r="CC27" s="394" t="n"/>
      <c r="CF27" s="254" t="inlineStr">
        <is>
          <t>休日</t>
        </is>
      </c>
      <c r="CG27" s="395" t="n"/>
      <c r="CH27" s="395" t="n"/>
      <c r="CI27" s="396" t="n"/>
      <c r="CJ27" s="397">
        <f>IF(Q24="作業者1",N27-N24,0)</f>
        <v/>
      </c>
      <c r="CK27" s="395" t="n"/>
      <c r="CL27" s="395" t="n"/>
      <c r="CM27" s="395" t="n"/>
      <c r="CN27" s="396" t="n"/>
      <c r="CP27" s="254" t="inlineStr">
        <is>
          <t>休日</t>
        </is>
      </c>
      <c r="CQ27" s="395" t="n"/>
      <c r="CR27" s="395" t="n"/>
      <c r="CS27" s="396" t="n"/>
      <c r="CT27" s="397">
        <f>IF(Q24="作業者2",N27-N24,0)</f>
        <v/>
      </c>
      <c r="CU27" s="395" t="n"/>
      <c r="CV27" s="395" t="n"/>
      <c r="CW27" s="395" t="n"/>
      <c r="CX27" s="396" t="n"/>
      <c r="CZ27" s="254" t="inlineStr">
        <is>
          <t>休日</t>
        </is>
      </c>
      <c r="DA27" s="395" t="n"/>
      <c r="DB27" s="395" t="n"/>
      <c r="DC27" s="396" t="n"/>
      <c r="DD27" s="397">
        <f>IF(Q24="作業者3",N27-N24,0)</f>
        <v/>
      </c>
      <c r="DE27" s="395" t="n"/>
      <c r="DF27" s="395" t="n"/>
      <c r="DG27" s="395" t="n"/>
      <c r="DH27" s="396" t="n"/>
      <c r="DJ27" s="254" t="inlineStr">
        <is>
          <t>休日</t>
        </is>
      </c>
      <c r="DK27" s="395" t="n"/>
      <c r="DL27" s="395" t="n"/>
      <c r="DM27" s="396" t="n"/>
      <c r="DN27" s="397">
        <f>IF(Q24="作業者4",N27-N24,0)</f>
        <v/>
      </c>
      <c r="DO27" s="395" t="n"/>
      <c r="DP27" s="395" t="n"/>
      <c r="DQ27" s="395" t="n"/>
      <c r="DR27" s="396" t="n"/>
      <c r="DT27" s="254" t="inlineStr">
        <is>
          <t>休日</t>
        </is>
      </c>
      <c r="DU27" s="395" t="n"/>
      <c r="DV27" s="395" t="n"/>
      <c r="DW27" s="396" t="n"/>
      <c r="DX27" s="397">
        <f>IF(Q24="作業者5",N27-N24,0)</f>
        <v/>
      </c>
      <c r="DY27" s="395" t="n"/>
      <c r="DZ27" s="395" t="n"/>
      <c r="EA27" s="395" t="n"/>
      <c r="EB27" s="396" t="n"/>
    </row>
    <row r="28" ht="9" customHeight="1" s="337">
      <c r="B28" s="398" t="n"/>
      <c r="C28" s="372" t="n"/>
      <c r="D28" s="373" t="n"/>
      <c r="E28" s="399" t="n"/>
      <c r="F28" s="372" t="n"/>
      <c r="G28" s="373" t="n"/>
      <c r="H28" s="399" t="n"/>
      <c r="I28" s="372" t="n"/>
      <c r="J28" s="373" t="n"/>
      <c r="K28" s="399" t="n"/>
      <c r="L28" s="372" t="n"/>
      <c r="M28" s="373" t="n"/>
      <c r="N28" s="399" t="n"/>
      <c r="O28" s="372" t="n"/>
      <c r="P28" s="373" t="n"/>
      <c r="Q28" s="371" t="n"/>
      <c r="R28" s="372" t="n"/>
      <c r="S28" s="373" t="n"/>
      <c r="T28" s="371" t="n"/>
      <c r="U28" s="372" t="n"/>
      <c r="V28" s="373" t="n"/>
      <c r="W28" s="443" t="n"/>
      <c r="X28" s="372" t="n"/>
      <c r="Y28" s="372" t="n"/>
      <c r="Z28" s="372" t="n"/>
      <c r="AA28" s="372" t="n"/>
      <c r="AB28" s="372" t="n"/>
      <c r="AC28" s="372" t="n"/>
      <c r="AD28" s="372" t="n"/>
      <c r="AE28" s="372" t="n"/>
      <c r="AF28" s="372" t="n"/>
      <c r="AG28" s="372" t="n"/>
      <c r="AH28" s="372" t="n"/>
      <c r="AI28" s="372" t="n"/>
      <c r="AJ28" s="372" t="n"/>
      <c r="AK28" s="372" t="n"/>
      <c r="AL28" s="372" t="n"/>
      <c r="AM28" s="372" t="n"/>
      <c r="AN28" s="372" t="n"/>
      <c r="AO28" s="372" t="n"/>
      <c r="AP28" s="372" t="n"/>
      <c r="AQ28" s="372" t="n"/>
      <c r="AR28" s="372" t="n"/>
      <c r="AS28" s="372" t="n"/>
      <c r="AT28" s="372" t="n"/>
      <c r="AU28" s="372" t="n"/>
      <c r="AV28" s="372" t="n"/>
      <c r="AW28" s="372" t="n"/>
      <c r="AX28" s="372" t="n"/>
      <c r="AY28" s="372" t="n"/>
      <c r="AZ28" s="372" t="n"/>
      <c r="BA28" s="372" t="n"/>
      <c r="BB28" s="372" t="n"/>
      <c r="BC28" s="372" t="n"/>
      <c r="BD28" s="372" t="n"/>
      <c r="BE28" s="372" t="n"/>
      <c r="BF28" s="372" t="n"/>
      <c r="BG28" s="372" t="n"/>
      <c r="BH28" s="372" t="n"/>
      <c r="BI28" s="372" t="n"/>
      <c r="BJ28" s="372" t="n"/>
      <c r="BK28" s="372" t="n"/>
      <c r="BL28" s="372" t="n"/>
      <c r="BM28" s="372" t="n"/>
      <c r="BN28" s="372" t="n"/>
      <c r="BO28" s="372" t="n"/>
      <c r="BP28" s="372" t="n"/>
      <c r="BQ28" s="372" t="n"/>
      <c r="BR28" s="372" t="n"/>
      <c r="BS28" s="372" t="n"/>
      <c r="BT28" s="372" t="n"/>
      <c r="BU28" s="372" t="n"/>
      <c r="BV28" s="372" t="n"/>
      <c r="BW28" s="372" t="n"/>
      <c r="BX28" s="372" t="n"/>
      <c r="BY28" s="372" t="n"/>
      <c r="BZ28" s="372" t="n"/>
      <c r="CA28" s="372" t="n"/>
      <c r="CB28" s="372" t="n"/>
      <c r="CC28" s="402" t="n"/>
      <c r="CF28" s="248" t="inlineStr">
        <is>
          <t>移動</t>
        </is>
      </c>
      <c r="CG28" s="377" t="n"/>
      <c r="CH28" s="377" t="n"/>
      <c r="CI28" s="378" t="n"/>
      <c r="CJ28" s="379">
        <f>IF(Q28="作業者1",E31-E28,0)</f>
        <v/>
      </c>
      <c r="CK28" s="377" t="n"/>
      <c r="CL28" s="377" t="n"/>
      <c r="CM28" s="377" t="n"/>
      <c r="CN28" s="378" t="n"/>
      <c r="CP28" s="248" t="inlineStr">
        <is>
          <t>移動</t>
        </is>
      </c>
      <c r="CQ28" s="377" t="n"/>
      <c r="CR28" s="377" t="n"/>
      <c r="CS28" s="378" t="n"/>
      <c r="CT28" s="379">
        <f>IF(Q28="作業者2",E31-E28,0)</f>
        <v/>
      </c>
      <c r="CU28" s="377" t="n"/>
      <c r="CV28" s="377" t="n"/>
      <c r="CW28" s="377" t="n"/>
      <c r="CX28" s="378" t="n"/>
      <c r="CZ28" s="259" t="inlineStr">
        <is>
          <t>移動</t>
        </is>
      </c>
      <c r="DA28" s="403" t="n"/>
      <c r="DB28" s="403" t="n"/>
      <c r="DC28" s="404" t="n"/>
      <c r="DD28" s="405">
        <f>IF(Q28="作業者3",E31-E28,0)</f>
        <v/>
      </c>
      <c r="DE28" s="406" t="n"/>
      <c r="DF28" s="406" t="n"/>
      <c r="DG28" s="406" t="n"/>
      <c r="DH28" s="407" t="n"/>
      <c r="DJ28" s="259" t="inlineStr">
        <is>
          <t>移動</t>
        </is>
      </c>
      <c r="DK28" s="403" t="n"/>
      <c r="DL28" s="403" t="n"/>
      <c r="DM28" s="404" t="n"/>
      <c r="DN28" s="379">
        <f>IF(Q28="作業者4",E31-E28,0)</f>
        <v/>
      </c>
      <c r="DO28" s="377" t="n"/>
      <c r="DP28" s="377" t="n"/>
      <c r="DQ28" s="377" t="n"/>
      <c r="DR28" s="378" t="n"/>
      <c r="DT28" s="259" t="inlineStr">
        <is>
          <t>移動</t>
        </is>
      </c>
      <c r="DU28" s="403" t="n"/>
      <c r="DV28" s="403" t="n"/>
      <c r="DW28" s="404" t="n"/>
      <c r="DX28" s="379">
        <f>IF(Q28="作業者5",E31-E28,0)</f>
        <v/>
      </c>
      <c r="DY28" s="377" t="n"/>
      <c r="DZ28" s="377" t="n"/>
      <c r="EA28" s="377" t="n"/>
      <c r="EB28" s="378" t="n"/>
    </row>
    <row r="29" ht="9" customHeight="1" s="337">
      <c r="B29" s="350" t="n"/>
      <c r="C29" s="338" t="n"/>
      <c r="D29" s="380" t="n"/>
      <c r="E29" s="381" t="n"/>
      <c r="F29" s="122" t="inlineStr">
        <is>
          <t>～</t>
        </is>
      </c>
      <c r="G29" s="22" t="n"/>
      <c r="H29" s="381" t="n"/>
      <c r="I29" s="122" t="inlineStr">
        <is>
          <t>～</t>
        </is>
      </c>
      <c r="J29" s="22" t="n"/>
      <c r="K29" s="381" t="n"/>
      <c r="L29" s="122" t="inlineStr">
        <is>
          <t>～</t>
        </is>
      </c>
      <c r="M29" s="22" t="n"/>
      <c r="N29" s="381" t="n"/>
      <c r="O29" s="122" t="inlineStr">
        <is>
          <t>～</t>
        </is>
      </c>
      <c r="P29" s="22" t="n"/>
      <c r="Q29" s="382" t="n"/>
      <c r="R29" s="338" t="n"/>
      <c r="S29" s="380" t="n"/>
      <c r="T29" s="382" t="n"/>
      <c r="U29" s="338" t="n"/>
      <c r="V29" s="380" t="n"/>
      <c r="W29" s="382" t="n"/>
      <c r="X29" s="338" t="n"/>
      <c r="Y29" s="338" t="n"/>
      <c r="Z29" s="338" t="n"/>
      <c r="AA29" s="338" t="n"/>
      <c r="AB29" s="338" t="n"/>
      <c r="AC29" s="338" t="n"/>
      <c r="AD29" s="338" t="n"/>
      <c r="AE29" s="338" t="n"/>
      <c r="AF29" s="338" t="n"/>
      <c r="AG29" s="338" t="n"/>
      <c r="AH29" s="338" t="n"/>
      <c r="AI29" s="338" t="n"/>
      <c r="AJ29" s="338" t="n"/>
      <c r="AK29" s="338" t="n"/>
      <c r="AL29" s="338" t="n"/>
      <c r="AM29" s="338" t="n"/>
      <c r="AN29" s="338" t="n"/>
      <c r="AO29" s="338" t="n"/>
      <c r="AP29" s="338" t="n"/>
      <c r="AQ29" s="338" t="n"/>
      <c r="AR29" s="338" t="n"/>
      <c r="AS29" s="338" t="n"/>
      <c r="AT29" s="338" t="n"/>
      <c r="AU29" s="338" t="n"/>
      <c r="AV29" s="338" t="n"/>
      <c r="AW29" s="338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8" t="n"/>
      <c r="BH29" s="338" t="n"/>
      <c r="BI29" s="338" t="n"/>
      <c r="BJ29" s="338" t="n"/>
      <c r="BK29" s="338" t="n"/>
      <c r="BL29" s="338" t="n"/>
      <c r="BM29" s="338" t="n"/>
      <c r="BN29" s="338" t="n"/>
      <c r="BO29" s="338" t="n"/>
      <c r="BP29" s="338" t="n"/>
      <c r="BQ29" s="338" t="n"/>
      <c r="BR29" s="338" t="n"/>
      <c r="BS29" s="338" t="n"/>
      <c r="BT29" s="338" t="n"/>
      <c r="BU29" s="338" t="n"/>
      <c r="BV29" s="338" t="n"/>
      <c r="BW29" s="338" t="n"/>
      <c r="BX29" s="338" t="n"/>
      <c r="BY29" s="338" t="n"/>
      <c r="BZ29" s="338" t="n"/>
      <c r="CA29" s="338" t="n"/>
      <c r="CB29" s="338" t="n"/>
      <c r="CC29" s="383" t="n"/>
      <c r="CF29" s="253" t="inlineStr">
        <is>
          <t>時間内</t>
        </is>
      </c>
      <c r="CG29" s="384" t="n"/>
      <c r="CH29" s="384" t="n"/>
      <c r="CI29" s="385" t="n"/>
      <c r="CJ29" s="386">
        <f>IF(Q28="作業者1",H31-H28,0)</f>
        <v/>
      </c>
      <c r="CK29" s="387" t="n"/>
      <c r="CL29" s="387" t="n"/>
      <c r="CM29" s="387" t="n"/>
      <c r="CN29" s="388" t="n"/>
      <c r="CP29" s="253" t="inlineStr">
        <is>
          <t>時間内</t>
        </is>
      </c>
      <c r="CQ29" s="384" t="n"/>
      <c r="CR29" s="384" t="n"/>
      <c r="CS29" s="385" t="n"/>
      <c r="CT29" s="386">
        <f>IF(Q28="作業者2",H31-H28,0)</f>
        <v/>
      </c>
      <c r="CU29" s="387" t="n"/>
      <c r="CV29" s="387" t="n"/>
      <c r="CW29" s="387" t="n"/>
      <c r="CX29" s="388" t="n"/>
      <c r="CZ29" s="253" t="inlineStr">
        <is>
          <t>時間内</t>
        </is>
      </c>
      <c r="DA29" s="384" t="n"/>
      <c r="DB29" s="384" t="n"/>
      <c r="DC29" s="385" t="n"/>
      <c r="DD29" s="386">
        <f>IF(Q28="作業者3",H31-H28,0)</f>
        <v/>
      </c>
      <c r="DE29" s="387" t="n"/>
      <c r="DF29" s="387" t="n"/>
      <c r="DG29" s="387" t="n"/>
      <c r="DH29" s="388" t="n"/>
      <c r="DJ29" s="253" t="inlineStr">
        <is>
          <t>時間内</t>
        </is>
      </c>
      <c r="DK29" s="384" t="n"/>
      <c r="DL29" s="384" t="n"/>
      <c r="DM29" s="385" t="n"/>
      <c r="DN29" s="386">
        <f>IF(Q28="作業者4",H31-H28,0)</f>
        <v/>
      </c>
      <c r="DO29" s="387" t="n"/>
      <c r="DP29" s="387" t="n"/>
      <c r="DQ29" s="387" t="n"/>
      <c r="DR29" s="388" t="n"/>
      <c r="DT29" s="253" t="inlineStr">
        <is>
          <t>時間内</t>
        </is>
      </c>
      <c r="DU29" s="384" t="n"/>
      <c r="DV29" s="384" t="n"/>
      <c r="DW29" s="385" t="n"/>
      <c r="DX29" s="386">
        <f>IF(Q28="作業者5",H31-H28,0)</f>
        <v/>
      </c>
      <c r="DY29" s="387" t="n"/>
      <c r="DZ29" s="387" t="n"/>
      <c r="EA29" s="387" t="n"/>
      <c r="EB29" s="388" t="n"/>
    </row>
    <row r="30" ht="9" customHeight="1" s="337">
      <c r="B30" s="350" t="n"/>
      <c r="C30" s="338" t="n"/>
      <c r="D30" s="380" t="n"/>
      <c r="E30" s="23" t="n"/>
      <c r="F30" s="338" t="n"/>
      <c r="G30" s="24" t="n"/>
      <c r="H30" s="23" t="n"/>
      <c r="I30" s="338" t="n"/>
      <c r="J30" s="24" t="n"/>
      <c r="K30" s="23" t="n"/>
      <c r="L30" s="338" t="n"/>
      <c r="M30" s="24" t="n"/>
      <c r="N30" s="23" t="n"/>
      <c r="O30" s="338" t="n"/>
      <c r="P30" s="24" t="n"/>
      <c r="Q30" s="382" t="n"/>
      <c r="R30" s="338" t="n"/>
      <c r="S30" s="380" t="n"/>
      <c r="T30" s="382" t="n"/>
      <c r="U30" s="338" t="n"/>
      <c r="V30" s="380" t="n"/>
      <c r="W30" s="382" t="n"/>
      <c r="X30" s="338" t="n"/>
      <c r="Y30" s="338" t="n"/>
      <c r="Z30" s="338" t="n"/>
      <c r="AA30" s="338" t="n"/>
      <c r="AB30" s="338" t="n"/>
      <c r="AC30" s="338" t="n"/>
      <c r="AD30" s="338" t="n"/>
      <c r="AE30" s="338" t="n"/>
      <c r="AF30" s="338" t="n"/>
      <c r="AG30" s="338" t="n"/>
      <c r="AH30" s="338" t="n"/>
      <c r="AI30" s="338" t="n"/>
      <c r="AJ30" s="338" t="n"/>
      <c r="AK30" s="338" t="n"/>
      <c r="AL30" s="338" t="n"/>
      <c r="AM30" s="338" t="n"/>
      <c r="AN30" s="338" t="n"/>
      <c r="AO30" s="338" t="n"/>
      <c r="AP30" s="338" t="n"/>
      <c r="AQ30" s="338" t="n"/>
      <c r="AR30" s="338" t="n"/>
      <c r="AS30" s="338" t="n"/>
      <c r="AT30" s="338" t="n"/>
      <c r="AU30" s="338" t="n"/>
      <c r="AV30" s="338" t="n"/>
      <c r="AW30" s="338" t="n"/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8" t="n"/>
      <c r="BH30" s="338" t="n"/>
      <c r="BI30" s="338" t="n"/>
      <c r="BJ30" s="338" t="n"/>
      <c r="BK30" s="338" t="n"/>
      <c r="BL30" s="338" t="n"/>
      <c r="BM30" s="338" t="n"/>
      <c r="BN30" s="338" t="n"/>
      <c r="BO30" s="338" t="n"/>
      <c r="BP30" s="338" t="n"/>
      <c r="BQ30" s="338" t="n"/>
      <c r="BR30" s="338" t="n"/>
      <c r="BS30" s="338" t="n"/>
      <c r="BT30" s="338" t="n"/>
      <c r="BU30" s="338" t="n"/>
      <c r="BV30" s="338" t="n"/>
      <c r="BW30" s="338" t="n"/>
      <c r="BX30" s="338" t="n"/>
      <c r="BY30" s="338" t="n"/>
      <c r="BZ30" s="338" t="n"/>
      <c r="CA30" s="338" t="n"/>
      <c r="CB30" s="338" t="n"/>
      <c r="CC30" s="383" t="n"/>
      <c r="CF30" s="253" t="inlineStr">
        <is>
          <t>時間外</t>
        </is>
      </c>
      <c r="CG30" s="384" t="n"/>
      <c r="CH30" s="384" t="n"/>
      <c r="CI30" s="385" t="n"/>
      <c r="CJ30" s="386">
        <f>IF(Q28="作業者1",K31-K28,0)</f>
        <v/>
      </c>
      <c r="CK30" s="387" t="n"/>
      <c r="CL30" s="387" t="n"/>
      <c r="CM30" s="387" t="n"/>
      <c r="CN30" s="388" t="n"/>
      <c r="CP30" s="253" t="inlineStr">
        <is>
          <t>時間外</t>
        </is>
      </c>
      <c r="CQ30" s="384" t="n"/>
      <c r="CR30" s="384" t="n"/>
      <c r="CS30" s="385" t="n"/>
      <c r="CT30" s="386">
        <f>IF(Q28="作業者2",K31-K28,0)</f>
        <v/>
      </c>
      <c r="CU30" s="387" t="n"/>
      <c r="CV30" s="387" t="n"/>
      <c r="CW30" s="387" t="n"/>
      <c r="CX30" s="388" t="n"/>
      <c r="CZ30" s="253" t="inlineStr">
        <is>
          <t>時間外</t>
        </is>
      </c>
      <c r="DA30" s="384" t="n"/>
      <c r="DB30" s="384" t="n"/>
      <c r="DC30" s="385" t="n"/>
      <c r="DD30" s="386">
        <f>IF(Q28="作業者3",K31-K28,0)</f>
        <v/>
      </c>
      <c r="DE30" s="387" t="n"/>
      <c r="DF30" s="387" t="n"/>
      <c r="DG30" s="387" t="n"/>
      <c r="DH30" s="388" t="n"/>
      <c r="DJ30" s="253" t="inlineStr">
        <is>
          <t>時間外</t>
        </is>
      </c>
      <c r="DK30" s="384" t="n"/>
      <c r="DL30" s="384" t="n"/>
      <c r="DM30" s="385" t="n"/>
      <c r="DN30" s="386">
        <f>IF(Q28="作業者4",K31-K28,0)</f>
        <v/>
      </c>
      <c r="DO30" s="387" t="n"/>
      <c r="DP30" s="387" t="n"/>
      <c r="DQ30" s="387" t="n"/>
      <c r="DR30" s="388" t="n"/>
      <c r="DT30" s="253" t="inlineStr">
        <is>
          <t>時間外</t>
        </is>
      </c>
      <c r="DU30" s="384" t="n"/>
      <c r="DV30" s="384" t="n"/>
      <c r="DW30" s="385" t="n"/>
      <c r="DX30" s="386">
        <f>IF(Q28="作業者5",K31-K28,0)</f>
        <v/>
      </c>
      <c r="DY30" s="387" t="n"/>
      <c r="DZ30" s="387" t="n"/>
      <c r="EA30" s="387" t="n"/>
      <c r="EB30" s="388" t="n"/>
    </row>
    <row r="31" ht="9" customHeight="1" s="337">
      <c r="B31" s="389" t="n"/>
      <c r="C31" s="390" t="n"/>
      <c r="D31" s="391" t="n"/>
      <c r="E31" s="392" t="n"/>
      <c r="F31" s="390" t="n"/>
      <c r="G31" s="391" t="n"/>
      <c r="H31" s="392" t="n"/>
      <c r="I31" s="390" t="n"/>
      <c r="J31" s="391" t="n"/>
      <c r="K31" s="392" t="n"/>
      <c r="L31" s="390" t="n"/>
      <c r="M31" s="391" t="n"/>
      <c r="N31" s="392" t="n"/>
      <c r="O31" s="390" t="n"/>
      <c r="P31" s="391" t="n"/>
      <c r="Q31" s="393" t="n"/>
      <c r="R31" s="390" t="n"/>
      <c r="S31" s="391" t="n"/>
      <c r="T31" s="393" t="n"/>
      <c r="U31" s="390" t="n"/>
      <c r="V31" s="391" t="n"/>
      <c r="W31" s="393" t="n"/>
      <c r="X31" s="390" t="n"/>
      <c r="Y31" s="390" t="n"/>
      <c r="Z31" s="390" t="n"/>
      <c r="AA31" s="390" t="n"/>
      <c r="AB31" s="390" t="n"/>
      <c r="AC31" s="390" t="n"/>
      <c r="AD31" s="390" t="n"/>
      <c r="AE31" s="390" t="n"/>
      <c r="AF31" s="390" t="n"/>
      <c r="AG31" s="390" t="n"/>
      <c r="AH31" s="390" t="n"/>
      <c r="AI31" s="390" t="n"/>
      <c r="AJ31" s="390" t="n"/>
      <c r="AK31" s="390" t="n"/>
      <c r="AL31" s="390" t="n"/>
      <c r="AM31" s="390" t="n"/>
      <c r="AN31" s="390" t="n"/>
      <c r="AO31" s="390" t="n"/>
      <c r="AP31" s="390" t="n"/>
      <c r="AQ31" s="390" t="n"/>
      <c r="AR31" s="390" t="n"/>
      <c r="AS31" s="390" t="n"/>
      <c r="AT31" s="390" t="n"/>
      <c r="AU31" s="390" t="n"/>
      <c r="AV31" s="390" t="n"/>
      <c r="AW31" s="390" t="n"/>
      <c r="AX31" s="390" t="n"/>
      <c r="AY31" s="390" t="n"/>
      <c r="AZ31" s="390" t="n"/>
      <c r="BA31" s="390" t="n"/>
      <c r="BB31" s="390" t="n"/>
      <c r="BC31" s="390" t="n"/>
      <c r="BD31" s="390" t="n"/>
      <c r="BE31" s="390" t="n"/>
      <c r="BF31" s="390" t="n"/>
      <c r="BG31" s="390" t="n"/>
      <c r="BH31" s="390" t="n"/>
      <c r="BI31" s="390" t="n"/>
      <c r="BJ31" s="390" t="n"/>
      <c r="BK31" s="390" t="n"/>
      <c r="BL31" s="390" t="n"/>
      <c r="BM31" s="390" t="n"/>
      <c r="BN31" s="390" t="n"/>
      <c r="BO31" s="390" t="n"/>
      <c r="BP31" s="390" t="n"/>
      <c r="BQ31" s="390" t="n"/>
      <c r="BR31" s="390" t="n"/>
      <c r="BS31" s="390" t="n"/>
      <c r="BT31" s="390" t="n"/>
      <c r="BU31" s="390" t="n"/>
      <c r="BV31" s="390" t="n"/>
      <c r="BW31" s="390" t="n"/>
      <c r="BX31" s="390" t="n"/>
      <c r="BY31" s="390" t="n"/>
      <c r="BZ31" s="390" t="n"/>
      <c r="CA31" s="390" t="n"/>
      <c r="CB31" s="390" t="n"/>
      <c r="CC31" s="394" t="n"/>
      <c r="CF31" s="254" t="inlineStr">
        <is>
          <t>休日</t>
        </is>
      </c>
      <c r="CG31" s="395" t="n"/>
      <c r="CH31" s="395" t="n"/>
      <c r="CI31" s="396" t="n"/>
      <c r="CJ31" s="397">
        <f>IF(Q28="作業者1",N31-N28,0)</f>
        <v/>
      </c>
      <c r="CK31" s="395" t="n"/>
      <c r="CL31" s="395" t="n"/>
      <c r="CM31" s="395" t="n"/>
      <c r="CN31" s="396" t="n"/>
      <c r="CP31" s="254" t="inlineStr">
        <is>
          <t>休日</t>
        </is>
      </c>
      <c r="CQ31" s="395" t="n"/>
      <c r="CR31" s="395" t="n"/>
      <c r="CS31" s="396" t="n"/>
      <c r="CT31" s="397">
        <f>IF(Q28="作業者2",N31-N28,0)</f>
        <v/>
      </c>
      <c r="CU31" s="395" t="n"/>
      <c r="CV31" s="395" t="n"/>
      <c r="CW31" s="395" t="n"/>
      <c r="CX31" s="396" t="n"/>
      <c r="CZ31" s="254" t="inlineStr">
        <is>
          <t>休日</t>
        </is>
      </c>
      <c r="DA31" s="395" t="n"/>
      <c r="DB31" s="395" t="n"/>
      <c r="DC31" s="396" t="n"/>
      <c r="DD31" s="397">
        <f>IF(Q28="作業者3",N31-N28,0)</f>
        <v/>
      </c>
      <c r="DE31" s="395" t="n"/>
      <c r="DF31" s="395" t="n"/>
      <c r="DG31" s="395" t="n"/>
      <c r="DH31" s="396" t="n"/>
      <c r="DJ31" s="254" t="inlineStr">
        <is>
          <t>休日</t>
        </is>
      </c>
      <c r="DK31" s="395" t="n"/>
      <c r="DL31" s="395" t="n"/>
      <c r="DM31" s="396" t="n"/>
      <c r="DN31" s="397">
        <f>IF(Q28="作業者4",N31-N28,0)</f>
        <v/>
      </c>
      <c r="DO31" s="395" t="n"/>
      <c r="DP31" s="395" t="n"/>
      <c r="DQ31" s="395" t="n"/>
      <c r="DR31" s="396" t="n"/>
      <c r="DT31" s="254" t="inlineStr">
        <is>
          <t>休日</t>
        </is>
      </c>
      <c r="DU31" s="395" t="n"/>
      <c r="DV31" s="395" t="n"/>
      <c r="DW31" s="396" t="n"/>
      <c r="DX31" s="397">
        <f>IF(Q28="作業者5",N31-N28,0)</f>
        <v/>
      </c>
      <c r="DY31" s="395" t="n"/>
      <c r="DZ31" s="395" t="n"/>
      <c r="EA31" s="395" t="n"/>
      <c r="EB31" s="396" t="n"/>
    </row>
    <row r="32" ht="9" customHeight="1" s="337">
      <c r="B32" s="398" t="n"/>
      <c r="C32" s="372" t="n"/>
      <c r="D32" s="373" t="n"/>
      <c r="E32" s="399" t="n"/>
      <c r="F32" s="372" t="n"/>
      <c r="G32" s="373" t="n"/>
      <c r="H32" s="399" t="n"/>
      <c r="I32" s="372" t="n"/>
      <c r="J32" s="373" t="n"/>
      <c r="K32" s="399" t="n"/>
      <c r="L32" s="372" t="n"/>
      <c r="M32" s="373" t="n"/>
      <c r="N32" s="399" t="n"/>
      <c r="O32" s="372" t="n"/>
      <c r="P32" s="373" t="n"/>
      <c r="Q32" s="371" t="n"/>
      <c r="R32" s="372" t="n"/>
      <c r="S32" s="373" t="n"/>
      <c r="T32" s="371" t="n"/>
      <c r="U32" s="372" t="n"/>
      <c r="V32" s="373" t="n"/>
      <c r="W32" s="443" t="n"/>
      <c r="X32" s="372" t="n"/>
      <c r="Y32" s="372" t="n"/>
      <c r="Z32" s="372" t="n"/>
      <c r="AA32" s="372" t="n"/>
      <c r="AB32" s="372" t="n"/>
      <c r="AC32" s="372" t="n"/>
      <c r="AD32" s="372" t="n"/>
      <c r="AE32" s="372" t="n"/>
      <c r="AF32" s="372" t="n"/>
      <c r="AG32" s="372" t="n"/>
      <c r="AH32" s="372" t="n"/>
      <c r="AI32" s="372" t="n"/>
      <c r="AJ32" s="372" t="n"/>
      <c r="AK32" s="372" t="n"/>
      <c r="AL32" s="372" t="n"/>
      <c r="AM32" s="372" t="n"/>
      <c r="AN32" s="372" t="n"/>
      <c r="AO32" s="372" t="n"/>
      <c r="AP32" s="372" t="n"/>
      <c r="AQ32" s="372" t="n"/>
      <c r="AR32" s="372" t="n"/>
      <c r="AS32" s="372" t="n"/>
      <c r="AT32" s="372" t="n"/>
      <c r="AU32" s="372" t="n"/>
      <c r="AV32" s="372" t="n"/>
      <c r="AW32" s="372" t="n"/>
      <c r="AX32" s="372" t="n"/>
      <c r="AY32" s="372" t="n"/>
      <c r="AZ32" s="372" t="n"/>
      <c r="BA32" s="372" t="n"/>
      <c r="BB32" s="372" t="n"/>
      <c r="BC32" s="372" t="n"/>
      <c r="BD32" s="372" t="n"/>
      <c r="BE32" s="372" t="n"/>
      <c r="BF32" s="372" t="n"/>
      <c r="BG32" s="372" t="n"/>
      <c r="BH32" s="372" t="n"/>
      <c r="BI32" s="372" t="n"/>
      <c r="BJ32" s="372" t="n"/>
      <c r="BK32" s="372" t="n"/>
      <c r="BL32" s="372" t="n"/>
      <c r="BM32" s="372" t="n"/>
      <c r="BN32" s="372" t="n"/>
      <c r="BO32" s="372" t="n"/>
      <c r="BP32" s="372" t="n"/>
      <c r="BQ32" s="372" t="n"/>
      <c r="BR32" s="372" t="n"/>
      <c r="BS32" s="372" t="n"/>
      <c r="BT32" s="372" t="n"/>
      <c r="BU32" s="372" t="n"/>
      <c r="BV32" s="372" t="n"/>
      <c r="BW32" s="372" t="n"/>
      <c r="BX32" s="372" t="n"/>
      <c r="BY32" s="372" t="n"/>
      <c r="BZ32" s="372" t="n"/>
      <c r="CA32" s="372" t="n"/>
      <c r="CB32" s="372" t="n"/>
      <c r="CC32" s="402" t="n"/>
      <c r="CF32" s="248" t="inlineStr">
        <is>
          <t>移動</t>
        </is>
      </c>
      <c r="CG32" s="377" t="n"/>
      <c r="CH32" s="377" t="n"/>
      <c r="CI32" s="378" t="n"/>
      <c r="CJ32" s="379">
        <f>IF(Q32="作業者1",E35-E32,0)</f>
        <v/>
      </c>
      <c r="CK32" s="377" t="n"/>
      <c r="CL32" s="377" t="n"/>
      <c r="CM32" s="377" t="n"/>
      <c r="CN32" s="378" t="n"/>
      <c r="CP32" s="248" t="inlineStr">
        <is>
          <t>移動</t>
        </is>
      </c>
      <c r="CQ32" s="377" t="n"/>
      <c r="CR32" s="377" t="n"/>
      <c r="CS32" s="378" t="n"/>
      <c r="CT32" s="379">
        <f>IF(Q32="作業者2",E35-E32,0)</f>
        <v/>
      </c>
      <c r="CU32" s="377" t="n"/>
      <c r="CV32" s="377" t="n"/>
      <c r="CW32" s="377" t="n"/>
      <c r="CX32" s="378" t="n"/>
      <c r="CZ32" s="259" t="inlineStr">
        <is>
          <t>移動</t>
        </is>
      </c>
      <c r="DA32" s="403" t="n"/>
      <c r="DB32" s="403" t="n"/>
      <c r="DC32" s="404" t="n"/>
      <c r="DD32" s="405">
        <f>IF(Q32="作業者3",E35-E32,0)</f>
        <v/>
      </c>
      <c r="DE32" s="406" t="n"/>
      <c r="DF32" s="406" t="n"/>
      <c r="DG32" s="406" t="n"/>
      <c r="DH32" s="407" t="n"/>
      <c r="DJ32" s="259" t="inlineStr">
        <is>
          <t>移動</t>
        </is>
      </c>
      <c r="DK32" s="403" t="n"/>
      <c r="DL32" s="403" t="n"/>
      <c r="DM32" s="404" t="n"/>
      <c r="DN32" s="379">
        <f>IF(Q32="作業者4",E35-E32,0)</f>
        <v/>
      </c>
      <c r="DO32" s="377" t="n"/>
      <c r="DP32" s="377" t="n"/>
      <c r="DQ32" s="377" t="n"/>
      <c r="DR32" s="378" t="n"/>
      <c r="DT32" s="259" t="inlineStr">
        <is>
          <t>移動</t>
        </is>
      </c>
      <c r="DU32" s="403" t="n"/>
      <c r="DV32" s="403" t="n"/>
      <c r="DW32" s="404" t="n"/>
      <c r="DX32" s="379">
        <f>IF(Q32="作業者5",E35-E32,0)</f>
        <v/>
      </c>
      <c r="DY32" s="377" t="n"/>
      <c r="DZ32" s="377" t="n"/>
      <c r="EA32" s="377" t="n"/>
      <c r="EB32" s="378" t="n"/>
    </row>
    <row r="33" ht="9" customHeight="1" s="337">
      <c r="B33" s="350" t="n"/>
      <c r="C33" s="338" t="n"/>
      <c r="D33" s="380" t="n"/>
      <c r="E33" s="381" t="n"/>
      <c r="F33" s="122" t="inlineStr">
        <is>
          <t>～</t>
        </is>
      </c>
      <c r="G33" s="22" t="n"/>
      <c r="H33" s="381" t="n"/>
      <c r="I33" s="122" t="inlineStr">
        <is>
          <t>～</t>
        </is>
      </c>
      <c r="J33" s="22" t="n"/>
      <c r="K33" s="381" t="n"/>
      <c r="L33" s="122" t="inlineStr">
        <is>
          <t>～</t>
        </is>
      </c>
      <c r="M33" s="22" t="n"/>
      <c r="N33" s="381" t="n"/>
      <c r="O33" s="122" t="inlineStr">
        <is>
          <t>～</t>
        </is>
      </c>
      <c r="P33" s="22" t="n"/>
      <c r="Q33" s="382" t="n"/>
      <c r="R33" s="338" t="n"/>
      <c r="S33" s="380" t="n"/>
      <c r="T33" s="382" t="n"/>
      <c r="U33" s="338" t="n"/>
      <c r="V33" s="380" t="n"/>
      <c r="W33" s="382" t="n"/>
      <c r="X33" s="338" t="n"/>
      <c r="Y33" s="338" t="n"/>
      <c r="Z33" s="338" t="n"/>
      <c r="AA33" s="338" t="n"/>
      <c r="AB33" s="338" t="n"/>
      <c r="AC33" s="338" t="n"/>
      <c r="AD33" s="338" t="n"/>
      <c r="AE33" s="338" t="n"/>
      <c r="AF33" s="338" t="n"/>
      <c r="AG33" s="338" t="n"/>
      <c r="AH33" s="338" t="n"/>
      <c r="AI33" s="338" t="n"/>
      <c r="AJ33" s="338" t="n"/>
      <c r="AK33" s="338" t="n"/>
      <c r="AL33" s="338" t="n"/>
      <c r="AM33" s="338" t="n"/>
      <c r="AN33" s="338" t="n"/>
      <c r="AO33" s="338" t="n"/>
      <c r="AP33" s="338" t="n"/>
      <c r="AQ33" s="338" t="n"/>
      <c r="AR33" s="338" t="n"/>
      <c r="AS33" s="338" t="n"/>
      <c r="AT33" s="338" t="n"/>
      <c r="AU33" s="338" t="n"/>
      <c r="AV33" s="338" t="n"/>
      <c r="AW33" s="338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8" t="n"/>
      <c r="BH33" s="338" t="n"/>
      <c r="BI33" s="338" t="n"/>
      <c r="BJ33" s="338" t="n"/>
      <c r="BK33" s="338" t="n"/>
      <c r="BL33" s="338" t="n"/>
      <c r="BM33" s="338" t="n"/>
      <c r="BN33" s="338" t="n"/>
      <c r="BO33" s="338" t="n"/>
      <c r="BP33" s="338" t="n"/>
      <c r="BQ33" s="338" t="n"/>
      <c r="BR33" s="338" t="n"/>
      <c r="BS33" s="338" t="n"/>
      <c r="BT33" s="338" t="n"/>
      <c r="BU33" s="338" t="n"/>
      <c r="BV33" s="338" t="n"/>
      <c r="BW33" s="338" t="n"/>
      <c r="BX33" s="338" t="n"/>
      <c r="BY33" s="338" t="n"/>
      <c r="BZ33" s="338" t="n"/>
      <c r="CA33" s="338" t="n"/>
      <c r="CB33" s="338" t="n"/>
      <c r="CC33" s="383" t="n"/>
      <c r="CF33" s="253" t="inlineStr">
        <is>
          <t>時間内</t>
        </is>
      </c>
      <c r="CG33" s="384" t="n"/>
      <c r="CH33" s="384" t="n"/>
      <c r="CI33" s="385" t="n"/>
      <c r="CJ33" s="386">
        <f>IF(Q32="作業者1",H35-H32,0)</f>
        <v/>
      </c>
      <c r="CK33" s="387" t="n"/>
      <c r="CL33" s="387" t="n"/>
      <c r="CM33" s="387" t="n"/>
      <c r="CN33" s="388" t="n"/>
      <c r="CP33" s="253" t="inlineStr">
        <is>
          <t>時間内</t>
        </is>
      </c>
      <c r="CQ33" s="384" t="n"/>
      <c r="CR33" s="384" t="n"/>
      <c r="CS33" s="385" t="n"/>
      <c r="CT33" s="386">
        <f>IF(Q32="作業者2",H35-H32,0)</f>
        <v/>
      </c>
      <c r="CU33" s="387" t="n"/>
      <c r="CV33" s="387" t="n"/>
      <c r="CW33" s="387" t="n"/>
      <c r="CX33" s="388" t="n"/>
      <c r="CZ33" s="253" t="inlineStr">
        <is>
          <t>時間内</t>
        </is>
      </c>
      <c r="DA33" s="384" t="n"/>
      <c r="DB33" s="384" t="n"/>
      <c r="DC33" s="385" t="n"/>
      <c r="DD33" s="386">
        <f>IF(Q32="作業者3",H35-H32,0)</f>
        <v/>
      </c>
      <c r="DE33" s="387" t="n"/>
      <c r="DF33" s="387" t="n"/>
      <c r="DG33" s="387" t="n"/>
      <c r="DH33" s="388" t="n"/>
      <c r="DJ33" s="253" t="inlineStr">
        <is>
          <t>時間内</t>
        </is>
      </c>
      <c r="DK33" s="384" t="n"/>
      <c r="DL33" s="384" t="n"/>
      <c r="DM33" s="385" t="n"/>
      <c r="DN33" s="386">
        <f>IF(Q32="作業者4",H35-H32,0)</f>
        <v/>
      </c>
      <c r="DO33" s="387" t="n"/>
      <c r="DP33" s="387" t="n"/>
      <c r="DQ33" s="387" t="n"/>
      <c r="DR33" s="388" t="n"/>
      <c r="DT33" s="253" t="inlineStr">
        <is>
          <t>時間内</t>
        </is>
      </c>
      <c r="DU33" s="384" t="n"/>
      <c r="DV33" s="384" t="n"/>
      <c r="DW33" s="385" t="n"/>
      <c r="DX33" s="386">
        <f>IF(Q32="作業者5",H35-H32,0)</f>
        <v/>
      </c>
      <c r="DY33" s="387" t="n"/>
      <c r="DZ33" s="387" t="n"/>
      <c r="EA33" s="387" t="n"/>
      <c r="EB33" s="388" t="n"/>
    </row>
    <row r="34" ht="9" customHeight="1" s="337">
      <c r="B34" s="350" t="n"/>
      <c r="C34" s="338" t="n"/>
      <c r="D34" s="380" t="n"/>
      <c r="E34" s="23" t="n"/>
      <c r="F34" s="338" t="n"/>
      <c r="G34" s="24" t="n"/>
      <c r="H34" s="23" t="n"/>
      <c r="I34" s="338" t="n"/>
      <c r="J34" s="24" t="n"/>
      <c r="K34" s="23" t="n"/>
      <c r="L34" s="338" t="n"/>
      <c r="M34" s="24" t="n"/>
      <c r="N34" s="23" t="n"/>
      <c r="O34" s="338" t="n"/>
      <c r="P34" s="24" t="n"/>
      <c r="Q34" s="382" t="n"/>
      <c r="R34" s="338" t="n"/>
      <c r="S34" s="380" t="n"/>
      <c r="T34" s="382" t="n"/>
      <c r="U34" s="338" t="n"/>
      <c r="V34" s="380" t="n"/>
      <c r="W34" s="382" t="n"/>
      <c r="X34" s="338" t="n"/>
      <c r="Y34" s="338" t="n"/>
      <c r="Z34" s="338" t="n"/>
      <c r="AA34" s="338" t="n"/>
      <c r="AB34" s="338" t="n"/>
      <c r="AC34" s="338" t="n"/>
      <c r="AD34" s="338" t="n"/>
      <c r="AE34" s="338" t="n"/>
      <c r="AF34" s="338" t="n"/>
      <c r="AG34" s="338" t="n"/>
      <c r="AH34" s="338" t="n"/>
      <c r="AI34" s="338" t="n"/>
      <c r="AJ34" s="338" t="n"/>
      <c r="AK34" s="338" t="n"/>
      <c r="AL34" s="338" t="n"/>
      <c r="AM34" s="338" t="n"/>
      <c r="AN34" s="338" t="n"/>
      <c r="AO34" s="338" t="n"/>
      <c r="AP34" s="338" t="n"/>
      <c r="AQ34" s="338" t="n"/>
      <c r="AR34" s="338" t="n"/>
      <c r="AS34" s="338" t="n"/>
      <c r="AT34" s="338" t="n"/>
      <c r="AU34" s="338" t="n"/>
      <c r="AV34" s="338" t="n"/>
      <c r="AW34" s="338" t="n"/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8" t="n"/>
      <c r="BH34" s="338" t="n"/>
      <c r="BI34" s="338" t="n"/>
      <c r="BJ34" s="338" t="n"/>
      <c r="BK34" s="338" t="n"/>
      <c r="BL34" s="338" t="n"/>
      <c r="BM34" s="338" t="n"/>
      <c r="BN34" s="338" t="n"/>
      <c r="BO34" s="338" t="n"/>
      <c r="BP34" s="338" t="n"/>
      <c r="BQ34" s="338" t="n"/>
      <c r="BR34" s="338" t="n"/>
      <c r="BS34" s="338" t="n"/>
      <c r="BT34" s="338" t="n"/>
      <c r="BU34" s="338" t="n"/>
      <c r="BV34" s="338" t="n"/>
      <c r="BW34" s="338" t="n"/>
      <c r="BX34" s="338" t="n"/>
      <c r="BY34" s="338" t="n"/>
      <c r="BZ34" s="338" t="n"/>
      <c r="CA34" s="338" t="n"/>
      <c r="CB34" s="338" t="n"/>
      <c r="CC34" s="383" t="n"/>
      <c r="CF34" s="253" t="inlineStr">
        <is>
          <t>時間外</t>
        </is>
      </c>
      <c r="CG34" s="384" t="n"/>
      <c r="CH34" s="384" t="n"/>
      <c r="CI34" s="385" t="n"/>
      <c r="CJ34" s="386">
        <f>IF(Q32="作業者1",K35-K32,0)</f>
        <v/>
      </c>
      <c r="CK34" s="387" t="n"/>
      <c r="CL34" s="387" t="n"/>
      <c r="CM34" s="387" t="n"/>
      <c r="CN34" s="388" t="n"/>
      <c r="CP34" s="253" t="inlineStr">
        <is>
          <t>時間外</t>
        </is>
      </c>
      <c r="CQ34" s="384" t="n"/>
      <c r="CR34" s="384" t="n"/>
      <c r="CS34" s="385" t="n"/>
      <c r="CT34" s="386">
        <f>IF(Q32="作業者2",K35-K32,0)</f>
        <v/>
      </c>
      <c r="CU34" s="387" t="n"/>
      <c r="CV34" s="387" t="n"/>
      <c r="CW34" s="387" t="n"/>
      <c r="CX34" s="388" t="n"/>
      <c r="CZ34" s="253" t="inlineStr">
        <is>
          <t>時間外</t>
        </is>
      </c>
      <c r="DA34" s="384" t="n"/>
      <c r="DB34" s="384" t="n"/>
      <c r="DC34" s="385" t="n"/>
      <c r="DD34" s="386">
        <f>IF(Q32="作業者3",K35-K32,0)</f>
        <v/>
      </c>
      <c r="DE34" s="387" t="n"/>
      <c r="DF34" s="387" t="n"/>
      <c r="DG34" s="387" t="n"/>
      <c r="DH34" s="388" t="n"/>
      <c r="DJ34" s="253" t="inlineStr">
        <is>
          <t>時間外</t>
        </is>
      </c>
      <c r="DK34" s="384" t="n"/>
      <c r="DL34" s="384" t="n"/>
      <c r="DM34" s="385" t="n"/>
      <c r="DN34" s="386">
        <f>IF(Q32="作業者4",K35-K32,0)</f>
        <v/>
      </c>
      <c r="DO34" s="387" t="n"/>
      <c r="DP34" s="387" t="n"/>
      <c r="DQ34" s="387" t="n"/>
      <c r="DR34" s="388" t="n"/>
      <c r="DT34" s="253" t="inlineStr">
        <is>
          <t>時間外</t>
        </is>
      </c>
      <c r="DU34" s="384" t="n"/>
      <c r="DV34" s="384" t="n"/>
      <c r="DW34" s="385" t="n"/>
      <c r="DX34" s="386">
        <f>IF(Q32="作業者5",K35-K32,0)</f>
        <v/>
      </c>
      <c r="DY34" s="387" t="n"/>
      <c r="DZ34" s="387" t="n"/>
      <c r="EA34" s="387" t="n"/>
      <c r="EB34" s="388" t="n"/>
    </row>
    <row r="35" ht="9" customHeight="1" s="337">
      <c r="B35" s="389" t="n"/>
      <c r="C35" s="390" t="n"/>
      <c r="D35" s="391" t="n"/>
      <c r="E35" s="392" t="n"/>
      <c r="F35" s="390" t="n"/>
      <c r="G35" s="391" t="n"/>
      <c r="H35" s="392" t="n"/>
      <c r="I35" s="390" t="n"/>
      <c r="J35" s="391" t="n"/>
      <c r="K35" s="392" t="n"/>
      <c r="L35" s="390" t="n"/>
      <c r="M35" s="391" t="n"/>
      <c r="N35" s="392" t="n"/>
      <c r="O35" s="390" t="n"/>
      <c r="P35" s="391" t="n"/>
      <c r="Q35" s="393" t="n"/>
      <c r="R35" s="390" t="n"/>
      <c r="S35" s="391" t="n"/>
      <c r="T35" s="393" t="n"/>
      <c r="U35" s="390" t="n"/>
      <c r="V35" s="391" t="n"/>
      <c r="W35" s="393" t="n"/>
      <c r="X35" s="390" t="n"/>
      <c r="Y35" s="390" t="n"/>
      <c r="Z35" s="390" t="n"/>
      <c r="AA35" s="390" t="n"/>
      <c r="AB35" s="390" t="n"/>
      <c r="AC35" s="390" t="n"/>
      <c r="AD35" s="390" t="n"/>
      <c r="AE35" s="390" t="n"/>
      <c r="AF35" s="390" t="n"/>
      <c r="AG35" s="390" t="n"/>
      <c r="AH35" s="390" t="n"/>
      <c r="AI35" s="390" t="n"/>
      <c r="AJ35" s="390" t="n"/>
      <c r="AK35" s="390" t="n"/>
      <c r="AL35" s="390" t="n"/>
      <c r="AM35" s="390" t="n"/>
      <c r="AN35" s="390" t="n"/>
      <c r="AO35" s="390" t="n"/>
      <c r="AP35" s="390" t="n"/>
      <c r="AQ35" s="390" t="n"/>
      <c r="AR35" s="390" t="n"/>
      <c r="AS35" s="390" t="n"/>
      <c r="AT35" s="390" t="n"/>
      <c r="AU35" s="390" t="n"/>
      <c r="AV35" s="390" t="n"/>
      <c r="AW35" s="390" t="n"/>
      <c r="AX35" s="390" t="n"/>
      <c r="AY35" s="390" t="n"/>
      <c r="AZ35" s="390" t="n"/>
      <c r="BA35" s="390" t="n"/>
      <c r="BB35" s="390" t="n"/>
      <c r="BC35" s="390" t="n"/>
      <c r="BD35" s="390" t="n"/>
      <c r="BE35" s="390" t="n"/>
      <c r="BF35" s="390" t="n"/>
      <c r="BG35" s="390" t="n"/>
      <c r="BH35" s="390" t="n"/>
      <c r="BI35" s="390" t="n"/>
      <c r="BJ35" s="390" t="n"/>
      <c r="BK35" s="390" t="n"/>
      <c r="BL35" s="390" t="n"/>
      <c r="BM35" s="390" t="n"/>
      <c r="BN35" s="390" t="n"/>
      <c r="BO35" s="390" t="n"/>
      <c r="BP35" s="390" t="n"/>
      <c r="BQ35" s="390" t="n"/>
      <c r="BR35" s="390" t="n"/>
      <c r="BS35" s="390" t="n"/>
      <c r="BT35" s="390" t="n"/>
      <c r="BU35" s="390" t="n"/>
      <c r="BV35" s="390" t="n"/>
      <c r="BW35" s="390" t="n"/>
      <c r="BX35" s="390" t="n"/>
      <c r="BY35" s="390" t="n"/>
      <c r="BZ35" s="390" t="n"/>
      <c r="CA35" s="390" t="n"/>
      <c r="CB35" s="390" t="n"/>
      <c r="CC35" s="394" t="n"/>
      <c r="CF35" s="254" t="inlineStr">
        <is>
          <t>休日</t>
        </is>
      </c>
      <c r="CG35" s="395" t="n"/>
      <c r="CH35" s="395" t="n"/>
      <c r="CI35" s="396" t="n"/>
      <c r="CJ35" s="397">
        <f>IF(Q32="作業者1",N35-N32,0)</f>
        <v/>
      </c>
      <c r="CK35" s="395" t="n"/>
      <c r="CL35" s="395" t="n"/>
      <c r="CM35" s="395" t="n"/>
      <c r="CN35" s="396" t="n"/>
      <c r="CP35" s="254" t="inlineStr">
        <is>
          <t>休日</t>
        </is>
      </c>
      <c r="CQ35" s="395" t="n"/>
      <c r="CR35" s="395" t="n"/>
      <c r="CS35" s="396" t="n"/>
      <c r="CT35" s="397">
        <f>IF(Q32="作業者2",N35-N32,0)</f>
        <v/>
      </c>
      <c r="CU35" s="395" t="n"/>
      <c r="CV35" s="395" t="n"/>
      <c r="CW35" s="395" t="n"/>
      <c r="CX35" s="396" t="n"/>
      <c r="CZ35" s="254" t="inlineStr">
        <is>
          <t>休日</t>
        </is>
      </c>
      <c r="DA35" s="395" t="n"/>
      <c r="DB35" s="395" t="n"/>
      <c r="DC35" s="396" t="n"/>
      <c r="DD35" s="397">
        <f>IF(Q32="作業者3",N35-N32,0)</f>
        <v/>
      </c>
      <c r="DE35" s="395" t="n"/>
      <c r="DF35" s="395" t="n"/>
      <c r="DG35" s="395" t="n"/>
      <c r="DH35" s="396" t="n"/>
      <c r="DJ35" s="254" t="inlineStr">
        <is>
          <t>休日</t>
        </is>
      </c>
      <c r="DK35" s="395" t="n"/>
      <c r="DL35" s="395" t="n"/>
      <c r="DM35" s="396" t="n"/>
      <c r="DN35" s="397">
        <f>IF(Q32="作業者4",N35-N32,0)</f>
        <v/>
      </c>
      <c r="DO35" s="395" t="n"/>
      <c r="DP35" s="395" t="n"/>
      <c r="DQ35" s="395" t="n"/>
      <c r="DR35" s="396" t="n"/>
      <c r="DT35" s="254" t="inlineStr">
        <is>
          <t>休日</t>
        </is>
      </c>
      <c r="DU35" s="395" t="n"/>
      <c r="DV35" s="395" t="n"/>
      <c r="DW35" s="396" t="n"/>
      <c r="DX35" s="397">
        <f>IF(Q32="作業者5",N35-N32,0)</f>
        <v/>
      </c>
      <c r="DY35" s="395" t="n"/>
      <c r="DZ35" s="395" t="n"/>
      <c r="EA35" s="395" t="n"/>
      <c r="EB35" s="396" t="n"/>
    </row>
    <row r="36" ht="9" customHeight="1" s="337">
      <c r="B36" s="398" t="n"/>
      <c r="C36" s="372" t="n"/>
      <c r="D36" s="373" t="n"/>
      <c r="E36" s="399" t="n"/>
      <c r="F36" s="372" t="n"/>
      <c r="G36" s="373" t="n"/>
      <c r="H36" s="399" t="n"/>
      <c r="I36" s="372" t="n"/>
      <c r="J36" s="373" t="n"/>
      <c r="K36" s="399" t="n"/>
      <c r="L36" s="372" t="n"/>
      <c r="M36" s="373" t="n"/>
      <c r="N36" s="399" t="n"/>
      <c r="O36" s="372" t="n"/>
      <c r="P36" s="373" t="n"/>
      <c r="Q36" s="371" t="n"/>
      <c r="R36" s="372" t="n"/>
      <c r="S36" s="373" t="n"/>
      <c r="T36" s="371" t="n"/>
      <c r="U36" s="372" t="n"/>
      <c r="V36" s="373" t="n"/>
      <c r="W36" s="443" t="n"/>
      <c r="X36" s="372" t="n"/>
      <c r="Y36" s="372" t="n"/>
      <c r="Z36" s="372" t="n"/>
      <c r="AA36" s="372" t="n"/>
      <c r="AB36" s="372" t="n"/>
      <c r="AC36" s="372" t="n"/>
      <c r="AD36" s="372" t="n"/>
      <c r="AE36" s="372" t="n"/>
      <c r="AF36" s="372" t="n"/>
      <c r="AG36" s="372" t="n"/>
      <c r="AH36" s="372" t="n"/>
      <c r="AI36" s="372" t="n"/>
      <c r="AJ36" s="372" t="n"/>
      <c r="AK36" s="372" t="n"/>
      <c r="AL36" s="372" t="n"/>
      <c r="AM36" s="372" t="n"/>
      <c r="AN36" s="372" t="n"/>
      <c r="AO36" s="372" t="n"/>
      <c r="AP36" s="372" t="n"/>
      <c r="AQ36" s="372" t="n"/>
      <c r="AR36" s="372" t="n"/>
      <c r="AS36" s="372" t="n"/>
      <c r="AT36" s="372" t="n"/>
      <c r="AU36" s="372" t="n"/>
      <c r="AV36" s="372" t="n"/>
      <c r="AW36" s="372" t="n"/>
      <c r="AX36" s="372" t="n"/>
      <c r="AY36" s="372" t="n"/>
      <c r="AZ36" s="372" t="n"/>
      <c r="BA36" s="372" t="n"/>
      <c r="BB36" s="372" t="n"/>
      <c r="BC36" s="372" t="n"/>
      <c r="BD36" s="372" t="n"/>
      <c r="BE36" s="372" t="n"/>
      <c r="BF36" s="372" t="n"/>
      <c r="BG36" s="372" t="n"/>
      <c r="BH36" s="372" t="n"/>
      <c r="BI36" s="372" t="n"/>
      <c r="BJ36" s="372" t="n"/>
      <c r="BK36" s="372" t="n"/>
      <c r="BL36" s="372" t="n"/>
      <c r="BM36" s="372" t="n"/>
      <c r="BN36" s="372" t="n"/>
      <c r="BO36" s="372" t="n"/>
      <c r="BP36" s="372" t="n"/>
      <c r="BQ36" s="372" t="n"/>
      <c r="BR36" s="372" t="n"/>
      <c r="BS36" s="372" t="n"/>
      <c r="BT36" s="372" t="n"/>
      <c r="BU36" s="372" t="n"/>
      <c r="BV36" s="372" t="n"/>
      <c r="BW36" s="372" t="n"/>
      <c r="BX36" s="372" t="n"/>
      <c r="BY36" s="372" t="n"/>
      <c r="BZ36" s="372" t="n"/>
      <c r="CA36" s="372" t="n"/>
      <c r="CB36" s="372" t="n"/>
      <c r="CC36" s="402" t="n"/>
      <c r="CF36" s="248" t="inlineStr">
        <is>
          <t>移動</t>
        </is>
      </c>
      <c r="CG36" s="377" t="n"/>
      <c r="CH36" s="377" t="n"/>
      <c r="CI36" s="378" t="n"/>
      <c r="CJ36" s="379">
        <f>IF(Q36="作業者1",E39-E36,0)</f>
        <v/>
      </c>
      <c r="CK36" s="377" t="n"/>
      <c r="CL36" s="377" t="n"/>
      <c r="CM36" s="377" t="n"/>
      <c r="CN36" s="378" t="n"/>
      <c r="CP36" s="248" t="inlineStr">
        <is>
          <t>移動</t>
        </is>
      </c>
      <c r="CQ36" s="377" t="n"/>
      <c r="CR36" s="377" t="n"/>
      <c r="CS36" s="378" t="n"/>
      <c r="CT36" s="379">
        <f>IF(Q36="作業者2",E39-E36,0)</f>
        <v/>
      </c>
      <c r="CU36" s="377" t="n"/>
      <c r="CV36" s="377" t="n"/>
      <c r="CW36" s="377" t="n"/>
      <c r="CX36" s="378" t="n"/>
      <c r="CZ36" s="259" t="inlineStr">
        <is>
          <t>移動</t>
        </is>
      </c>
      <c r="DA36" s="403" t="n"/>
      <c r="DB36" s="403" t="n"/>
      <c r="DC36" s="404" t="n"/>
      <c r="DD36" s="405">
        <f>IF(Q36="作業者3",E39-E36,0)</f>
        <v/>
      </c>
      <c r="DE36" s="406" t="n"/>
      <c r="DF36" s="406" t="n"/>
      <c r="DG36" s="406" t="n"/>
      <c r="DH36" s="407" t="n"/>
      <c r="DJ36" s="259" t="inlineStr">
        <is>
          <t>移動</t>
        </is>
      </c>
      <c r="DK36" s="403" t="n"/>
      <c r="DL36" s="403" t="n"/>
      <c r="DM36" s="404" t="n"/>
      <c r="DN36" s="379">
        <f>IF(Q36="作業者4",E39-E36,0)</f>
        <v/>
      </c>
      <c r="DO36" s="377" t="n"/>
      <c r="DP36" s="377" t="n"/>
      <c r="DQ36" s="377" t="n"/>
      <c r="DR36" s="378" t="n"/>
      <c r="DT36" s="259" t="inlineStr">
        <is>
          <t>移動</t>
        </is>
      </c>
      <c r="DU36" s="403" t="n"/>
      <c r="DV36" s="403" t="n"/>
      <c r="DW36" s="404" t="n"/>
      <c r="DX36" s="379">
        <f>IF(Q36="作業者5",E39-E36,0)</f>
        <v/>
      </c>
      <c r="DY36" s="377" t="n"/>
      <c r="DZ36" s="377" t="n"/>
      <c r="EA36" s="377" t="n"/>
      <c r="EB36" s="378" t="n"/>
    </row>
    <row r="37" ht="9" customHeight="1" s="337">
      <c r="B37" s="350" t="n"/>
      <c r="C37" s="338" t="n"/>
      <c r="D37" s="380" t="n"/>
      <c r="E37" s="381" t="n"/>
      <c r="F37" s="122" t="inlineStr">
        <is>
          <t>～</t>
        </is>
      </c>
      <c r="G37" s="22" t="n"/>
      <c r="H37" s="381" t="n"/>
      <c r="I37" s="122" t="inlineStr">
        <is>
          <t>～</t>
        </is>
      </c>
      <c r="J37" s="22" t="n"/>
      <c r="K37" s="381" t="n"/>
      <c r="L37" s="122" t="inlineStr">
        <is>
          <t>～</t>
        </is>
      </c>
      <c r="M37" s="22" t="n"/>
      <c r="N37" s="381" t="n"/>
      <c r="O37" s="122" t="inlineStr">
        <is>
          <t>～</t>
        </is>
      </c>
      <c r="P37" s="22" t="n"/>
      <c r="Q37" s="382" t="n"/>
      <c r="R37" s="338" t="n"/>
      <c r="S37" s="380" t="n"/>
      <c r="T37" s="382" t="n"/>
      <c r="U37" s="338" t="n"/>
      <c r="V37" s="380" t="n"/>
      <c r="W37" s="382" t="n"/>
      <c r="X37" s="338" t="n"/>
      <c r="Y37" s="338" t="n"/>
      <c r="Z37" s="338" t="n"/>
      <c r="AA37" s="338" t="n"/>
      <c r="AB37" s="338" t="n"/>
      <c r="AC37" s="338" t="n"/>
      <c r="AD37" s="338" t="n"/>
      <c r="AE37" s="338" t="n"/>
      <c r="AF37" s="338" t="n"/>
      <c r="AG37" s="338" t="n"/>
      <c r="AH37" s="338" t="n"/>
      <c r="AI37" s="338" t="n"/>
      <c r="AJ37" s="338" t="n"/>
      <c r="AK37" s="338" t="n"/>
      <c r="AL37" s="338" t="n"/>
      <c r="AM37" s="338" t="n"/>
      <c r="AN37" s="338" t="n"/>
      <c r="AO37" s="338" t="n"/>
      <c r="AP37" s="338" t="n"/>
      <c r="AQ37" s="338" t="n"/>
      <c r="AR37" s="338" t="n"/>
      <c r="AS37" s="338" t="n"/>
      <c r="AT37" s="338" t="n"/>
      <c r="AU37" s="338" t="n"/>
      <c r="AV37" s="338" t="n"/>
      <c r="AW37" s="338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8" t="n"/>
      <c r="BH37" s="338" t="n"/>
      <c r="BI37" s="338" t="n"/>
      <c r="BJ37" s="338" t="n"/>
      <c r="BK37" s="338" t="n"/>
      <c r="BL37" s="338" t="n"/>
      <c r="BM37" s="338" t="n"/>
      <c r="BN37" s="338" t="n"/>
      <c r="BO37" s="338" t="n"/>
      <c r="BP37" s="338" t="n"/>
      <c r="BQ37" s="338" t="n"/>
      <c r="BR37" s="338" t="n"/>
      <c r="BS37" s="338" t="n"/>
      <c r="BT37" s="338" t="n"/>
      <c r="BU37" s="338" t="n"/>
      <c r="BV37" s="338" t="n"/>
      <c r="BW37" s="338" t="n"/>
      <c r="BX37" s="338" t="n"/>
      <c r="BY37" s="338" t="n"/>
      <c r="BZ37" s="338" t="n"/>
      <c r="CA37" s="338" t="n"/>
      <c r="CB37" s="338" t="n"/>
      <c r="CC37" s="383" t="n"/>
      <c r="CF37" s="253" t="inlineStr">
        <is>
          <t>時間内</t>
        </is>
      </c>
      <c r="CG37" s="384" t="n"/>
      <c r="CH37" s="384" t="n"/>
      <c r="CI37" s="385" t="n"/>
      <c r="CJ37" s="386">
        <f>IF(Q36="作業者1",H39-H36,0)</f>
        <v/>
      </c>
      <c r="CK37" s="387" t="n"/>
      <c r="CL37" s="387" t="n"/>
      <c r="CM37" s="387" t="n"/>
      <c r="CN37" s="388" t="n"/>
      <c r="CP37" s="253" t="inlineStr">
        <is>
          <t>時間内</t>
        </is>
      </c>
      <c r="CQ37" s="384" t="n"/>
      <c r="CR37" s="384" t="n"/>
      <c r="CS37" s="385" t="n"/>
      <c r="CT37" s="386">
        <f>IF(Q36="作業者2",H39-H36,0)</f>
        <v/>
      </c>
      <c r="CU37" s="387" t="n"/>
      <c r="CV37" s="387" t="n"/>
      <c r="CW37" s="387" t="n"/>
      <c r="CX37" s="388" t="n"/>
      <c r="CZ37" s="253" t="inlineStr">
        <is>
          <t>時間内</t>
        </is>
      </c>
      <c r="DA37" s="384" t="n"/>
      <c r="DB37" s="384" t="n"/>
      <c r="DC37" s="385" t="n"/>
      <c r="DD37" s="386">
        <f>IF(Q36="作業者3",H39-H36,0)</f>
        <v/>
      </c>
      <c r="DE37" s="387" t="n"/>
      <c r="DF37" s="387" t="n"/>
      <c r="DG37" s="387" t="n"/>
      <c r="DH37" s="388" t="n"/>
      <c r="DJ37" s="253" t="inlineStr">
        <is>
          <t>時間内</t>
        </is>
      </c>
      <c r="DK37" s="384" t="n"/>
      <c r="DL37" s="384" t="n"/>
      <c r="DM37" s="385" t="n"/>
      <c r="DN37" s="386">
        <f>IF(Q36="作業者4",H39-H36,0)</f>
        <v/>
      </c>
      <c r="DO37" s="387" t="n"/>
      <c r="DP37" s="387" t="n"/>
      <c r="DQ37" s="387" t="n"/>
      <c r="DR37" s="388" t="n"/>
      <c r="DT37" s="253" t="inlineStr">
        <is>
          <t>時間内</t>
        </is>
      </c>
      <c r="DU37" s="384" t="n"/>
      <c r="DV37" s="384" t="n"/>
      <c r="DW37" s="385" t="n"/>
      <c r="DX37" s="386">
        <f>IF(Q36="作業者5",H39-H36,0)</f>
        <v/>
      </c>
      <c r="DY37" s="387" t="n"/>
      <c r="DZ37" s="387" t="n"/>
      <c r="EA37" s="387" t="n"/>
      <c r="EB37" s="388" t="n"/>
    </row>
    <row r="38" ht="9" customHeight="1" s="337">
      <c r="B38" s="350" t="n"/>
      <c r="C38" s="338" t="n"/>
      <c r="D38" s="380" t="n"/>
      <c r="E38" s="23" t="n"/>
      <c r="F38" s="338" t="n"/>
      <c r="G38" s="24" t="n"/>
      <c r="H38" s="23" t="n"/>
      <c r="I38" s="338" t="n"/>
      <c r="J38" s="24" t="n"/>
      <c r="K38" s="23" t="n"/>
      <c r="L38" s="338" t="n"/>
      <c r="M38" s="24" t="n"/>
      <c r="N38" s="23" t="n"/>
      <c r="O38" s="338" t="n"/>
      <c r="P38" s="24" t="n"/>
      <c r="Q38" s="382" t="n"/>
      <c r="R38" s="338" t="n"/>
      <c r="S38" s="380" t="n"/>
      <c r="T38" s="382" t="n"/>
      <c r="U38" s="338" t="n"/>
      <c r="V38" s="380" t="n"/>
      <c r="W38" s="382" t="n"/>
      <c r="X38" s="338" t="n"/>
      <c r="Y38" s="338" t="n"/>
      <c r="Z38" s="338" t="n"/>
      <c r="AA38" s="338" t="n"/>
      <c r="AB38" s="338" t="n"/>
      <c r="AC38" s="338" t="n"/>
      <c r="AD38" s="338" t="n"/>
      <c r="AE38" s="338" t="n"/>
      <c r="AF38" s="338" t="n"/>
      <c r="AG38" s="338" t="n"/>
      <c r="AH38" s="338" t="n"/>
      <c r="AI38" s="338" t="n"/>
      <c r="AJ38" s="338" t="n"/>
      <c r="AK38" s="338" t="n"/>
      <c r="AL38" s="338" t="n"/>
      <c r="AM38" s="338" t="n"/>
      <c r="AN38" s="338" t="n"/>
      <c r="AO38" s="338" t="n"/>
      <c r="AP38" s="338" t="n"/>
      <c r="AQ38" s="338" t="n"/>
      <c r="AR38" s="338" t="n"/>
      <c r="AS38" s="338" t="n"/>
      <c r="AT38" s="338" t="n"/>
      <c r="AU38" s="338" t="n"/>
      <c r="AV38" s="338" t="n"/>
      <c r="AW38" s="338" t="n"/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8" t="n"/>
      <c r="BH38" s="338" t="n"/>
      <c r="BI38" s="338" t="n"/>
      <c r="BJ38" s="338" t="n"/>
      <c r="BK38" s="338" t="n"/>
      <c r="BL38" s="338" t="n"/>
      <c r="BM38" s="338" t="n"/>
      <c r="BN38" s="338" t="n"/>
      <c r="BO38" s="338" t="n"/>
      <c r="BP38" s="338" t="n"/>
      <c r="BQ38" s="338" t="n"/>
      <c r="BR38" s="338" t="n"/>
      <c r="BS38" s="338" t="n"/>
      <c r="BT38" s="338" t="n"/>
      <c r="BU38" s="338" t="n"/>
      <c r="BV38" s="338" t="n"/>
      <c r="BW38" s="338" t="n"/>
      <c r="BX38" s="338" t="n"/>
      <c r="BY38" s="338" t="n"/>
      <c r="BZ38" s="338" t="n"/>
      <c r="CA38" s="338" t="n"/>
      <c r="CB38" s="338" t="n"/>
      <c r="CC38" s="383" t="n"/>
      <c r="CF38" s="253" t="inlineStr">
        <is>
          <t>時間外</t>
        </is>
      </c>
      <c r="CG38" s="384" t="n"/>
      <c r="CH38" s="384" t="n"/>
      <c r="CI38" s="385" t="n"/>
      <c r="CJ38" s="386">
        <f>IF(Q36="作業者1",K39-K36,0)</f>
        <v/>
      </c>
      <c r="CK38" s="387" t="n"/>
      <c r="CL38" s="387" t="n"/>
      <c r="CM38" s="387" t="n"/>
      <c r="CN38" s="388" t="n"/>
      <c r="CP38" s="253" t="inlineStr">
        <is>
          <t>時間外</t>
        </is>
      </c>
      <c r="CQ38" s="384" t="n"/>
      <c r="CR38" s="384" t="n"/>
      <c r="CS38" s="385" t="n"/>
      <c r="CT38" s="386">
        <f>IF(Q36="作業者2",K39-K36,0)</f>
        <v/>
      </c>
      <c r="CU38" s="387" t="n"/>
      <c r="CV38" s="387" t="n"/>
      <c r="CW38" s="387" t="n"/>
      <c r="CX38" s="388" t="n"/>
      <c r="CZ38" s="253" t="inlineStr">
        <is>
          <t>時間外</t>
        </is>
      </c>
      <c r="DA38" s="384" t="n"/>
      <c r="DB38" s="384" t="n"/>
      <c r="DC38" s="385" t="n"/>
      <c r="DD38" s="386">
        <f>IF(Q36="作業者3",K39-K36,0)</f>
        <v/>
      </c>
      <c r="DE38" s="387" t="n"/>
      <c r="DF38" s="387" t="n"/>
      <c r="DG38" s="387" t="n"/>
      <c r="DH38" s="388" t="n"/>
      <c r="DJ38" s="253" t="inlineStr">
        <is>
          <t>時間外</t>
        </is>
      </c>
      <c r="DK38" s="384" t="n"/>
      <c r="DL38" s="384" t="n"/>
      <c r="DM38" s="385" t="n"/>
      <c r="DN38" s="386">
        <f>IF(Q36="作業者4",K39-K36,0)</f>
        <v/>
      </c>
      <c r="DO38" s="387" t="n"/>
      <c r="DP38" s="387" t="n"/>
      <c r="DQ38" s="387" t="n"/>
      <c r="DR38" s="388" t="n"/>
      <c r="DT38" s="253" t="inlineStr">
        <is>
          <t>時間外</t>
        </is>
      </c>
      <c r="DU38" s="384" t="n"/>
      <c r="DV38" s="384" t="n"/>
      <c r="DW38" s="385" t="n"/>
      <c r="DX38" s="386">
        <f>IF(Q36="作業者5",K39-K36,0)</f>
        <v/>
      </c>
      <c r="DY38" s="387" t="n"/>
      <c r="DZ38" s="387" t="n"/>
      <c r="EA38" s="387" t="n"/>
      <c r="EB38" s="388" t="n"/>
    </row>
    <row r="39" ht="9" customHeight="1" s="337">
      <c r="B39" s="389" t="n"/>
      <c r="C39" s="390" t="n"/>
      <c r="D39" s="391" t="n"/>
      <c r="E39" s="392" t="n"/>
      <c r="F39" s="390" t="n"/>
      <c r="G39" s="391" t="n"/>
      <c r="H39" s="392" t="n"/>
      <c r="I39" s="390" t="n"/>
      <c r="J39" s="391" t="n"/>
      <c r="K39" s="392" t="n"/>
      <c r="L39" s="390" t="n"/>
      <c r="M39" s="391" t="n"/>
      <c r="N39" s="392" t="n"/>
      <c r="O39" s="390" t="n"/>
      <c r="P39" s="391" t="n"/>
      <c r="Q39" s="393" t="n"/>
      <c r="R39" s="390" t="n"/>
      <c r="S39" s="391" t="n"/>
      <c r="T39" s="393" t="n"/>
      <c r="U39" s="390" t="n"/>
      <c r="V39" s="391" t="n"/>
      <c r="W39" s="393" t="n"/>
      <c r="X39" s="390" t="n"/>
      <c r="Y39" s="390" t="n"/>
      <c r="Z39" s="390" t="n"/>
      <c r="AA39" s="390" t="n"/>
      <c r="AB39" s="390" t="n"/>
      <c r="AC39" s="390" t="n"/>
      <c r="AD39" s="390" t="n"/>
      <c r="AE39" s="390" t="n"/>
      <c r="AF39" s="390" t="n"/>
      <c r="AG39" s="390" t="n"/>
      <c r="AH39" s="390" t="n"/>
      <c r="AI39" s="390" t="n"/>
      <c r="AJ39" s="390" t="n"/>
      <c r="AK39" s="390" t="n"/>
      <c r="AL39" s="390" t="n"/>
      <c r="AM39" s="390" t="n"/>
      <c r="AN39" s="390" t="n"/>
      <c r="AO39" s="390" t="n"/>
      <c r="AP39" s="390" t="n"/>
      <c r="AQ39" s="390" t="n"/>
      <c r="AR39" s="390" t="n"/>
      <c r="AS39" s="390" t="n"/>
      <c r="AT39" s="390" t="n"/>
      <c r="AU39" s="390" t="n"/>
      <c r="AV39" s="390" t="n"/>
      <c r="AW39" s="390" t="n"/>
      <c r="AX39" s="390" t="n"/>
      <c r="AY39" s="390" t="n"/>
      <c r="AZ39" s="390" t="n"/>
      <c r="BA39" s="390" t="n"/>
      <c r="BB39" s="390" t="n"/>
      <c r="BC39" s="390" t="n"/>
      <c r="BD39" s="390" t="n"/>
      <c r="BE39" s="390" t="n"/>
      <c r="BF39" s="390" t="n"/>
      <c r="BG39" s="390" t="n"/>
      <c r="BH39" s="390" t="n"/>
      <c r="BI39" s="390" t="n"/>
      <c r="BJ39" s="390" t="n"/>
      <c r="BK39" s="390" t="n"/>
      <c r="BL39" s="390" t="n"/>
      <c r="BM39" s="390" t="n"/>
      <c r="BN39" s="390" t="n"/>
      <c r="BO39" s="390" t="n"/>
      <c r="BP39" s="390" t="n"/>
      <c r="BQ39" s="390" t="n"/>
      <c r="BR39" s="390" t="n"/>
      <c r="BS39" s="390" t="n"/>
      <c r="BT39" s="390" t="n"/>
      <c r="BU39" s="390" t="n"/>
      <c r="BV39" s="390" t="n"/>
      <c r="BW39" s="390" t="n"/>
      <c r="BX39" s="390" t="n"/>
      <c r="BY39" s="390" t="n"/>
      <c r="BZ39" s="390" t="n"/>
      <c r="CA39" s="390" t="n"/>
      <c r="CB39" s="390" t="n"/>
      <c r="CC39" s="394" t="n"/>
      <c r="CF39" s="254" t="inlineStr">
        <is>
          <t>休日</t>
        </is>
      </c>
      <c r="CG39" s="395" t="n"/>
      <c r="CH39" s="395" t="n"/>
      <c r="CI39" s="396" t="n"/>
      <c r="CJ39" s="397">
        <f>IF(Q36="作業者1",N39-N36,0)</f>
        <v/>
      </c>
      <c r="CK39" s="395" t="n"/>
      <c r="CL39" s="395" t="n"/>
      <c r="CM39" s="395" t="n"/>
      <c r="CN39" s="396" t="n"/>
      <c r="CP39" s="254" t="inlineStr">
        <is>
          <t>休日</t>
        </is>
      </c>
      <c r="CQ39" s="395" t="n"/>
      <c r="CR39" s="395" t="n"/>
      <c r="CS39" s="396" t="n"/>
      <c r="CT39" s="397">
        <f>IF(Q36="作業者2",N39-N36,0)</f>
        <v/>
      </c>
      <c r="CU39" s="395" t="n"/>
      <c r="CV39" s="395" t="n"/>
      <c r="CW39" s="395" t="n"/>
      <c r="CX39" s="396" t="n"/>
      <c r="CZ39" s="254" t="inlineStr">
        <is>
          <t>休日</t>
        </is>
      </c>
      <c r="DA39" s="395" t="n"/>
      <c r="DB39" s="395" t="n"/>
      <c r="DC39" s="396" t="n"/>
      <c r="DD39" s="397">
        <f>IF(Q36="作業者3",N39-N36,0)</f>
        <v/>
      </c>
      <c r="DE39" s="395" t="n"/>
      <c r="DF39" s="395" t="n"/>
      <c r="DG39" s="395" t="n"/>
      <c r="DH39" s="396" t="n"/>
      <c r="DJ39" s="254" t="inlineStr">
        <is>
          <t>休日</t>
        </is>
      </c>
      <c r="DK39" s="395" t="n"/>
      <c r="DL39" s="395" t="n"/>
      <c r="DM39" s="396" t="n"/>
      <c r="DN39" s="397">
        <f>IF(Q36="作業者4",N39-N36,0)</f>
        <v/>
      </c>
      <c r="DO39" s="395" t="n"/>
      <c r="DP39" s="395" t="n"/>
      <c r="DQ39" s="395" t="n"/>
      <c r="DR39" s="396" t="n"/>
      <c r="DT39" s="254" t="inlineStr">
        <is>
          <t>休日</t>
        </is>
      </c>
      <c r="DU39" s="395" t="n"/>
      <c r="DV39" s="395" t="n"/>
      <c r="DW39" s="396" t="n"/>
      <c r="DX39" s="397">
        <f>IF(Q36="作業者5",N39-N36,0)</f>
        <v/>
      </c>
      <c r="DY39" s="395" t="n"/>
      <c r="DZ39" s="395" t="n"/>
      <c r="EA39" s="395" t="n"/>
      <c r="EB39" s="396" t="n"/>
    </row>
    <row r="40" ht="9" customHeight="1" s="337">
      <c r="B40" s="398" t="n"/>
      <c r="C40" s="372" t="n"/>
      <c r="D40" s="373" t="n"/>
      <c r="E40" s="399" t="n"/>
      <c r="F40" s="372" t="n"/>
      <c r="G40" s="373" t="n"/>
      <c r="H40" s="399" t="n"/>
      <c r="I40" s="372" t="n"/>
      <c r="J40" s="373" t="n"/>
      <c r="K40" s="399" t="n"/>
      <c r="L40" s="372" t="n"/>
      <c r="M40" s="373" t="n"/>
      <c r="N40" s="399" t="n"/>
      <c r="O40" s="372" t="n"/>
      <c r="P40" s="373" t="n"/>
      <c r="Q40" s="371" t="n"/>
      <c r="R40" s="372" t="n"/>
      <c r="S40" s="373" t="n"/>
      <c r="T40" s="371" t="n"/>
      <c r="U40" s="372" t="n"/>
      <c r="V40" s="373" t="n"/>
      <c r="W40" s="443" t="n"/>
      <c r="X40" s="372" t="n"/>
      <c r="Y40" s="372" t="n"/>
      <c r="Z40" s="372" t="n"/>
      <c r="AA40" s="372" t="n"/>
      <c r="AB40" s="372" t="n"/>
      <c r="AC40" s="372" t="n"/>
      <c r="AD40" s="372" t="n"/>
      <c r="AE40" s="372" t="n"/>
      <c r="AF40" s="372" t="n"/>
      <c r="AG40" s="372" t="n"/>
      <c r="AH40" s="372" t="n"/>
      <c r="AI40" s="372" t="n"/>
      <c r="AJ40" s="372" t="n"/>
      <c r="AK40" s="372" t="n"/>
      <c r="AL40" s="372" t="n"/>
      <c r="AM40" s="372" t="n"/>
      <c r="AN40" s="372" t="n"/>
      <c r="AO40" s="372" t="n"/>
      <c r="AP40" s="372" t="n"/>
      <c r="AQ40" s="372" t="n"/>
      <c r="AR40" s="372" t="n"/>
      <c r="AS40" s="372" t="n"/>
      <c r="AT40" s="372" t="n"/>
      <c r="AU40" s="372" t="n"/>
      <c r="AV40" s="372" t="n"/>
      <c r="AW40" s="372" t="n"/>
      <c r="AX40" s="372" t="n"/>
      <c r="AY40" s="372" t="n"/>
      <c r="AZ40" s="372" t="n"/>
      <c r="BA40" s="372" t="n"/>
      <c r="BB40" s="372" t="n"/>
      <c r="BC40" s="372" t="n"/>
      <c r="BD40" s="372" t="n"/>
      <c r="BE40" s="372" t="n"/>
      <c r="BF40" s="372" t="n"/>
      <c r="BG40" s="372" t="n"/>
      <c r="BH40" s="372" t="n"/>
      <c r="BI40" s="372" t="n"/>
      <c r="BJ40" s="372" t="n"/>
      <c r="BK40" s="372" t="n"/>
      <c r="BL40" s="372" t="n"/>
      <c r="BM40" s="372" t="n"/>
      <c r="BN40" s="372" t="n"/>
      <c r="BO40" s="372" t="n"/>
      <c r="BP40" s="372" t="n"/>
      <c r="BQ40" s="372" t="n"/>
      <c r="BR40" s="372" t="n"/>
      <c r="BS40" s="372" t="n"/>
      <c r="BT40" s="372" t="n"/>
      <c r="BU40" s="372" t="n"/>
      <c r="BV40" s="372" t="n"/>
      <c r="BW40" s="372" t="n"/>
      <c r="BX40" s="372" t="n"/>
      <c r="BY40" s="372" t="n"/>
      <c r="BZ40" s="372" t="n"/>
      <c r="CA40" s="372" t="n"/>
      <c r="CB40" s="372" t="n"/>
      <c r="CC40" s="402" t="n"/>
      <c r="CF40" s="248" t="inlineStr">
        <is>
          <t>移動</t>
        </is>
      </c>
      <c r="CG40" s="377" t="n"/>
      <c r="CH40" s="377" t="n"/>
      <c r="CI40" s="378" t="n"/>
      <c r="CJ40" s="379">
        <f>IF(Q40="作業者1",E43-E40,0)</f>
        <v/>
      </c>
      <c r="CK40" s="377" t="n"/>
      <c r="CL40" s="377" t="n"/>
      <c r="CM40" s="377" t="n"/>
      <c r="CN40" s="378" t="n"/>
      <c r="CP40" s="248" t="inlineStr">
        <is>
          <t>移動</t>
        </is>
      </c>
      <c r="CQ40" s="377" t="n"/>
      <c r="CR40" s="377" t="n"/>
      <c r="CS40" s="378" t="n"/>
      <c r="CT40" s="379">
        <f>IF(Q40="作業者2",E43-E40,0)</f>
        <v/>
      </c>
      <c r="CU40" s="377" t="n"/>
      <c r="CV40" s="377" t="n"/>
      <c r="CW40" s="377" t="n"/>
      <c r="CX40" s="378" t="n"/>
      <c r="CZ40" s="259" t="inlineStr">
        <is>
          <t>移動</t>
        </is>
      </c>
      <c r="DA40" s="403" t="n"/>
      <c r="DB40" s="403" t="n"/>
      <c r="DC40" s="404" t="n"/>
      <c r="DD40" s="405">
        <f>IF(Q40="作業者3",E43-E40,0)</f>
        <v/>
      </c>
      <c r="DE40" s="406" t="n"/>
      <c r="DF40" s="406" t="n"/>
      <c r="DG40" s="406" t="n"/>
      <c r="DH40" s="407" t="n"/>
      <c r="DJ40" s="259" t="inlineStr">
        <is>
          <t>移動</t>
        </is>
      </c>
      <c r="DK40" s="403" t="n"/>
      <c r="DL40" s="403" t="n"/>
      <c r="DM40" s="404" t="n"/>
      <c r="DN40" s="379">
        <f>IF(Q40="作業者4",E43-E40,0)</f>
        <v/>
      </c>
      <c r="DO40" s="377" t="n"/>
      <c r="DP40" s="377" t="n"/>
      <c r="DQ40" s="377" t="n"/>
      <c r="DR40" s="378" t="n"/>
      <c r="DT40" s="259" t="inlineStr">
        <is>
          <t>移動</t>
        </is>
      </c>
      <c r="DU40" s="403" t="n"/>
      <c r="DV40" s="403" t="n"/>
      <c r="DW40" s="404" t="n"/>
      <c r="DX40" s="379">
        <f>IF(Q40="作業者5",E43-E40,0)</f>
        <v/>
      </c>
      <c r="DY40" s="377" t="n"/>
      <c r="DZ40" s="377" t="n"/>
      <c r="EA40" s="377" t="n"/>
      <c r="EB40" s="378" t="n"/>
    </row>
    <row r="41" ht="9" customHeight="1" s="337">
      <c r="B41" s="350" t="n"/>
      <c r="C41" s="338" t="n"/>
      <c r="D41" s="380" t="n"/>
      <c r="E41" s="381" t="n"/>
      <c r="F41" s="122" t="inlineStr">
        <is>
          <t>～</t>
        </is>
      </c>
      <c r="G41" s="22" t="n"/>
      <c r="H41" s="381" t="n"/>
      <c r="I41" s="122" t="inlineStr">
        <is>
          <t>～</t>
        </is>
      </c>
      <c r="J41" s="22" t="n"/>
      <c r="K41" s="381" t="n"/>
      <c r="L41" s="122" t="inlineStr">
        <is>
          <t>～</t>
        </is>
      </c>
      <c r="M41" s="22" t="n"/>
      <c r="N41" s="381" t="n"/>
      <c r="O41" s="122" t="inlineStr">
        <is>
          <t>～</t>
        </is>
      </c>
      <c r="P41" s="22" t="n"/>
      <c r="Q41" s="382" t="n"/>
      <c r="R41" s="338" t="n"/>
      <c r="S41" s="380" t="n"/>
      <c r="T41" s="382" t="n"/>
      <c r="U41" s="338" t="n"/>
      <c r="V41" s="380" t="n"/>
      <c r="W41" s="382" t="n"/>
      <c r="X41" s="338" t="n"/>
      <c r="Y41" s="338" t="n"/>
      <c r="Z41" s="338" t="n"/>
      <c r="AA41" s="338" t="n"/>
      <c r="AB41" s="338" t="n"/>
      <c r="AC41" s="338" t="n"/>
      <c r="AD41" s="338" t="n"/>
      <c r="AE41" s="338" t="n"/>
      <c r="AF41" s="338" t="n"/>
      <c r="AG41" s="338" t="n"/>
      <c r="AH41" s="338" t="n"/>
      <c r="AI41" s="338" t="n"/>
      <c r="AJ41" s="338" t="n"/>
      <c r="AK41" s="338" t="n"/>
      <c r="AL41" s="338" t="n"/>
      <c r="AM41" s="338" t="n"/>
      <c r="AN41" s="338" t="n"/>
      <c r="AO41" s="338" t="n"/>
      <c r="AP41" s="338" t="n"/>
      <c r="AQ41" s="338" t="n"/>
      <c r="AR41" s="338" t="n"/>
      <c r="AS41" s="338" t="n"/>
      <c r="AT41" s="338" t="n"/>
      <c r="AU41" s="338" t="n"/>
      <c r="AV41" s="338" t="n"/>
      <c r="AW41" s="338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8" t="n"/>
      <c r="BH41" s="338" t="n"/>
      <c r="BI41" s="338" t="n"/>
      <c r="BJ41" s="338" t="n"/>
      <c r="BK41" s="338" t="n"/>
      <c r="BL41" s="338" t="n"/>
      <c r="BM41" s="338" t="n"/>
      <c r="BN41" s="338" t="n"/>
      <c r="BO41" s="338" t="n"/>
      <c r="BP41" s="338" t="n"/>
      <c r="BQ41" s="338" t="n"/>
      <c r="BR41" s="338" t="n"/>
      <c r="BS41" s="338" t="n"/>
      <c r="BT41" s="338" t="n"/>
      <c r="BU41" s="338" t="n"/>
      <c r="BV41" s="338" t="n"/>
      <c r="BW41" s="338" t="n"/>
      <c r="BX41" s="338" t="n"/>
      <c r="BY41" s="338" t="n"/>
      <c r="BZ41" s="338" t="n"/>
      <c r="CA41" s="338" t="n"/>
      <c r="CB41" s="338" t="n"/>
      <c r="CC41" s="383" t="n"/>
      <c r="CF41" s="253" t="inlineStr">
        <is>
          <t>時間内</t>
        </is>
      </c>
      <c r="CG41" s="384" t="n"/>
      <c r="CH41" s="384" t="n"/>
      <c r="CI41" s="385" t="n"/>
      <c r="CJ41" s="386">
        <f>IF(Q40="作業者1",H43-H40,0)</f>
        <v/>
      </c>
      <c r="CK41" s="387" t="n"/>
      <c r="CL41" s="387" t="n"/>
      <c r="CM41" s="387" t="n"/>
      <c r="CN41" s="388" t="n"/>
      <c r="CP41" s="253" t="inlineStr">
        <is>
          <t>時間内</t>
        </is>
      </c>
      <c r="CQ41" s="384" t="n"/>
      <c r="CR41" s="384" t="n"/>
      <c r="CS41" s="385" t="n"/>
      <c r="CT41" s="386">
        <f>IF(Q40="作業者2",H43-H40,0)</f>
        <v/>
      </c>
      <c r="CU41" s="387" t="n"/>
      <c r="CV41" s="387" t="n"/>
      <c r="CW41" s="387" t="n"/>
      <c r="CX41" s="388" t="n"/>
      <c r="CZ41" s="253" t="inlineStr">
        <is>
          <t>時間内</t>
        </is>
      </c>
      <c r="DA41" s="384" t="n"/>
      <c r="DB41" s="384" t="n"/>
      <c r="DC41" s="385" t="n"/>
      <c r="DD41" s="386">
        <f>IF(Q40="作業者3",H43-H40,0)</f>
        <v/>
      </c>
      <c r="DE41" s="387" t="n"/>
      <c r="DF41" s="387" t="n"/>
      <c r="DG41" s="387" t="n"/>
      <c r="DH41" s="388" t="n"/>
      <c r="DJ41" s="253" t="inlineStr">
        <is>
          <t>時間内</t>
        </is>
      </c>
      <c r="DK41" s="384" t="n"/>
      <c r="DL41" s="384" t="n"/>
      <c r="DM41" s="385" t="n"/>
      <c r="DN41" s="386">
        <f>IF(Q40="作業者4",H43-H40,0)</f>
        <v/>
      </c>
      <c r="DO41" s="387" t="n"/>
      <c r="DP41" s="387" t="n"/>
      <c r="DQ41" s="387" t="n"/>
      <c r="DR41" s="388" t="n"/>
      <c r="DT41" s="253" t="inlineStr">
        <is>
          <t>時間内</t>
        </is>
      </c>
      <c r="DU41" s="384" t="n"/>
      <c r="DV41" s="384" t="n"/>
      <c r="DW41" s="385" t="n"/>
      <c r="DX41" s="386">
        <f>IF(Q40="作業者5",H43-H40,0)</f>
        <v/>
      </c>
      <c r="DY41" s="387" t="n"/>
      <c r="DZ41" s="387" t="n"/>
      <c r="EA41" s="387" t="n"/>
      <c r="EB41" s="388" t="n"/>
    </row>
    <row r="42" ht="9" customHeight="1" s="337">
      <c r="B42" s="350" t="n"/>
      <c r="C42" s="338" t="n"/>
      <c r="D42" s="380" t="n"/>
      <c r="E42" s="23" t="n"/>
      <c r="F42" s="338" t="n"/>
      <c r="G42" s="24" t="n"/>
      <c r="H42" s="23" t="n"/>
      <c r="I42" s="338" t="n"/>
      <c r="J42" s="24" t="n"/>
      <c r="K42" s="23" t="n"/>
      <c r="L42" s="338" t="n"/>
      <c r="M42" s="24" t="n"/>
      <c r="N42" s="23" t="n"/>
      <c r="O42" s="338" t="n"/>
      <c r="P42" s="24" t="n"/>
      <c r="Q42" s="382" t="n"/>
      <c r="R42" s="338" t="n"/>
      <c r="S42" s="380" t="n"/>
      <c r="T42" s="382" t="n"/>
      <c r="U42" s="338" t="n"/>
      <c r="V42" s="380" t="n"/>
      <c r="W42" s="382" t="n"/>
      <c r="X42" s="338" t="n"/>
      <c r="Y42" s="338" t="n"/>
      <c r="Z42" s="338" t="n"/>
      <c r="AA42" s="338" t="n"/>
      <c r="AB42" s="338" t="n"/>
      <c r="AC42" s="338" t="n"/>
      <c r="AD42" s="338" t="n"/>
      <c r="AE42" s="338" t="n"/>
      <c r="AF42" s="338" t="n"/>
      <c r="AG42" s="338" t="n"/>
      <c r="AH42" s="338" t="n"/>
      <c r="AI42" s="338" t="n"/>
      <c r="AJ42" s="338" t="n"/>
      <c r="AK42" s="338" t="n"/>
      <c r="AL42" s="338" t="n"/>
      <c r="AM42" s="338" t="n"/>
      <c r="AN42" s="338" t="n"/>
      <c r="AO42" s="338" t="n"/>
      <c r="AP42" s="338" t="n"/>
      <c r="AQ42" s="338" t="n"/>
      <c r="AR42" s="338" t="n"/>
      <c r="AS42" s="338" t="n"/>
      <c r="AT42" s="338" t="n"/>
      <c r="AU42" s="338" t="n"/>
      <c r="AV42" s="338" t="n"/>
      <c r="AW42" s="338" t="n"/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8" t="n"/>
      <c r="BH42" s="338" t="n"/>
      <c r="BI42" s="338" t="n"/>
      <c r="BJ42" s="338" t="n"/>
      <c r="BK42" s="338" t="n"/>
      <c r="BL42" s="338" t="n"/>
      <c r="BM42" s="338" t="n"/>
      <c r="BN42" s="338" t="n"/>
      <c r="BO42" s="338" t="n"/>
      <c r="BP42" s="338" t="n"/>
      <c r="BQ42" s="338" t="n"/>
      <c r="BR42" s="338" t="n"/>
      <c r="BS42" s="338" t="n"/>
      <c r="BT42" s="338" t="n"/>
      <c r="BU42" s="338" t="n"/>
      <c r="BV42" s="338" t="n"/>
      <c r="BW42" s="338" t="n"/>
      <c r="BX42" s="338" t="n"/>
      <c r="BY42" s="338" t="n"/>
      <c r="BZ42" s="338" t="n"/>
      <c r="CA42" s="338" t="n"/>
      <c r="CB42" s="338" t="n"/>
      <c r="CC42" s="383" t="n"/>
      <c r="CF42" s="253" t="inlineStr">
        <is>
          <t>時間外</t>
        </is>
      </c>
      <c r="CG42" s="384" t="n"/>
      <c r="CH42" s="384" t="n"/>
      <c r="CI42" s="385" t="n"/>
      <c r="CJ42" s="386">
        <f>IF(Q40="作業者1",K43-K40,0)</f>
        <v/>
      </c>
      <c r="CK42" s="387" t="n"/>
      <c r="CL42" s="387" t="n"/>
      <c r="CM42" s="387" t="n"/>
      <c r="CN42" s="388" t="n"/>
      <c r="CP42" s="253" t="inlineStr">
        <is>
          <t>時間外</t>
        </is>
      </c>
      <c r="CQ42" s="384" t="n"/>
      <c r="CR42" s="384" t="n"/>
      <c r="CS42" s="385" t="n"/>
      <c r="CT42" s="386">
        <f>IF(Q40="作業者2",K43-K40,0)</f>
        <v/>
      </c>
      <c r="CU42" s="387" t="n"/>
      <c r="CV42" s="387" t="n"/>
      <c r="CW42" s="387" t="n"/>
      <c r="CX42" s="388" t="n"/>
      <c r="CZ42" s="253" t="inlineStr">
        <is>
          <t>時間外</t>
        </is>
      </c>
      <c r="DA42" s="384" t="n"/>
      <c r="DB42" s="384" t="n"/>
      <c r="DC42" s="385" t="n"/>
      <c r="DD42" s="386">
        <f>IF(Q40="作業者3",K43-K40,0)</f>
        <v/>
      </c>
      <c r="DE42" s="387" t="n"/>
      <c r="DF42" s="387" t="n"/>
      <c r="DG42" s="387" t="n"/>
      <c r="DH42" s="388" t="n"/>
      <c r="DJ42" s="253" t="inlineStr">
        <is>
          <t>時間外</t>
        </is>
      </c>
      <c r="DK42" s="384" t="n"/>
      <c r="DL42" s="384" t="n"/>
      <c r="DM42" s="385" t="n"/>
      <c r="DN42" s="386">
        <f>IF(Q40="作業者4",K43-K40,0)</f>
        <v/>
      </c>
      <c r="DO42" s="387" t="n"/>
      <c r="DP42" s="387" t="n"/>
      <c r="DQ42" s="387" t="n"/>
      <c r="DR42" s="388" t="n"/>
      <c r="DT42" s="253" t="inlineStr">
        <is>
          <t>時間外</t>
        </is>
      </c>
      <c r="DU42" s="384" t="n"/>
      <c r="DV42" s="384" t="n"/>
      <c r="DW42" s="385" t="n"/>
      <c r="DX42" s="386">
        <f>IF(Q40="作業者5",K43-K40,0)</f>
        <v/>
      </c>
      <c r="DY42" s="387" t="n"/>
      <c r="DZ42" s="387" t="n"/>
      <c r="EA42" s="387" t="n"/>
      <c r="EB42" s="388" t="n"/>
    </row>
    <row r="43" ht="9" customHeight="1" s="337">
      <c r="B43" s="389" t="n"/>
      <c r="C43" s="390" t="n"/>
      <c r="D43" s="391" t="n"/>
      <c r="E43" s="392" t="n"/>
      <c r="F43" s="390" t="n"/>
      <c r="G43" s="391" t="n"/>
      <c r="H43" s="392" t="n"/>
      <c r="I43" s="390" t="n"/>
      <c r="J43" s="391" t="n"/>
      <c r="K43" s="392" t="n"/>
      <c r="L43" s="390" t="n"/>
      <c r="M43" s="391" t="n"/>
      <c r="N43" s="392" t="n"/>
      <c r="O43" s="390" t="n"/>
      <c r="P43" s="391" t="n"/>
      <c r="Q43" s="393" t="n"/>
      <c r="R43" s="390" t="n"/>
      <c r="S43" s="391" t="n"/>
      <c r="T43" s="393" t="n"/>
      <c r="U43" s="390" t="n"/>
      <c r="V43" s="391" t="n"/>
      <c r="W43" s="393" t="n"/>
      <c r="X43" s="390" t="n"/>
      <c r="Y43" s="390" t="n"/>
      <c r="Z43" s="390" t="n"/>
      <c r="AA43" s="390" t="n"/>
      <c r="AB43" s="390" t="n"/>
      <c r="AC43" s="390" t="n"/>
      <c r="AD43" s="390" t="n"/>
      <c r="AE43" s="390" t="n"/>
      <c r="AF43" s="390" t="n"/>
      <c r="AG43" s="390" t="n"/>
      <c r="AH43" s="390" t="n"/>
      <c r="AI43" s="390" t="n"/>
      <c r="AJ43" s="390" t="n"/>
      <c r="AK43" s="390" t="n"/>
      <c r="AL43" s="390" t="n"/>
      <c r="AM43" s="390" t="n"/>
      <c r="AN43" s="390" t="n"/>
      <c r="AO43" s="390" t="n"/>
      <c r="AP43" s="390" t="n"/>
      <c r="AQ43" s="390" t="n"/>
      <c r="AR43" s="390" t="n"/>
      <c r="AS43" s="390" t="n"/>
      <c r="AT43" s="390" t="n"/>
      <c r="AU43" s="390" t="n"/>
      <c r="AV43" s="390" t="n"/>
      <c r="AW43" s="390" t="n"/>
      <c r="AX43" s="390" t="n"/>
      <c r="AY43" s="390" t="n"/>
      <c r="AZ43" s="390" t="n"/>
      <c r="BA43" s="390" t="n"/>
      <c r="BB43" s="390" t="n"/>
      <c r="BC43" s="390" t="n"/>
      <c r="BD43" s="390" t="n"/>
      <c r="BE43" s="390" t="n"/>
      <c r="BF43" s="390" t="n"/>
      <c r="BG43" s="390" t="n"/>
      <c r="BH43" s="390" t="n"/>
      <c r="BI43" s="390" t="n"/>
      <c r="BJ43" s="390" t="n"/>
      <c r="BK43" s="390" t="n"/>
      <c r="BL43" s="390" t="n"/>
      <c r="BM43" s="390" t="n"/>
      <c r="BN43" s="390" t="n"/>
      <c r="BO43" s="390" t="n"/>
      <c r="BP43" s="390" t="n"/>
      <c r="BQ43" s="390" t="n"/>
      <c r="BR43" s="390" t="n"/>
      <c r="BS43" s="390" t="n"/>
      <c r="BT43" s="390" t="n"/>
      <c r="BU43" s="390" t="n"/>
      <c r="BV43" s="390" t="n"/>
      <c r="BW43" s="390" t="n"/>
      <c r="BX43" s="390" t="n"/>
      <c r="BY43" s="390" t="n"/>
      <c r="BZ43" s="390" t="n"/>
      <c r="CA43" s="390" t="n"/>
      <c r="CB43" s="390" t="n"/>
      <c r="CC43" s="394" t="n"/>
      <c r="CF43" s="254" t="inlineStr">
        <is>
          <t>休日</t>
        </is>
      </c>
      <c r="CG43" s="395" t="n"/>
      <c r="CH43" s="395" t="n"/>
      <c r="CI43" s="396" t="n"/>
      <c r="CJ43" s="397">
        <f>IF(Q40="作業者1",N43-N40,0)</f>
        <v/>
      </c>
      <c r="CK43" s="395" t="n"/>
      <c r="CL43" s="395" t="n"/>
      <c r="CM43" s="395" t="n"/>
      <c r="CN43" s="396" t="n"/>
      <c r="CP43" s="254" t="inlineStr">
        <is>
          <t>休日</t>
        </is>
      </c>
      <c r="CQ43" s="395" t="n"/>
      <c r="CR43" s="395" t="n"/>
      <c r="CS43" s="396" t="n"/>
      <c r="CT43" s="397">
        <f>IF(Q40="作業者2",N43-N40,0)</f>
        <v/>
      </c>
      <c r="CU43" s="395" t="n"/>
      <c r="CV43" s="395" t="n"/>
      <c r="CW43" s="395" t="n"/>
      <c r="CX43" s="396" t="n"/>
      <c r="CZ43" s="254" t="inlineStr">
        <is>
          <t>休日</t>
        </is>
      </c>
      <c r="DA43" s="395" t="n"/>
      <c r="DB43" s="395" t="n"/>
      <c r="DC43" s="396" t="n"/>
      <c r="DD43" s="397">
        <f>IF(Q40="作業者3",N43-N40,0)</f>
        <v/>
      </c>
      <c r="DE43" s="395" t="n"/>
      <c r="DF43" s="395" t="n"/>
      <c r="DG43" s="395" t="n"/>
      <c r="DH43" s="396" t="n"/>
      <c r="DJ43" s="254" t="inlineStr">
        <is>
          <t>休日</t>
        </is>
      </c>
      <c r="DK43" s="395" t="n"/>
      <c r="DL43" s="395" t="n"/>
      <c r="DM43" s="396" t="n"/>
      <c r="DN43" s="397">
        <f>IF(Q40="作業者4",N43-N40,0)</f>
        <v/>
      </c>
      <c r="DO43" s="395" t="n"/>
      <c r="DP43" s="395" t="n"/>
      <c r="DQ43" s="395" t="n"/>
      <c r="DR43" s="396" t="n"/>
      <c r="DT43" s="254" t="inlineStr">
        <is>
          <t>休日</t>
        </is>
      </c>
      <c r="DU43" s="395" t="n"/>
      <c r="DV43" s="395" t="n"/>
      <c r="DW43" s="396" t="n"/>
      <c r="DX43" s="397">
        <f>IF(Q40="作業者5",N43-N40,0)</f>
        <v/>
      </c>
      <c r="DY43" s="395" t="n"/>
      <c r="DZ43" s="395" t="n"/>
      <c r="EA43" s="395" t="n"/>
      <c r="EB43" s="396" t="n"/>
    </row>
    <row r="44" ht="9" customHeight="1" s="337">
      <c r="B44" s="398" t="n"/>
      <c r="C44" s="372" t="n"/>
      <c r="D44" s="373" t="n"/>
      <c r="E44" s="399" t="n"/>
      <c r="F44" s="372" t="n"/>
      <c r="G44" s="373" t="n"/>
      <c r="H44" s="399" t="n"/>
      <c r="I44" s="372" t="n"/>
      <c r="J44" s="373" t="n"/>
      <c r="K44" s="399" t="n"/>
      <c r="L44" s="372" t="n"/>
      <c r="M44" s="373" t="n"/>
      <c r="N44" s="399" t="n"/>
      <c r="O44" s="372" t="n"/>
      <c r="P44" s="373" t="n"/>
      <c r="Q44" s="371" t="n"/>
      <c r="R44" s="372" t="n"/>
      <c r="S44" s="373" t="n"/>
      <c r="T44" s="371" t="n"/>
      <c r="U44" s="372" t="n"/>
      <c r="V44" s="373" t="n"/>
      <c r="W44" s="443" t="n"/>
      <c r="X44" s="372" t="n"/>
      <c r="Y44" s="372" t="n"/>
      <c r="Z44" s="372" t="n"/>
      <c r="AA44" s="372" t="n"/>
      <c r="AB44" s="372" t="n"/>
      <c r="AC44" s="372" t="n"/>
      <c r="AD44" s="372" t="n"/>
      <c r="AE44" s="372" t="n"/>
      <c r="AF44" s="372" t="n"/>
      <c r="AG44" s="372" t="n"/>
      <c r="AH44" s="372" t="n"/>
      <c r="AI44" s="372" t="n"/>
      <c r="AJ44" s="372" t="n"/>
      <c r="AK44" s="372" t="n"/>
      <c r="AL44" s="372" t="n"/>
      <c r="AM44" s="372" t="n"/>
      <c r="AN44" s="372" t="n"/>
      <c r="AO44" s="372" t="n"/>
      <c r="AP44" s="372" t="n"/>
      <c r="AQ44" s="372" t="n"/>
      <c r="AR44" s="372" t="n"/>
      <c r="AS44" s="372" t="n"/>
      <c r="AT44" s="372" t="n"/>
      <c r="AU44" s="372" t="n"/>
      <c r="AV44" s="372" t="n"/>
      <c r="AW44" s="372" t="n"/>
      <c r="AX44" s="372" t="n"/>
      <c r="AY44" s="372" t="n"/>
      <c r="AZ44" s="372" t="n"/>
      <c r="BA44" s="372" t="n"/>
      <c r="BB44" s="372" t="n"/>
      <c r="BC44" s="372" t="n"/>
      <c r="BD44" s="372" t="n"/>
      <c r="BE44" s="372" t="n"/>
      <c r="BF44" s="372" t="n"/>
      <c r="BG44" s="372" t="n"/>
      <c r="BH44" s="372" t="n"/>
      <c r="BI44" s="372" t="n"/>
      <c r="BJ44" s="372" t="n"/>
      <c r="BK44" s="372" t="n"/>
      <c r="BL44" s="372" t="n"/>
      <c r="BM44" s="372" t="n"/>
      <c r="BN44" s="372" t="n"/>
      <c r="BO44" s="372" t="n"/>
      <c r="BP44" s="372" t="n"/>
      <c r="BQ44" s="372" t="n"/>
      <c r="BR44" s="372" t="n"/>
      <c r="BS44" s="372" t="n"/>
      <c r="BT44" s="372" t="n"/>
      <c r="BU44" s="372" t="n"/>
      <c r="BV44" s="372" t="n"/>
      <c r="BW44" s="372" t="n"/>
      <c r="BX44" s="372" t="n"/>
      <c r="BY44" s="372" t="n"/>
      <c r="BZ44" s="372" t="n"/>
      <c r="CA44" s="372" t="n"/>
      <c r="CB44" s="372" t="n"/>
      <c r="CC44" s="402" t="n"/>
      <c r="CF44" s="248" t="inlineStr">
        <is>
          <t>移動</t>
        </is>
      </c>
      <c r="CG44" s="377" t="n"/>
      <c r="CH44" s="377" t="n"/>
      <c r="CI44" s="378" t="n"/>
      <c r="CJ44" s="379">
        <f>IF(Q44="作業者1",E47-E44,0)</f>
        <v/>
      </c>
      <c r="CK44" s="377" t="n"/>
      <c r="CL44" s="377" t="n"/>
      <c r="CM44" s="377" t="n"/>
      <c r="CN44" s="378" t="n"/>
      <c r="CP44" s="248" t="inlineStr">
        <is>
          <t>移動</t>
        </is>
      </c>
      <c r="CQ44" s="377" t="n"/>
      <c r="CR44" s="377" t="n"/>
      <c r="CS44" s="378" t="n"/>
      <c r="CT44" s="379">
        <f>IF(Q44="作業者2",E47-E44,0)</f>
        <v/>
      </c>
      <c r="CU44" s="377" t="n"/>
      <c r="CV44" s="377" t="n"/>
      <c r="CW44" s="377" t="n"/>
      <c r="CX44" s="378" t="n"/>
      <c r="CZ44" s="259" t="inlineStr">
        <is>
          <t>移動</t>
        </is>
      </c>
      <c r="DA44" s="403" t="n"/>
      <c r="DB44" s="403" t="n"/>
      <c r="DC44" s="404" t="n"/>
      <c r="DD44" s="405">
        <f>IF(Q44="作業者3",E47-E44,0)</f>
        <v/>
      </c>
      <c r="DE44" s="406" t="n"/>
      <c r="DF44" s="406" t="n"/>
      <c r="DG44" s="406" t="n"/>
      <c r="DH44" s="407" t="n"/>
      <c r="DJ44" s="259" t="inlineStr">
        <is>
          <t>移動</t>
        </is>
      </c>
      <c r="DK44" s="403" t="n"/>
      <c r="DL44" s="403" t="n"/>
      <c r="DM44" s="404" t="n"/>
      <c r="DN44" s="379">
        <f>IF(Q44="作業者4",E47-E44,0)</f>
        <v/>
      </c>
      <c r="DO44" s="377" t="n"/>
      <c r="DP44" s="377" t="n"/>
      <c r="DQ44" s="377" t="n"/>
      <c r="DR44" s="378" t="n"/>
      <c r="DT44" s="259" t="inlineStr">
        <is>
          <t>移動</t>
        </is>
      </c>
      <c r="DU44" s="403" t="n"/>
      <c r="DV44" s="403" t="n"/>
      <c r="DW44" s="404" t="n"/>
      <c r="DX44" s="379">
        <f>IF(Q44="作業者5",E47-E44,0)</f>
        <v/>
      </c>
      <c r="DY44" s="377" t="n"/>
      <c r="DZ44" s="377" t="n"/>
      <c r="EA44" s="377" t="n"/>
      <c r="EB44" s="378" t="n"/>
    </row>
    <row r="45" ht="9" customHeight="1" s="337">
      <c r="B45" s="350" t="n"/>
      <c r="C45" s="338" t="n"/>
      <c r="D45" s="380" t="n"/>
      <c r="E45" s="381" t="n"/>
      <c r="F45" s="122" t="inlineStr">
        <is>
          <t>～</t>
        </is>
      </c>
      <c r="G45" s="22" t="n"/>
      <c r="H45" s="381" t="n"/>
      <c r="I45" s="122" t="inlineStr">
        <is>
          <t>～</t>
        </is>
      </c>
      <c r="J45" s="22" t="n"/>
      <c r="K45" s="381" t="n"/>
      <c r="L45" s="122" t="inlineStr">
        <is>
          <t>～</t>
        </is>
      </c>
      <c r="M45" s="22" t="n"/>
      <c r="N45" s="381" t="n"/>
      <c r="O45" s="122" t="inlineStr">
        <is>
          <t>～</t>
        </is>
      </c>
      <c r="P45" s="22" t="n"/>
      <c r="Q45" s="382" t="n"/>
      <c r="R45" s="338" t="n"/>
      <c r="S45" s="380" t="n"/>
      <c r="T45" s="382" t="n"/>
      <c r="U45" s="338" t="n"/>
      <c r="V45" s="380" t="n"/>
      <c r="W45" s="382" t="n"/>
      <c r="X45" s="338" t="n"/>
      <c r="Y45" s="338" t="n"/>
      <c r="Z45" s="338" t="n"/>
      <c r="AA45" s="338" t="n"/>
      <c r="AB45" s="338" t="n"/>
      <c r="AC45" s="338" t="n"/>
      <c r="AD45" s="338" t="n"/>
      <c r="AE45" s="338" t="n"/>
      <c r="AF45" s="338" t="n"/>
      <c r="AG45" s="338" t="n"/>
      <c r="AH45" s="338" t="n"/>
      <c r="AI45" s="338" t="n"/>
      <c r="AJ45" s="338" t="n"/>
      <c r="AK45" s="338" t="n"/>
      <c r="AL45" s="338" t="n"/>
      <c r="AM45" s="338" t="n"/>
      <c r="AN45" s="338" t="n"/>
      <c r="AO45" s="338" t="n"/>
      <c r="AP45" s="338" t="n"/>
      <c r="AQ45" s="338" t="n"/>
      <c r="AR45" s="338" t="n"/>
      <c r="AS45" s="338" t="n"/>
      <c r="AT45" s="338" t="n"/>
      <c r="AU45" s="338" t="n"/>
      <c r="AV45" s="338" t="n"/>
      <c r="AW45" s="338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8" t="n"/>
      <c r="BH45" s="338" t="n"/>
      <c r="BI45" s="338" t="n"/>
      <c r="BJ45" s="338" t="n"/>
      <c r="BK45" s="338" t="n"/>
      <c r="BL45" s="338" t="n"/>
      <c r="BM45" s="338" t="n"/>
      <c r="BN45" s="338" t="n"/>
      <c r="BO45" s="338" t="n"/>
      <c r="BP45" s="338" t="n"/>
      <c r="BQ45" s="338" t="n"/>
      <c r="BR45" s="338" t="n"/>
      <c r="BS45" s="338" t="n"/>
      <c r="BT45" s="338" t="n"/>
      <c r="BU45" s="338" t="n"/>
      <c r="BV45" s="338" t="n"/>
      <c r="BW45" s="338" t="n"/>
      <c r="BX45" s="338" t="n"/>
      <c r="BY45" s="338" t="n"/>
      <c r="BZ45" s="338" t="n"/>
      <c r="CA45" s="338" t="n"/>
      <c r="CB45" s="338" t="n"/>
      <c r="CC45" s="383" t="n"/>
      <c r="CF45" s="253" t="inlineStr">
        <is>
          <t>時間内</t>
        </is>
      </c>
      <c r="CG45" s="384" t="n"/>
      <c r="CH45" s="384" t="n"/>
      <c r="CI45" s="385" t="n"/>
      <c r="CJ45" s="386">
        <f>IF(Q44="作業者1",H47-H44,0)</f>
        <v/>
      </c>
      <c r="CK45" s="387" t="n"/>
      <c r="CL45" s="387" t="n"/>
      <c r="CM45" s="387" t="n"/>
      <c r="CN45" s="388" t="n"/>
      <c r="CP45" s="253" t="inlineStr">
        <is>
          <t>時間内</t>
        </is>
      </c>
      <c r="CQ45" s="384" t="n"/>
      <c r="CR45" s="384" t="n"/>
      <c r="CS45" s="385" t="n"/>
      <c r="CT45" s="386">
        <f>IF(Q44="作業者2",H47-H44,0)</f>
        <v/>
      </c>
      <c r="CU45" s="387" t="n"/>
      <c r="CV45" s="387" t="n"/>
      <c r="CW45" s="387" t="n"/>
      <c r="CX45" s="388" t="n"/>
      <c r="CZ45" s="253" t="inlineStr">
        <is>
          <t>時間内</t>
        </is>
      </c>
      <c r="DA45" s="384" t="n"/>
      <c r="DB45" s="384" t="n"/>
      <c r="DC45" s="385" t="n"/>
      <c r="DD45" s="386">
        <f>IF(Q44="作業者3",H47-H44,0)</f>
        <v/>
      </c>
      <c r="DE45" s="387" t="n"/>
      <c r="DF45" s="387" t="n"/>
      <c r="DG45" s="387" t="n"/>
      <c r="DH45" s="388" t="n"/>
      <c r="DJ45" s="253" t="inlineStr">
        <is>
          <t>時間内</t>
        </is>
      </c>
      <c r="DK45" s="384" t="n"/>
      <c r="DL45" s="384" t="n"/>
      <c r="DM45" s="385" t="n"/>
      <c r="DN45" s="386">
        <f>IF(Q44="作業者4",H47-H44,0)</f>
        <v/>
      </c>
      <c r="DO45" s="387" t="n"/>
      <c r="DP45" s="387" t="n"/>
      <c r="DQ45" s="387" t="n"/>
      <c r="DR45" s="388" t="n"/>
      <c r="DT45" s="253" t="inlineStr">
        <is>
          <t>時間内</t>
        </is>
      </c>
      <c r="DU45" s="384" t="n"/>
      <c r="DV45" s="384" t="n"/>
      <c r="DW45" s="385" t="n"/>
      <c r="DX45" s="386">
        <f>IF(Q44="作業者5",H47-H44,0)</f>
        <v/>
      </c>
      <c r="DY45" s="387" t="n"/>
      <c r="DZ45" s="387" t="n"/>
      <c r="EA45" s="387" t="n"/>
      <c r="EB45" s="388" t="n"/>
    </row>
    <row r="46" ht="9" customHeight="1" s="337">
      <c r="B46" s="350" t="n"/>
      <c r="C46" s="338" t="n"/>
      <c r="D46" s="380" t="n"/>
      <c r="E46" s="23" t="n"/>
      <c r="F46" s="338" t="n"/>
      <c r="G46" s="24" t="n"/>
      <c r="H46" s="23" t="n"/>
      <c r="I46" s="338" t="n"/>
      <c r="J46" s="24" t="n"/>
      <c r="K46" s="23" t="n"/>
      <c r="L46" s="338" t="n"/>
      <c r="M46" s="24" t="n"/>
      <c r="N46" s="23" t="n"/>
      <c r="O46" s="338" t="n"/>
      <c r="P46" s="24" t="n"/>
      <c r="Q46" s="382" t="n"/>
      <c r="R46" s="338" t="n"/>
      <c r="S46" s="380" t="n"/>
      <c r="T46" s="382" t="n"/>
      <c r="U46" s="338" t="n"/>
      <c r="V46" s="380" t="n"/>
      <c r="W46" s="382" t="n"/>
      <c r="X46" s="338" t="n"/>
      <c r="Y46" s="338" t="n"/>
      <c r="Z46" s="338" t="n"/>
      <c r="AA46" s="338" t="n"/>
      <c r="AB46" s="338" t="n"/>
      <c r="AC46" s="338" t="n"/>
      <c r="AD46" s="338" t="n"/>
      <c r="AE46" s="338" t="n"/>
      <c r="AF46" s="338" t="n"/>
      <c r="AG46" s="338" t="n"/>
      <c r="AH46" s="338" t="n"/>
      <c r="AI46" s="338" t="n"/>
      <c r="AJ46" s="338" t="n"/>
      <c r="AK46" s="338" t="n"/>
      <c r="AL46" s="338" t="n"/>
      <c r="AM46" s="338" t="n"/>
      <c r="AN46" s="338" t="n"/>
      <c r="AO46" s="338" t="n"/>
      <c r="AP46" s="338" t="n"/>
      <c r="AQ46" s="338" t="n"/>
      <c r="AR46" s="338" t="n"/>
      <c r="AS46" s="338" t="n"/>
      <c r="AT46" s="338" t="n"/>
      <c r="AU46" s="338" t="n"/>
      <c r="AV46" s="338" t="n"/>
      <c r="AW46" s="338" t="n"/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8" t="n"/>
      <c r="BH46" s="338" t="n"/>
      <c r="BI46" s="338" t="n"/>
      <c r="BJ46" s="338" t="n"/>
      <c r="BK46" s="338" t="n"/>
      <c r="BL46" s="338" t="n"/>
      <c r="BM46" s="338" t="n"/>
      <c r="BN46" s="338" t="n"/>
      <c r="BO46" s="338" t="n"/>
      <c r="BP46" s="338" t="n"/>
      <c r="BQ46" s="338" t="n"/>
      <c r="BR46" s="338" t="n"/>
      <c r="BS46" s="338" t="n"/>
      <c r="BT46" s="338" t="n"/>
      <c r="BU46" s="338" t="n"/>
      <c r="BV46" s="338" t="n"/>
      <c r="BW46" s="338" t="n"/>
      <c r="BX46" s="338" t="n"/>
      <c r="BY46" s="338" t="n"/>
      <c r="BZ46" s="338" t="n"/>
      <c r="CA46" s="338" t="n"/>
      <c r="CB46" s="338" t="n"/>
      <c r="CC46" s="383" t="n"/>
      <c r="CF46" s="253" t="inlineStr">
        <is>
          <t>時間外</t>
        </is>
      </c>
      <c r="CG46" s="384" t="n"/>
      <c r="CH46" s="384" t="n"/>
      <c r="CI46" s="385" t="n"/>
      <c r="CJ46" s="386">
        <f>IF(Q44="作業者1",K47-K44,0)</f>
        <v/>
      </c>
      <c r="CK46" s="387" t="n"/>
      <c r="CL46" s="387" t="n"/>
      <c r="CM46" s="387" t="n"/>
      <c r="CN46" s="388" t="n"/>
      <c r="CP46" s="253" t="inlineStr">
        <is>
          <t>時間外</t>
        </is>
      </c>
      <c r="CQ46" s="384" t="n"/>
      <c r="CR46" s="384" t="n"/>
      <c r="CS46" s="385" t="n"/>
      <c r="CT46" s="386">
        <f>IF(Q44="作業者2",K47-K44,0)</f>
        <v/>
      </c>
      <c r="CU46" s="387" t="n"/>
      <c r="CV46" s="387" t="n"/>
      <c r="CW46" s="387" t="n"/>
      <c r="CX46" s="388" t="n"/>
      <c r="CZ46" s="253" t="inlineStr">
        <is>
          <t>時間外</t>
        </is>
      </c>
      <c r="DA46" s="384" t="n"/>
      <c r="DB46" s="384" t="n"/>
      <c r="DC46" s="385" t="n"/>
      <c r="DD46" s="386">
        <f>IF(Q44="作業者3",K47-K44,0)</f>
        <v/>
      </c>
      <c r="DE46" s="387" t="n"/>
      <c r="DF46" s="387" t="n"/>
      <c r="DG46" s="387" t="n"/>
      <c r="DH46" s="388" t="n"/>
      <c r="DJ46" s="253" t="inlineStr">
        <is>
          <t>時間外</t>
        </is>
      </c>
      <c r="DK46" s="384" t="n"/>
      <c r="DL46" s="384" t="n"/>
      <c r="DM46" s="385" t="n"/>
      <c r="DN46" s="386">
        <f>IF(Q44="作業者4",K47-K44,0)</f>
        <v/>
      </c>
      <c r="DO46" s="387" t="n"/>
      <c r="DP46" s="387" t="n"/>
      <c r="DQ46" s="387" t="n"/>
      <c r="DR46" s="388" t="n"/>
      <c r="DT46" s="253" t="inlineStr">
        <is>
          <t>時間外</t>
        </is>
      </c>
      <c r="DU46" s="384" t="n"/>
      <c r="DV46" s="384" t="n"/>
      <c r="DW46" s="385" t="n"/>
      <c r="DX46" s="386">
        <f>IF(Q44="作業者5",K47-K44,0)</f>
        <v/>
      </c>
      <c r="DY46" s="387" t="n"/>
      <c r="DZ46" s="387" t="n"/>
      <c r="EA46" s="387" t="n"/>
      <c r="EB46" s="388" t="n"/>
    </row>
    <row r="47" ht="9" customHeight="1" s="337">
      <c r="B47" s="389" t="n"/>
      <c r="C47" s="390" t="n"/>
      <c r="D47" s="391" t="n"/>
      <c r="E47" s="392" t="n"/>
      <c r="F47" s="390" t="n"/>
      <c r="G47" s="391" t="n"/>
      <c r="H47" s="392" t="n"/>
      <c r="I47" s="390" t="n"/>
      <c r="J47" s="391" t="n"/>
      <c r="K47" s="392" t="n"/>
      <c r="L47" s="390" t="n"/>
      <c r="M47" s="391" t="n"/>
      <c r="N47" s="392" t="n"/>
      <c r="O47" s="390" t="n"/>
      <c r="P47" s="391" t="n"/>
      <c r="Q47" s="393" t="n"/>
      <c r="R47" s="390" t="n"/>
      <c r="S47" s="391" t="n"/>
      <c r="T47" s="393" t="n"/>
      <c r="U47" s="390" t="n"/>
      <c r="V47" s="391" t="n"/>
      <c r="W47" s="393" t="n"/>
      <c r="X47" s="390" t="n"/>
      <c r="Y47" s="390" t="n"/>
      <c r="Z47" s="390" t="n"/>
      <c r="AA47" s="390" t="n"/>
      <c r="AB47" s="390" t="n"/>
      <c r="AC47" s="390" t="n"/>
      <c r="AD47" s="390" t="n"/>
      <c r="AE47" s="390" t="n"/>
      <c r="AF47" s="390" t="n"/>
      <c r="AG47" s="390" t="n"/>
      <c r="AH47" s="390" t="n"/>
      <c r="AI47" s="390" t="n"/>
      <c r="AJ47" s="390" t="n"/>
      <c r="AK47" s="390" t="n"/>
      <c r="AL47" s="390" t="n"/>
      <c r="AM47" s="390" t="n"/>
      <c r="AN47" s="390" t="n"/>
      <c r="AO47" s="390" t="n"/>
      <c r="AP47" s="390" t="n"/>
      <c r="AQ47" s="390" t="n"/>
      <c r="AR47" s="390" t="n"/>
      <c r="AS47" s="390" t="n"/>
      <c r="AT47" s="390" t="n"/>
      <c r="AU47" s="390" t="n"/>
      <c r="AV47" s="390" t="n"/>
      <c r="AW47" s="390" t="n"/>
      <c r="AX47" s="390" t="n"/>
      <c r="AY47" s="390" t="n"/>
      <c r="AZ47" s="390" t="n"/>
      <c r="BA47" s="390" t="n"/>
      <c r="BB47" s="390" t="n"/>
      <c r="BC47" s="390" t="n"/>
      <c r="BD47" s="390" t="n"/>
      <c r="BE47" s="390" t="n"/>
      <c r="BF47" s="390" t="n"/>
      <c r="BG47" s="390" t="n"/>
      <c r="BH47" s="390" t="n"/>
      <c r="BI47" s="390" t="n"/>
      <c r="BJ47" s="390" t="n"/>
      <c r="BK47" s="390" t="n"/>
      <c r="BL47" s="390" t="n"/>
      <c r="BM47" s="390" t="n"/>
      <c r="BN47" s="390" t="n"/>
      <c r="BO47" s="390" t="n"/>
      <c r="BP47" s="390" t="n"/>
      <c r="BQ47" s="390" t="n"/>
      <c r="BR47" s="390" t="n"/>
      <c r="BS47" s="390" t="n"/>
      <c r="BT47" s="390" t="n"/>
      <c r="BU47" s="390" t="n"/>
      <c r="BV47" s="390" t="n"/>
      <c r="BW47" s="390" t="n"/>
      <c r="BX47" s="390" t="n"/>
      <c r="BY47" s="390" t="n"/>
      <c r="BZ47" s="390" t="n"/>
      <c r="CA47" s="390" t="n"/>
      <c r="CB47" s="390" t="n"/>
      <c r="CC47" s="394" t="n"/>
      <c r="CF47" s="254" t="inlineStr">
        <is>
          <t>休日</t>
        </is>
      </c>
      <c r="CG47" s="395" t="n"/>
      <c r="CH47" s="395" t="n"/>
      <c r="CI47" s="396" t="n"/>
      <c r="CJ47" s="397">
        <f>IF(Q44="作業者1",N47-N44,0)</f>
        <v/>
      </c>
      <c r="CK47" s="395" t="n"/>
      <c r="CL47" s="395" t="n"/>
      <c r="CM47" s="395" t="n"/>
      <c r="CN47" s="396" t="n"/>
      <c r="CP47" s="254" t="inlineStr">
        <is>
          <t>休日</t>
        </is>
      </c>
      <c r="CQ47" s="395" t="n"/>
      <c r="CR47" s="395" t="n"/>
      <c r="CS47" s="396" t="n"/>
      <c r="CT47" s="397">
        <f>IF(Q44="作業者2",N47-N44,0)</f>
        <v/>
      </c>
      <c r="CU47" s="395" t="n"/>
      <c r="CV47" s="395" t="n"/>
      <c r="CW47" s="395" t="n"/>
      <c r="CX47" s="396" t="n"/>
      <c r="CZ47" s="254" t="inlineStr">
        <is>
          <t>休日</t>
        </is>
      </c>
      <c r="DA47" s="395" t="n"/>
      <c r="DB47" s="395" t="n"/>
      <c r="DC47" s="396" t="n"/>
      <c r="DD47" s="397">
        <f>IF(Q44="作業者3",N47-N44,0)</f>
        <v/>
      </c>
      <c r="DE47" s="395" t="n"/>
      <c r="DF47" s="395" t="n"/>
      <c r="DG47" s="395" t="n"/>
      <c r="DH47" s="396" t="n"/>
      <c r="DJ47" s="254" t="inlineStr">
        <is>
          <t>休日</t>
        </is>
      </c>
      <c r="DK47" s="395" t="n"/>
      <c r="DL47" s="395" t="n"/>
      <c r="DM47" s="396" t="n"/>
      <c r="DN47" s="397">
        <f>IF(Q44="作業者4",N47-N44,0)</f>
        <v/>
      </c>
      <c r="DO47" s="395" t="n"/>
      <c r="DP47" s="395" t="n"/>
      <c r="DQ47" s="395" t="n"/>
      <c r="DR47" s="396" t="n"/>
      <c r="DT47" s="254" t="inlineStr">
        <is>
          <t>休日</t>
        </is>
      </c>
      <c r="DU47" s="395" t="n"/>
      <c r="DV47" s="395" t="n"/>
      <c r="DW47" s="396" t="n"/>
      <c r="DX47" s="397">
        <f>IF(Q44="作業者5",N47-N44,0)</f>
        <v/>
      </c>
      <c r="DY47" s="395" t="n"/>
      <c r="DZ47" s="395" t="n"/>
      <c r="EA47" s="395" t="n"/>
      <c r="EB47" s="396" t="n"/>
    </row>
    <row r="48" ht="9" customHeight="1" s="337">
      <c r="B48" s="398" t="n"/>
      <c r="C48" s="372" t="n"/>
      <c r="D48" s="373" t="n"/>
      <c r="E48" s="399" t="n"/>
      <c r="F48" s="372" t="n"/>
      <c r="G48" s="373" t="n"/>
      <c r="H48" s="399" t="n"/>
      <c r="I48" s="372" t="n"/>
      <c r="J48" s="373" t="n"/>
      <c r="K48" s="399" t="n"/>
      <c r="L48" s="372" t="n"/>
      <c r="M48" s="373" t="n"/>
      <c r="N48" s="399" t="n"/>
      <c r="O48" s="372" t="n"/>
      <c r="P48" s="373" t="n"/>
      <c r="Q48" s="371" t="n"/>
      <c r="R48" s="372" t="n"/>
      <c r="S48" s="373" t="n"/>
      <c r="T48" s="371" t="n"/>
      <c r="U48" s="372" t="n"/>
      <c r="V48" s="373" t="n"/>
      <c r="W48" s="443" t="n"/>
      <c r="X48" s="372" t="n"/>
      <c r="Y48" s="372" t="n"/>
      <c r="Z48" s="372" t="n"/>
      <c r="AA48" s="372" t="n"/>
      <c r="AB48" s="372" t="n"/>
      <c r="AC48" s="372" t="n"/>
      <c r="AD48" s="372" t="n"/>
      <c r="AE48" s="372" t="n"/>
      <c r="AF48" s="372" t="n"/>
      <c r="AG48" s="372" t="n"/>
      <c r="AH48" s="372" t="n"/>
      <c r="AI48" s="372" t="n"/>
      <c r="AJ48" s="372" t="n"/>
      <c r="AK48" s="372" t="n"/>
      <c r="AL48" s="372" t="n"/>
      <c r="AM48" s="372" t="n"/>
      <c r="AN48" s="372" t="n"/>
      <c r="AO48" s="372" t="n"/>
      <c r="AP48" s="372" t="n"/>
      <c r="AQ48" s="372" t="n"/>
      <c r="AR48" s="372" t="n"/>
      <c r="AS48" s="372" t="n"/>
      <c r="AT48" s="372" t="n"/>
      <c r="AU48" s="372" t="n"/>
      <c r="AV48" s="372" t="n"/>
      <c r="AW48" s="372" t="n"/>
      <c r="AX48" s="372" t="n"/>
      <c r="AY48" s="372" t="n"/>
      <c r="AZ48" s="372" t="n"/>
      <c r="BA48" s="372" t="n"/>
      <c r="BB48" s="372" t="n"/>
      <c r="BC48" s="372" t="n"/>
      <c r="BD48" s="372" t="n"/>
      <c r="BE48" s="372" t="n"/>
      <c r="BF48" s="372" t="n"/>
      <c r="BG48" s="372" t="n"/>
      <c r="BH48" s="372" t="n"/>
      <c r="BI48" s="372" t="n"/>
      <c r="BJ48" s="372" t="n"/>
      <c r="BK48" s="372" t="n"/>
      <c r="BL48" s="372" t="n"/>
      <c r="BM48" s="372" t="n"/>
      <c r="BN48" s="372" t="n"/>
      <c r="BO48" s="372" t="n"/>
      <c r="BP48" s="372" t="n"/>
      <c r="BQ48" s="372" t="n"/>
      <c r="BR48" s="372" t="n"/>
      <c r="BS48" s="372" t="n"/>
      <c r="BT48" s="372" t="n"/>
      <c r="BU48" s="372" t="n"/>
      <c r="BV48" s="372" t="n"/>
      <c r="BW48" s="372" t="n"/>
      <c r="BX48" s="372" t="n"/>
      <c r="BY48" s="372" t="n"/>
      <c r="BZ48" s="372" t="n"/>
      <c r="CA48" s="372" t="n"/>
      <c r="CB48" s="372" t="n"/>
      <c r="CC48" s="402" t="n"/>
      <c r="CF48" s="248" t="inlineStr">
        <is>
          <t>移動</t>
        </is>
      </c>
      <c r="CG48" s="377" t="n"/>
      <c r="CH48" s="377" t="n"/>
      <c r="CI48" s="378" t="n"/>
      <c r="CJ48" s="379">
        <f>IF(Q48="作業者1",E51-E48,0)</f>
        <v/>
      </c>
      <c r="CK48" s="377" t="n"/>
      <c r="CL48" s="377" t="n"/>
      <c r="CM48" s="377" t="n"/>
      <c r="CN48" s="378" t="n"/>
      <c r="CP48" s="248" t="inlineStr">
        <is>
          <t>移動</t>
        </is>
      </c>
      <c r="CQ48" s="377" t="n"/>
      <c r="CR48" s="377" t="n"/>
      <c r="CS48" s="378" t="n"/>
      <c r="CT48" s="379">
        <f>IF(Q48="作業者2",E51-E48,0)</f>
        <v/>
      </c>
      <c r="CU48" s="377" t="n"/>
      <c r="CV48" s="377" t="n"/>
      <c r="CW48" s="377" t="n"/>
      <c r="CX48" s="378" t="n"/>
      <c r="CZ48" s="259" t="inlineStr">
        <is>
          <t>移動</t>
        </is>
      </c>
      <c r="DA48" s="403" t="n"/>
      <c r="DB48" s="403" t="n"/>
      <c r="DC48" s="404" t="n"/>
      <c r="DD48" s="405">
        <f>IF(Q48="作業者3",E51-E48,0)</f>
        <v/>
      </c>
      <c r="DE48" s="406" t="n"/>
      <c r="DF48" s="406" t="n"/>
      <c r="DG48" s="406" t="n"/>
      <c r="DH48" s="407" t="n"/>
      <c r="DJ48" s="259" t="inlineStr">
        <is>
          <t>移動</t>
        </is>
      </c>
      <c r="DK48" s="403" t="n"/>
      <c r="DL48" s="403" t="n"/>
      <c r="DM48" s="404" t="n"/>
      <c r="DN48" s="379">
        <f>IF(Q48="作業者4",E51-E48,0)</f>
        <v/>
      </c>
      <c r="DO48" s="377" t="n"/>
      <c r="DP48" s="377" t="n"/>
      <c r="DQ48" s="377" t="n"/>
      <c r="DR48" s="378" t="n"/>
      <c r="DT48" s="259" t="inlineStr">
        <is>
          <t>移動</t>
        </is>
      </c>
      <c r="DU48" s="403" t="n"/>
      <c r="DV48" s="403" t="n"/>
      <c r="DW48" s="404" t="n"/>
      <c r="DX48" s="379">
        <f>IF(Q48="作業者5",E51-E48,0)</f>
        <v/>
      </c>
      <c r="DY48" s="377" t="n"/>
      <c r="DZ48" s="377" t="n"/>
      <c r="EA48" s="377" t="n"/>
      <c r="EB48" s="378" t="n"/>
    </row>
    <row r="49" ht="9" customHeight="1" s="337">
      <c r="B49" s="350" t="n"/>
      <c r="C49" s="338" t="n"/>
      <c r="D49" s="380" t="n"/>
      <c r="E49" s="381" t="n"/>
      <c r="F49" s="122" t="inlineStr">
        <is>
          <t>～</t>
        </is>
      </c>
      <c r="G49" s="22" t="n"/>
      <c r="H49" s="381" t="n"/>
      <c r="I49" s="122" t="inlineStr">
        <is>
          <t>～</t>
        </is>
      </c>
      <c r="J49" s="22" t="n"/>
      <c r="K49" s="381" t="n"/>
      <c r="L49" s="122" t="inlineStr">
        <is>
          <t>～</t>
        </is>
      </c>
      <c r="M49" s="22" t="n"/>
      <c r="N49" s="381" t="n"/>
      <c r="O49" s="122" t="inlineStr">
        <is>
          <t>～</t>
        </is>
      </c>
      <c r="P49" s="22" t="n"/>
      <c r="Q49" s="382" t="n"/>
      <c r="R49" s="338" t="n"/>
      <c r="S49" s="380" t="n"/>
      <c r="T49" s="382" t="n"/>
      <c r="U49" s="338" t="n"/>
      <c r="V49" s="380" t="n"/>
      <c r="W49" s="382" t="n"/>
      <c r="X49" s="338" t="n"/>
      <c r="Y49" s="338" t="n"/>
      <c r="Z49" s="338" t="n"/>
      <c r="AA49" s="338" t="n"/>
      <c r="AB49" s="338" t="n"/>
      <c r="AC49" s="338" t="n"/>
      <c r="AD49" s="338" t="n"/>
      <c r="AE49" s="338" t="n"/>
      <c r="AF49" s="338" t="n"/>
      <c r="AG49" s="338" t="n"/>
      <c r="AH49" s="338" t="n"/>
      <c r="AI49" s="338" t="n"/>
      <c r="AJ49" s="338" t="n"/>
      <c r="AK49" s="338" t="n"/>
      <c r="AL49" s="338" t="n"/>
      <c r="AM49" s="338" t="n"/>
      <c r="AN49" s="338" t="n"/>
      <c r="AO49" s="338" t="n"/>
      <c r="AP49" s="338" t="n"/>
      <c r="AQ49" s="338" t="n"/>
      <c r="AR49" s="338" t="n"/>
      <c r="AS49" s="338" t="n"/>
      <c r="AT49" s="338" t="n"/>
      <c r="AU49" s="338" t="n"/>
      <c r="AV49" s="338" t="n"/>
      <c r="AW49" s="338" t="n"/>
      <c r="AX49" s="338" t="n"/>
      <c r="AY49" s="338" t="n"/>
      <c r="AZ49" s="338" t="n"/>
      <c r="BA49" s="338" t="n"/>
      <c r="BB49" s="338" t="n"/>
      <c r="BC49" s="338" t="n"/>
      <c r="BD49" s="338" t="n"/>
      <c r="BE49" s="338" t="n"/>
      <c r="BF49" s="338" t="n"/>
      <c r="BG49" s="338" t="n"/>
      <c r="BH49" s="338" t="n"/>
      <c r="BI49" s="338" t="n"/>
      <c r="BJ49" s="338" t="n"/>
      <c r="BK49" s="338" t="n"/>
      <c r="BL49" s="338" t="n"/>
      <c r="BM49" s="338" t="n"/>
      <c r="BN49" s="338" t="n"/>
      <c r="BO49" s="338" t="n"/>
      <c r="BP49" s="338" t="n"/>
      <c r="BQ49" s="338" t="n"/>
      <c r="BR49" s="338" t="n"/>
      <c r="BS49" s="338" t="n"/>
      <c r="BT49" s="338" t="n"/>
      <c r="BU49" s="338" t="n"/>
      <c r="BV49" s="338" t="n"/>
      <c r="BW49" s="338" t="n"/>
      <c r="BX49" s="338" t="n"/>
      <c r="BY49" s="338" t="n"/>
      <c r="BZ49" s="338" t="n"/>
      <c r="CA49" s="338" t="n"/>
      <c r="CB49" s="338" t="n"/>
      <c r="CC49" s="383" t="n"/>
      <c r="CF49" s="253" t="inlineStr">
        <is>
          <t>時間内</t>
        </is>
      </c>
      <c r="CG49" s="384" t="n"/>
      <c r="CH49" s="384" t="n"/>
      <c r="CI49" s="385" t="n"/>
      <c r="CJ49" s="386">
        <f>IF(Q48="作業者1",H51-H48,0)</f>
        <v/>
      </c>
      <c r="CK49" s="387" t="n"/>
      <c r="CL49" s="387" t="n"/>
      <c r="CM49" s="387" t="n"/>
      <c r="CN49" s="388" t="n"/>
      <c r="CP49" s="253" t="inlineStr">
        <is>
          <t>時間内</t>
        </is>
      </c>
      <c r="CQ49" s="384" t="n"/>
      <c r="CR49" s="384" t="n"/>
      <c r="CS49" s="385" t="n"/>
      <c r="CT49" s="386">
        <f>IF(Q48="作業者2",H51-H48,0)</f>
        <v/>
      </c>
      <c r="CU49" s="387" t="n"/>
      <c r="CV49" s="387" t="n"/>
      <c r="CW49" s="387" t="n"/>
      <c r="CX49" s="388" t="n"/>
      <c r="CZ49" s="253" t="inlineStr">
        <is>
          <t>時間内</t>
        </is>
      </c>
      <c r="DA49" s="384" t="n"/>
      <c r="DB49" s="384" t="n"/>
      <c r="DC49" s="385" t="n"/>
      <c r="DD49" s="386">
        <f>IF(Q48="作業者3",H51-H48,0)</f>
        <v/>
      </c>
      <c r="DE49" s="387" t="n"/>
      <c r="DF49" s="387" t="n"/>
      <c r="DG49" s="387" t="n"/>
      <c r="DH49" s="388" t="n"/>
      <c r="DJ49" s="253" t="inlineStr">
        <is>
          <t>時間内</t>
        </is>
      </c>
      <c r="DK49" s="384" t="n"/>
      <c r="DL49" s="384" t="n"/>
      <c r="DM49" s="385" t="n"/>
      <c r="DN49" s="386">
        <f>IF(Q48="作業者4",H51-H48,0)</f>
        <v/>
      </c>
      <c r="DO49" s="387" t="n"/>
      <c r="DP49" s="387" t="n"/>
      <c r="DQ49" s="387" t="n"/>
      <c r="DR49" s="388" t="n"/>
      <c r="DT49" s="253" t="inlineStr">
        <is>
          <t>時間内</t>
        </is>
      </c>
      <c r="DU49" s="384" t="n"/>
      <c r="DV49" s="384" t="n"/>
      <c r="DW49" s="385" t="n"/>
      <c r="DX49" s="386">
        <f>IF(Q48="作業者5",H51-H48,0)</f>
        <v/>
      </c>
      <c r="DY49" s="387" t="n"/>
      <c r="DZ49" s="387" t="n"/>
      <c r="EA49" s="387" t="n"/>
      <c r="EB49" s="388" t="n"/>
    </row>
    <row r="50" ht="9" customHeight="1" s="337">
      <c r="B50" s="350" t="n"/>
      <c r="C50" s="338" t="n"/>
      <c r="D50" s="380" t="n"/>
      <c r="E50" s="23" t="n"/>
      <c r="F50" s="338" t="n"/>
      <c r="G50" s="24" t="n"/>
      <c r="H50" s="23" t="n"/>
      <c r="I50" s="338" t="n"/>
      <c r="J50" s="24" t="n"/>
      <c r="K50" s="23" t="n"/>
      <c r="L50" s="338" t="n"/>
      <c r="M50" s="24" t="n"/>
      <c r="N50" s="23" t="n"/>
      <c r="O50" s="338" t="n"/>
      <c r="P50" s="24" t="n"/>
      <c r="Q50" s="382" t="n"/>
      <c r="R50" s="338" t="n"/>
      <c r="S50" s="380" t="n"/>
      <c r="T50" s="382" t="n"/>
      <c r="U50" s="338" t="n"/>
      <c r="V50" s="380" t="n"/>
      <c r="W50" s="382" t="n"/>
      <c r="X50" s="338" t="n"/>
      <c r="Y50" s="338" t="n"/>
      <c r="Z50" s="338" t="n"/>
      <c r="AA50" s="338" t="n"/>
      <c r="AB50" s="338" t="n"/>
      <c r="AC50" s="338" t="n"/>
      <c r="AD50" s="338" t="n"/>
      <c r="AE50" s="338" t="n"/>
      <c r="AF50" s="338" t="n"/>
      <c r="AG50" s="338" t="n"/>
      <c r="AH50" s="338" t="n"/>
      <c r="AI50" s="338" t="n"/>
      <c r="AJ50" s="338" t="n"/>
      <c r="AK50" s="338" t="n"/>
      <c r="AL50" s="338" t="n"/>
      <c r="AM50" s="338" t="n"/>
      <c r="AN50" s="338" t="n"/>
      <c r="AO50" s="338" t="n"/>
      <c r="AP50" s="338" t="n"/>
      <c r="AQ50" s="338" t="n"/>
      <c r="AR50" s="338" t="n"/>
      <c r="AS50" s="338" t="n"/>
      <c r="AT50" s="338" t="n"/>
      <c r="AU50" s="338" t="n"/>
      <c r="AV50" s="338" t="n"/>
      <c r="AW50" s="338" t="n"/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8" t="n"/>
      <c r="BH50" s="338" t="n"/>
      <c r="BI50" s="338" t="n"/>
      <c r="BJ50" s="338" t="n"/>
      <c r="BK50" s="338" t="n"/>
      <c r="BL50" s="338" t="n"/>
      <c r="BM50" s="338" t="n"/>
      <c r="BN50" s="338" t="n"/>
      <c r="BO50" s="338" t="n"/>
      <c r="BP50" s="338" t="n"/>
      <c r="BQ50" s="338" t="n"/>
      <c r="BR50" s="338" t="n"/>
      <c r="BS50" s="338" t="n"/>
      <c r="BT50" s="338" t="n"/>
      <c r="BU50" s="338" t="n"/>
      <c r="BV50" s="338" t="n"/>
      <c r="BW50" s="338" t="n"/>
      <c r="BX50" s="338" t="n"/>
      <c r="BY50" s="338" t="n"/>
      <c r="BZ50" s="338" t="n"/>
      <c r="CA50" s="338" t="n"/>
      <c r="CB50" s="338" t="n"/>
      <c r="CC50" s="383" t="n"/>
      <c r="CF50" s="253" t="inlineStr">
        <is>
          <t>時間外</t>
        </is>
      </c>
      <c r="CG50" s="384" t="n"/>
      <c r="CH50" s="384" t="n"/>
      <c r="CI50" s="385" t="n"/>
      <c r="CJ50" s="386">
        <f>IF(Q48="作業者1",K51-K48,0)</f>
        <v/>
      </c>
      <c r="CK50" s="387" t="n"/>
      <c r="CL50" s="387" t="n"/>
      <c r="CM50" s="387" t="n"/>
      <c r="CN50" s="388" t="n"/>
      <c r="CP50" s="253" t="inlineStr">
        <is>
          <t>時間外</t>
        </is>
      </c>
      <c r="CQ50" s="384" t="n"/>
      <c r="CR50" s="384" t="n"/>
      <c r="CS50" s="385" t="n"/>
      <c r="CT50" s="386">
        <f>IF(Q48="作業者2",K51-K48,0)</f>
        <v/>
      </c>
      <c r="CU50" s="387" t="n"/>
      <c r="CV50" s="387" t="n"/>
      <c r="CW50" s="387" t="n"/>
      <c r="CX50" s="388" t="n"/>
      <c r="CZ50" s="253" t="inlineStr">
        <is>
          <t>時間外</t>
        </is>
      </c>
      <c r="DA50" s="384" t="n"/>
      <c r="DB50" s="384" t="n"/>
      <c r="DC50" s="385" t="n"/>
      <c r="DD50" s="386">
        <f>IF(Q48="作業者3",K51-K48,0)</f>
        <v/>
      </c>
      <c r="DE50" s="387" t="n"/>
      <c r="DF50" s="387" t="n"/>
      <c r="DG50" s="387" t="n"/>
      <c r="DH50" s="388" t="n"/>
      <c r="DJ50" s="253" t="inlineStr">
        <is>
          <t>時間外</t>
        </is>
      </c>
      <c r="DK50" s="384" t="n"/>
      <c r="DL50" s="384" t="n"/>
      <c r="DM50" s="385" t="n"/>
      <c r="DN50" s="386">
        <f>IF(Q48="作業者4",K51-K48,0)</f>
        <v/>
      </c>
      <c r="DO50" s="387" t="n"/>
      <c r="DP50" s="387" t="n"/>
      <c r="DQ50" s="387" t="n"/>
      <c r="DR50" s="388" t="n"/>
      <c r="DT50" s="253" t="inlineStr">
        <is>
          <t>時間外</t>
        </is>
      </c>
      <c r="DU50" s="384" t="n"/>
      <c r="DV50" s="384" t="n"/>
      <c r="DW50" s="385" t="n"/>
      <c r="DX50" s="386">
        <f>IF(Q48="作業者5",K51-K48,0)</f>
        <v/>
      </c>
      <c r="DY50" s="387" t="n"/>
      <c r="DZ50" s="387" t="n"/>
      <c r="EA50" s="387" t="n"/>
      <c r="EB50" s="388" t="n"/>
    </row>
    <row r="51" ht="9" customHeight="1" s="337">
      <c r="B51" s="389" t="n"/>
      <c r="C51" s="390" t="n"/>
      <c r="D51" s="391" t="n"/>
      <c r="E51" s="392" t="n"/>
      <c r="F51" s="390" t="n"/>
      <c r="G51" s="391" t="n"/>
      <c r="H51" s="392" t="n"/>
      <c r="I51" s="390" t="n"/>
      <c r="J51" s="391" t="n"/>
      <c r="K51" s="392" t="n"/>
      <c r="L51" s="390" t="n"/>
      <c r="M51" s="391" t="n"/>
      <c r="N51" s="392" t="n"/>
      <c r="O51" s="390" t="n"/>
      <c r="P51" s="391" t="n"/>
      <c r="Q51" s="393" t="n"/>
      <c r="R51" s="390" t="n"/>
      <c r="S51" s="391" t="n"/>
      <c r="T51" s="393" t="n"/>
      <c r="U51" s="390" t="n"/>
      <c r="V51" s="391" t="n"/>
      <c r="W51" s="393" t="n"/>
      <c r="X51" s="390" t="n"/>
      <c r="Y51" s="390" t="n"/>
      <c r="Z51" s="390" t="n"/>
      <c r="AA51" s="390" t="n"/>
      <c r="AB51" s="390" t="n"/>
      <c r="AC51" s="390" t="n"/>
      <c r="AD51" s="390" t="n"/>
      <c r="AE51" s="390" t="n"/>
      <c r="AF51" s="390" t="n"/>
      <c r="AG51" s="390" t="n"/>
      <c r="AH51" s="390" t="n"/>
      <c r="AI51" s="390" t="n"/>
      <c r="AJ51" s="390" t="n"/>
      <c r="AK51" s="390" t="n"/>
      <c r="AL51" s="390" t="n"/>
      <c r="AM51" s="390" t="n"/>
      <c r="AN51" s="390" t="n"/>
      <c r="AO51" s="390" t="n"/>
      <c r="AP51" s="390" t="n"/>
      <c r="AQ51" s="390" t="n"/>
      <c r="AR51" s="390" t="n"/>
      <c r="AS51" s="390" t="n"/>
      <c r="AT51" s="390" t="n"/>
      <c r="AU51" s="390" t="n"/>
      <c r="AV51" s="390" t="n"/>
      <c r="AW51" s="390" t="n"/>
      <c r="AX51" s="390" t="n"/>
      <c r="AY51" s="390" t="n"/>
      <c r="AZ51" s="390" t="n"/>
      <c r="BA51" s="390" t="n"/>
      <c r="BB51" s="390" t="n"/>
      <c r="BC51" s="390" t="n"/>
      <c r="BD51" s="390" t="n"/>
      <c r="BE51" s="390" t="n"/>
      <c r="BF51" s="390" t="n"/>
      <c r="BG51" s="390" t="n"/>
      <c r="BH51" s="390" t="n"/>
      <c r="BI51" s="390" t="n"/>
      <c r="BJ51" s="390" t="n"/>
      <c r="BK51" s="390" t="n"/>
      <c r="BL51" s="390" t="n"/>
      <c r="BM51" s="390" t="n"/>
      <c r="BN51" s="390" t="n"/>
      <c r="BO51" s="390" t="n"/>
      <c r="BP51" s="390" t="n"/>
      <c r="BQ51" s="390" t="n"/>
      <c r="BR51" s="390" t="n"/>
      <c r="BS51" s="390" t="n"/>
      <c r="BT51" s="390" t="n"/>
      <c r="BU51" s="390" t="n"/>
      <c r="BV51" s="390" t="n"/>
      <c r="BW51" s="390" t="n"/>
      <c r="BX51" s="390" t="n"/>
      <c r="BY51" s="390" t="n"/>
      <c r="BZ51" s="390" t="n"/>
      <c r="CA51" s="390" t="n"/>
      <c r="CB51" s="390" t="n"/>
      <c r="CC51" s="394" t="n"/>
      <c r="CF51" s="254" t="inlineStr">
        <is>
          <t>休日</t>
        </is>
      </c>
      <c r="CG51" s="395" t="n"/>
      <c r="CH51" s="395" t="n"/>
      <c r="CI51" s="396" t="n"/>
      <c r="CJ51" s="397">
        <f>IF(Q48="作業者1",N51-N48,0)</f>
        <v/>
      </c>
      <c r="CK51" s="395" t="n"/>
      <c r="CL51" s="395" t="n"/>
      <c r="CM51" s="395" t="n"/>
      <c r="CN51" s="396" t="n"/>
      <c r="CP51" s="254" t="inlineStr">
        <is>
          <t>休日</t>
        </is>
      </c>
      <c r="CQ51" s="395" t="n"/>
      <c r="CR51" s="395" t="n"/>
      <c r="CS51" s="396" t="n"/>
      <c r="CT51" s="397">
        <f>IF(Q48="作業者2",N51-N48,0)</f>
        <v/>
      </c>
      <c r="CU51" s="395" t="n"/>
      <c r="CV51" s="395" t="n"/>
      <c r="CW51" s="395" t="n"/>
      <c r="CX51" s="396" t="n"/>
      <c r="CZ51" s="254" t="inlineStr">
        <is>
          <t>休日</t>
        </is>
      </c>
      <c r="DA51" s="395" t="n"/>
      <c r="DB51" s="395" t="n"/>
      <c r="DC51" s="396" t="n"/>
      <c r="DD51" s="397">
        <f>IF(Q48="作業者3",N51-N48,0)</f>
        <v/>
      </c>
      <c r="DE51" s="395" t="n"/>
      <c r="DF51" s="395" t="n"/>
      <c r="DG51" s="395" t="n"/>
      <c r="DH51" s="396" t="n"/>
      <c r="DJ51" s="254" t="inlineStr">
        <is>
          <t>休日</t>
        </is>
      </c>
      <c r="DK51" s="395" t="n"/>
      <c r="DL51" s="395" t="n"/>
      <c r="DM51" s="396" t="n"/>
      <c r="DN51" s="397">
        <f>IF(Q48="作業者4",N51-N48,0)</f>
        <v/>
      </c>
      <c r="DO51" s="395" t="n"/>
      <c r="DP51" s="395" t="n"/>
      <c r="DQ51" s="395" t="n"/>
      <c r="DR51" s="396" t="n"/>
      <c r="DT51" s="254" t="inlineStr">
        <is>
          <t>休日</t>
        </is>
      </c>
      <c r="DU51" s="395" t="n"/>
      <c r="DV51" s="395" t="n"/>
      <c r="DW51" s="396" t="n"/>
      <c r="DX51" s="397">
        <f>IF(Q48="作業者5",N51-N48,0)</f>
        <v/>
      </c>
      <c r="DY51" s="395" t="n"/>
      <c r="DZ51" s="395" t="n"/>
      <c r="EA51" s="395" t="n"/>
      <c r="EB51" s="396" t="n"/>
    </row>
    <row r="52" ht="9" customHeight="1" s="337">
      <c r="B52" s="398" t="n"/>
      <c r="C52" s="372" t="n"/>
      <c r="D52" s="373" t="n"/>
      <c r="E52" s="399" t="n"/>
      <c r="F52" s="372" t="n"/>
      <c r="G52" s="373" t="n"/>
      <c r="H52" s="399" t="n"/>
      <c r="I52" s="372" t="n"/>
      <c r="J52" s="373" t="n"/>
      <c r="K52" s="399" t="n"/>
      <c r="L52" s="372" t="n"/>
      <c r="M52" s="373" t="n"/>
      <c r="N52" s="399" t="n"/>
      <c r="O52" s="372" t="n"/>
      <c r="P52" s="373" t="n"/>
      <c r="Q52" s="371" t="n"/>
      <c r="R52" s="372" t="n"/>
      <c r="S52" s="373" t="n"/>
      <c r="T52" s="371" t="n"/>
      <c r="U52" s="372" t="n"/>
      <c r="V52" s="373" t="n"/>
      <c r="W52" s="443" t="n"/>
      <c r="X52" s="372" t="n"/>
      <c r="Y52" s="372" t="n"/>
      <c r="Z52" s="372" t="n"/>
      <c r="AA52" s="372" t="n"/>
      <c r="AB52" s="372" t="n"/>
      <c r="AC52" s="372" t="n"/>
      <c r="AD52" s="372" t="n"/>
      <c r="AE52" s="372" t="n"/>
      <c r="AF52" s="372" t="n"/>
      <c r="AG52" s="372" t="n"/>
      <c r="AH52" s="372" t="n"/>
      <c r="AI52" s="372" t="n"/>
      <c r="AJ52" s="372" t="n"/>
      <c r="AK52" s="372" t="n"/>
      <c r="AL52" s="372" t="n"/>
      <c r="AM52" s="372" t="n"/>
      <c r="AN52" s="372" t="n"/>
      <c r="AO52" s="372" t="n"/>
      <c r="AP52" s="372" t="n"/>
      <c r="AQ52" s="372" t="n"/>
      <c r="AR52" s="372" t="n"/>
      <c r="AS52" s="372" t="n"/>
      <c r="AT52" s="372" t="n"/>
      <c r="AU52" s="372" t="n"/>
      <c r="AV52" s="372" t="n"/>
      <c r="AW52" s="372" t="n"/>
      <c r="AX52" s="372" t="n"/>
      <c r="AY52" s="372" t="n"/>
      <c r="AZ52" s="372" t="n"/>
      <c r="BA52" s="372" t="n"/>
      <c r="BB52" s="372" t="n"/>
      <c r="BC52" s="372" t="n"/>
      <c r="BD52" s="372" t="n"/>
      <c r="BE52" s="372" t="n"/>
      <c r="BF52" s="372" t="n"/>
      <c r="BG52" s="372" t="n"/>
      <c r="BH52" s="372" t="n"/>
      <c r="BI52" s="372" t="n"/>
      <c r="BJ52" s="372" t="n"/>
      <c r="BK52" s="372" t="n"/>
      <c r="BL52" s="372" t="n"/>
      <c r="BM52" s="372" t="n"/>
      <c r="BN52" s="372" t="n"/>
      <c r="BO52" s="372" t="n"/>
      <c r="BP52" s="372" t="n"/>
      <c r="BQ52" s="372" t="n"/>
      <c r="BR52" s="372" t="n"/>
      <c r="BS52" s="372" t="n"/>
      <c r="BT52" s="372" t="n"/>
      <c r="BU52" s="372" t="n"/>
      <c r="BV52" s="372" t="n"/>
      <c r="BW52" s="372" t="n"/>
      <c r="BX52" s="372" t="n"/>
      <c r="BY52" s="372" t="n"/>
      <c r="BZ52" s="372" t="n"/>
      <c r="CA52" s="372" t="n"/>
      <c r="CB52" s="372" t="n"/>
      <c r="CC52" s="402" t="n"/>
      <c r="CF52" s="248" t="inlineStr">
        <is>
          <t>移動</t>
        </is>
      </c>
      <c r="CG52" s="377" t="n"/>
      <c r="CH52" s="377" t="n"/>
      <c r="CI52" s="378" t="n"/>
      <c r="CJ52" s="379">
        <f>IF(Q52="作業者1",E55-E52,0)</f>
        <v/>
      </c>
      <c r="CK52" s="377" t="n"/>
      <c r="CL52" s="377" t="n"/>
      <c r="CM52" s="377" t="n"/>
      <c r="CN52" s="378" t="n"/>
      <c r="CP52" s="248" t="inlineStr">
        <is>
          <t>移動</t>
        </is>
      </c>
      <c r="CQ52" s="377" t="n"/>
      <c r="CR52" s="377" t="n"/>
      <c r="CS52" s="378" t="n"/>
      <c r="CT52" s="379">
        <f>IF(Q52="作業者2",E55-E52,0)</f>
        <v/>
      </c>
      <c r="CU52" s="377" t="n"/>
      <c r="CV52" s="377" t="n"/>
      <c r="CW52" s="377" t="n"/>
      <c r="CX52" s="378" t="n"/>
      <c r="CZ52" s="259" t="inlineStr">
        <is>
          <t>移動</t>
        </is>
      </c>
      <c r="DA52" s="403" t="n"/>
      <c r="DB52" s="403" t="n"/>
      <c r="DC52" s="404" t="n"/>
      <c r="DD52" s="405">
        <f>IF(Q52="作業者3",E55-E52,0)</f>
        <v/>
      </c>
      <c r="DE52" s="406" t="n"/>
      <c r="DF52" s="406" t="n"/>
      <c r="DG52" s="406" t="n"/>
      <c r="DH52" s="407" t="n"/>
      <c r="DJ52" s="259" t="inlineStr">
        <is>
          <t>移動</t>
        </is>
      </c>
      <c r="DK52" s="403" t="n"/>
      <c r="DL52" s="403" t="n"/>
      <c r="DM52" s="404" t="n"/>
      <c r="DN52" s="379">
        <f>IF(Q52="作業者4",E55-E52,0)</f>
        <v/>
      </c>
      <c r="DO52" s="377" t="n"/>
      <c r="DP52" s="377" t="n"/>
      <c r="DQ52" s="377" t="n"/>
      <c r="DR52" s="378" t="n"/>
      <c r="DT52" s="259" t="inlineStr">
        <is>
          <t>移動</t>
        </is>
      </c>
      <c r="DU52" s="403" t="n"/>
      <c r="DV52" s="403" t="n"/>
      <c r="DW52" s="404" t="n"/>
      <c r="DX52" s="379">
        <f>IF(Q52="作業者5",E55-E52,0)</f>
        <v/>
      </c>
      <c r="DY52" s="377" t="n"/>
      <c r="DZ52" s="377" t="n"/>
      <c r="EA52" s="377" t="n"/>
      <c r="EB52" s="378" t="n"/>
    </row>
    <row r="53" ht="9" customHeight="1" s="337">
      <c r="B53" s="350" t="n"/>
      <c r="C53" s="338" t="n"/>
      <c r="D53" s="380" t="n"/>
      <c r="E53" s="381" t="n"/>
      <c r="F53" s="122" t="inlineStr">
        <is>
          <t>～</t>
        </is>
      </c>
      <c r="G53" s="22" t="n"/>
      <c r="H53" s="381" t="n"/>
      <c r="I53" s="122" t="inlineStr">
        <is>
          <t>～</t>
        </is>
      </c>
      <c r="J53" s="22" t="n"/>
      <c r="K53" s="381" t="n"/>
      <c r="L53" s="122" t="inlineStr">
        <is>
          <t>～</t>
        </is>
      </c>
      <c r="M53" s="22" t="n"/>
      <c r="N53" s="381" t="n"/>
      <c r="O53" s="122" t="inlineStr">
        <is>
          <t>～</t>
        </is>
      </c>
      <c r="P53" s="22" t="n"/>
      <c r="Q53" s="382" t="n"/>
      <c r="R53" s="338" t="n"/>
      <c r="S53" s="380" t="n"/>
      <c r="T53" s="382" t="n"/>
      <c r="U53" s="338" t="n"/>
      <c r="V53" s="380" t="n"/>
      <c r="W53" s="382" t="n"/>
      <c r="X53" s="338" t="n"/>
      <c r="Y53" s="338" t="n"/>
      <c r="Z53" s="338" t="n"/>
      <c r="AA53" s="338" t="n"/>
      <c r="AB53" s="338" t="n"/>
      <c r="AC53" s="338" t="n"/>
      <c r="AD53" s="338" t="n"/>
      <c r="AE53" s="338" t="n"/>
      <c r="AF53" s="338" t="n"/>
      <c r="AG53" s="338" t="n"/>
      <c r="AH53" s="338" t="n"/>
      <c r="AI53" s="338" t="n"/>
      <c r="AJ53" s="338" t="n"/>
      <c r="AK53" s="338" t="n"/>
      <c r="AL53" s="338" t="n"/>
      <c r="AM53" s="338" t="n"/>
      <c r="AN53" s="338" t="n"/>
      <c r="AO53" s="338" t="n"/>
      <c r="AP53" s="338" t="n"/>
      <c r="AQ53" s="338" t="n"/>
      <c r="AR53" s="338" t="n"/>
      <c r="AS53" s="338" t="n"/>
      <c r="AT53" s="338" t="n"/>
      <c r="AU53" s="338" t="n"/>
      <c r="AV53" s="338" t="n"/>
      <c r="AW53" s="338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8" t="n"/>
      <c r="BH53" s="338" t="n"/>
      <c r="BI53" s="338" t="n"/>
      <c r="BJ53" s="338" t="n"/>
      <c r="BK53" s="338" t="n"/>
      <c r="BL53" s="338" t="n"/>
      <c r="BM53" s="338" t="n"/>
      <c r="BN53" s="338" t="n"/>
      <c r="BO53" s="338" t="n"/>
      <c r="BP53" s="338" t="n"/>
      <c r="BQ53" s="338" t="n"/>
      <c r="BR53" s="338" t="n"/>
      <c r="BS53" s="338" t="n"/>
      <c r="BT53" s="338" t="n"/>
      <c r="BU53" s="338" t="n"/>
      <c r="BV53" s="338" t="n"/>
      <c r="BW53" s="338" t="n"/>
      <c r="BX53" s="338" t="n"/>
      <c r="BY53" s="338" t="n"/>
      <c r="BZ53" s="338" t="n"/>
      <c r="CA53" s="338" t="n"/>
      <c r="CB53" s="338" t="n"/>
      <c r="CC53" s="383" t="n"/>
      <c r="CF53" s="253" t="inlineStr">
        <is>
          <t>時間内</t>
        </is>
      </c>
      <c r="CG53" s="384" t="n"/>
      <c r="CH53" s="384" t="n"/>
      <c r="CI53" s="385" t="n"/>
      <c r="CJ53" s="386">
        <f>IF(Q52="作業者1",H55-H52,0)</f>
        <v/>
      </c>
      <c r="CK53" s="387" t="n"/>
      <c r="CL53" s="387" t="n"/>
      <c r="CM53" s="387" t="n"/>
      <c r="CN53" s="388" t="n"/>
      <c r="CP53" s="253" t="inlineStr">
        <is>
          <t>時間内</t>
        </is>
      </c>
      <c r="CQ53" s="384" t="n"/>
      <c r="CR53" s="384" t="n"/>
      <c r="CS53" s="385" t="n"/>
      <c r="CT53" s="386">
        <f>IF(Q52="作業者2",H55-H52,0)</f>
        <v/>
      </c>
      <c r="CU53" s="387" t="n"/>
      <c r="CV53" s="387" t="n"/>
      <c r="CW53" s="387" t="n"/>
      <c r="CX53" s="388" t="n"/>
      <c r="CZ53" s="253" t="inlineStr">
        <is>
          <t>時間内</t>
        </is>
      </c>
      <c r="DA53" s="384" t="n"/>
      <c r="DB53" s="384" t="n"/>
      <c r="DC53" s="385" t="n"/>
      <c r="DD53" s="386">
        <f>IF(Q52="作業者3",H55-H52,0)</f>
        <v/>
      </c>
      <c r="DE53" s="387" t="n"/>
      <c r="DF53" s="387" t="n"/>
      <c r="DG53" s="387" t="n"/>
      <c r="DH53" s="388" t="n"/>
      <c r="DJ53" s="253" t="inlineStr">
        <is>
          <t>時間内</t>
        </is>
      </c>
      <c r="DK53" s="384" t="n"/>
      <c r="DL53" s="384" t="n"/>
      <c r="DM53" s="385" t="n"/>
      <c r="DN53" s="386">
        <f>IF(Q52="作業者4",H55-H52,0)</f>
        <v/>
      </c>
      <c r="DO53" s="387" t="n"/>
      <c r="DP53" s="387" t="n"/>
      <c r="DQ53" s="387" t="n"/>
      <c r="DR53" s="388" t="n"/>
      <c r="DT53" s="253" t="inlineStr">
        <is>
          <t>時間内</t>
        </is>
      </c>
      <c r="DU53" s="384" t="n"/>
      <c r="DV53" s="384" t="n"/>
      <c r="DW53" s="385" t="n"/>
      <c r="DX53" s="386">
        <f>IF(Q52="作業者5",H55-H52,0)</f>
        <v/>
      </c>
      <c r="DY53" s="387" t="n"/>
      <c r="DZ53" s="387" t="n"/>
      <c r="EA53" s="387" t="n"/>
      <c r="EB53" s="388" t="n"/>
    </row>
    <row r="54" ht="9" customHeight="1" s="337">
      <c r="B54" s="350" t="n"/>
      <c r="C54" s="338" t="n"/>
      <c r="D54" s="380" t="n"/>
      <c r="E54" s="23" t="n"/>
      <c r="F54" s="338" t="n"/>
      <c r="G54" s="24" t="n"/>
      <c r="H54" s="23" t="n"/>
      <c r="I54" s="338" t="n"/>
      <c r="J54" s="24" t="n"/>
      <c r="K54" s="23" t="n"/>
      <c r="L54" s="338" t="n"/>
      <c r="M54" s="24" t="n"/>
      <c r="N54" s="23" t="n"/>
      <c r="O54" s="338" t="n"/>
      <c r="P54" s="24" t="n"/>
      <c r="Q54" s="382" t="n"/>
      <c r="R54" s="338" t="n"/>
      <c r="S54" s="380" t="n"/>
      <c r="T54" s="382" t="n"/>
      <c r="U54" s="338" t="n"/>
      <c r="V54" s="380" t="n"/>
      <c r="W54" s="382" t="n"/>
      <c r="X54" s="338" t="n"/>
      <c r="Y54" s="338" t="n"/>
      <c r="Z54" s="338" t="n"/>
      <c r="AA54" s="338" t="n"/>
      <c r="AB54" s="338" t="n"/>
      <c r="AC54" s="338" t="n"/>
      <c r="AD54" s="338" t="n"/>
      <c r="AE54" s="338" t="n"/>
      <c r="AF54" s="338" t="n"/>
      <c r="AG54" s="338" t="n"/>
      <c r="AH54" s="338" t="n"/>
      <c r="AI54" s="338" t="n"/>
      <c r="AJ54" s="338" t="n"/>
      <c r="AK54" s="338" t="n"/>
      <c r="AL54" s="338" t="n"/>
      <c r="AM54" s="338" t="n"/>
      <c r="AN54" s="338" t="n"/>
      <c r="AO54" s="338" t="n"/>
      <c r="AP54" s="338" t="n"/>
      <c r="AQ54" s="338" t="n"/>
      <c r="AR54" s="338" t="n"/>
      <c r="AS54" s="338" t="n"/>
      <c r="AT54" s="338" t="n"/>
      <c r="AU54" s="338" t="n"/>
      <c r="AV54" s="338" t="n"/>
      <c r="AW54" s="338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8" t="n"/>
      <c r="BH54" s="338" t="n"/>
      <c r="BI54" s="338" t="n"/>
      <c r="BJ54" s="338" t="n"/>
      <c r="BK54" s="338" t="n"/>
      <c r="BL54" s="338" t="n"/>
      <c r="BM54" s="338" t="n"/>
      <c r="BN54" s="338" t="n"/>
      <c r="BO54" s="338" t="n"/>
      <c r="BP54" s="338" t="n"/>
      <c r="BQ54" s="338" t="n"/>
      <c r="BR54" s="338" t="n"/>
      <c r="BS54" s="338" t="n"/>
      <c r="BT54" s="338" t="n"/>
      <c r="BU54" s="338" t="n"/>
      <c r="BV54" s="338" t="n"/>
      <c r="BW54" s="338" t="n"/>
      <c r="BX54" s="338" t="n"/>
      <c r="BY54" s="338" t="n"/>
      <c r="BZ54" s="338" t="n"/>
      <c r="CA54" s="338" t="n"/>
      <c r="CB54" s="338" t="n"/>
      <c r="CC54" s="383" t="n"/>
      <c r="CF54" s="253" t="inlineStr">
        <is>
          <t>時間外</t>
        </is>
      </c>
      <c r="CG54" s="384" t="n"/>
      <c r="CH54" s="384" t="n"/>
      <c r="CI54" s="385" t="n"/>
      <c r="CJ54" s="386">
        <f>IF(Q52="作業者1",K55-K52,0)</f>
        <v/>
      </c>
      <c r="CK54" s="387" t="n"/>
      <c r="CL54" s="387" t="n"/>
      <c r="CM54" s="387" t="n"/>
      <c r="CN54" s="388" t="n"/>
      <c r="CP54" s="253" t="inlineStr">
        <is>
          <t>時間外</t>
        </is>
      </c>
      <c r="CQ54" s="384" t="n"/>
      <c r="CR54" s="384" t="n"/>
      <c r="CS54" s="385" t="n"/>
      <c r="CT54" s="386">
        <f>IF(Q52="作業者2",K55-K52,0)</f>
        <v/>
      </c>
      <c r="CU54" s="387" t="n"/>
      <c r="CV54" s="387" t="n"/>
      <c r="CW54" s="387" t="n"/>
      <c r="CX54" s="388" t="n"/>
      <c r="CZ54" s="253" t="inlineStr">
        <is>
          <t>時間外</t>
        </is>
      </c>
      <c r="DA54" s="384" t="n"/>
      <c r="DB54" s="384" t="n"/>
      <c r="DC54" s="385" t="n"/>
      <c r="DD54" s="386">
        <f>IF(Q52="作業者3",K55-K52,0)</f>
        <v/>
      </c>
      <c r="DE54" s="387" t="n"/>
      <c r="DF54" s="387" t="n"/>
      <c r="DG54" s="387" t="n"/>
      <c r="DH54" s="388" t="n"/>
      <c r="DJ54" s="253" t="inlineStr">
        <is>
          <t>時間外</t>
        </is>
      </c>
      <c r="DK54" s="384" t="n"/>
      <c r="DL54" s="384" t="n"/>
      <c r="DM54" s="385" t="n"/>
      <c r="DN54" s="386">
        <f>IF(Q52="作業者4",K55-K52,0)</f>
        <v/>
      </c>
      <c r="DO54" s="387" t="n"/>
      <c r="DP54" s="387" t="n"/>
      <c r="DQ54" s="387" t="n"/>
      <c r="DR54" s="388" t="n"/>
      <c r="DT54" s="253" t="inlineStr">
        <is>
          <t>時間外</t>
        </is>
      </c>
      <c r="DU54" s="384" t="n"/>
      <c r="DV54" s="384" t="n"/>
      <c r="DW54" s="385" t="n"/>
      <c r="DX54" s="386">
        <f>IF(Q52="作業者5",K55-K52,0)</f>
        <v/>
      </c>
      <c r="DY54" s="387" t="n"/>
      <c r="DZ54" s="387" t="n"/>
      <c r="EA54" s="387" t="n"/>
      <c r="EB54" s="388" t="n"/>
    </row>
    <row r="55" ht="9" customHeight="1" s="337">
      <c r="B55" s="389" t="n"/>
      <c r="C55" s="390" t="n"/>
      <c r="D55" s="391" t="n"/>
      <c r="E55" s="392" t="n"/>
      <c r="F55" s="390" t="n"/>
      <c r="G55" s="391" t="n"/>
      <c r="H55" s="392" t="n"/>
      <c r="I55" s="390" t="n"/>
      <c r="J55" s="391" t="n"/>
      <c r="K55" s="392" t="n"/>
      <c r="L55" s="390" t="n"/>
      <c r="M55" s="391" t="n"/>
      <c r="N55" s="392" t="n"/>
      <c r="O55" s="390" t="n"/>
      <c r="P55" s="391" t="n"/>
      <c r="Q55" s="393" t="n"/>
      <c r="R55" s="390" t="n"/>
      <c r="S55" s="391" t="n"/>
      <c r="T55" s="393" t="n"/>
      <c r="U55" s="390" t="n"/>
      <c r="V55" s="391" t="n"/>
      <c r="W55" s="393" t="n"/>
      <c r="X55" s="390" t="n"/>
      <c r="Y55" s="390" t="n"/>
      <c r="Z55" s="390" t="n"/>
      <c r="AA55" s="390" t="n"/>
      <c r="AB55" s="390" t="n"/>
      <c r="AC55" s="390" t="n"/>
      <c r="AD55" s="390" t="n"/>
      <c r="AE55" s="390" t="n"/>
      <c r="AF55" s="390" t="n"/>
      <c r="AG55" s="390" t="n"/>
      <c r="AH55" s="390" t="n"/>
      <c r="AI55" s="390" t="n"/>
      <c r="AJ55" s="390" t="n"/>
      <c r="AK55" s="390" t="n"/>
      <c r="AL55" s="390" t="n"/>
      <c r="AM55" s="390" t="n"/>
      <c r="AN55" s="390" t="n"/>
      <c r="AO55" s="390" t="n"/>
      <c r="AP55" s="390" t="n"/>
      <c r="AQ55" s="390" t="n"/>
      <c r="AR55" s="390" t="n"/>
      <c r="AS55" s="390" t="n"/>
      <c r="AT55" s="390" t="n"/>
      <c r="AU55" s="390" t="n"/>
      <c r="AV55" s="390" t="n"/>
      <c r="AW55" s="390" t="n"/>
      <c r="AX55" s="390" t="n"/>
      <c r="AY55" s="390" t="n"/>
      <c r="AZ55" s="390" t="n"/>
      <c r="BA55" s="390" t="n"/>
      <c r="BB55" s="390" t="n"/>
      <c r="BC55" s="390" t="n"/>
      <c r="BD55" s="390" t="n"/>
      <c r="BE55" s="390" t="n"/>
      <c r="BF55" s="390" t="n"/>
      <c r="BG55" s="390" t="n"/>
      <c r="BH55" s="390" t="n"/>
      <c r="BI55" s="390" t="n"/>
      <c r="BJ55" s="390" t="n"/>
      <c r="BK55" s="390" t="n"/>
      <c r="BL55" s="390" t="n"/>
      <c r="BM55" s="390" t="n"/>
      <c r="BN55" s="390" t="n"/>
      <c r="BO55" s="390" t="n"/>
      <c r="BP55" s="390" t="n"/>
      <c r="BQ55" s="390" t="n"/>
      <c r="BR55" s="390" t="n"/>
      <c r="BS55" s="390" t="n"/>
      <c r="BT55" s="390" t="n"/>
      <c r="BU55" s="390" t="n"/>
      <c r="BV55" s="390" t="n"/>
      <c r="BW55" s="390" t="n"/>
      <c r="BX55" s="390" t="n"/>
      <c r="BY55" s="390" t="n"/>
      <c r="BZ55" s="390" t="n"/>
      <c r="CA55" s="390" t="n"/>
      <c r="CB55" s="390" t="n"/>
      <c r="CC55" s="394" t="n"/>
      <c r="CF55" s="254" t="inlineStr">
        <is>
          <t>休日</t>
        </is>
      </c>
      <c r="CG55" s="395" t="n"/>
      <c r="CH55" s="395" t="n"/>
      <c r="CI55" s="396" t="n"/>
      <c r="CJ55" s="397">
        <f>IF(Q52="作業者1",N55-N52,0)</f>
        <v/>
      </c>
      <c r="CK55" s="395" t="n"/>
      <c r="CL55" s="395" t="n"/>
      <c r="CM55" s="395" t="n"/>
      <c r="CN55" s="396" t="n"/>
      <c r="CP55" s="254" t="inlineStr">
        <is>
          <t>休日</t>
        </is>
      </c>
      <c r="CQ55" s="395" t="n"/>
      <c r="CR55" s="395" t="n"/>
      <c r="CS55" s="396" t="n"/>
      <c r="CT55" s="397">
        <f>IF(Q52="作業者2",N55-N52,0)</f>
        <v/>
      </c>
      <c r="CU55" s="395" t="n"/>
      <c r="CV55" s="395" t="n"/>
      <c r="CW55" s="395" t="n"/>
      <c r="CX55" s="396" t="n"/>
      <c r="CZ55" s="254" t="inlineStr">
        <is>
          <t>休日</t>
        </is>
      </c>
      <c r="DA55" s="395" t="n"/>
      <c r="DB55" s="395" t="n"/>
      <c r="DC55" s="396" t="n"/>
      <c r="DD55" s="397">
        <f>IF(Q52="作業者3",N55-N52,0)</f>
        <v/>
      </c>
      <c r="DE55" s="395" t="n"/>
      <c r="DF55" s="395" t="n"/>
      <c r="DG55" s="395" t="n"/>
      <c r="DH55" s="396" t="n"/>
      <c r="DJ55" s="254" t="inlineStr">
        <is>
          <t>休日</t>
        </is>
      </c>
      <c r="DK55" s="395" t="n"/>
      <c r="DL55" s="395" t="n"/>
      <c r="DM55" s="396" t="n"/>
      <c r="DN55" s="397">
        <f>IF(Q52="作業者4",N55-N52,0)</f>
        <v/>
      </c>
      <c r="DO55" s="395" t="n"/>
      <c r="DP55" s="395" t="n"/>
      <c r="DQ55" s="395" t="n"/>
      <c r="DR55" s="396" t="n"/>
      <c r="DT55" s="254" t="inlineStr">
        <is>
          <t>休日</t>
        </is>
      </c>
      <c r="DU55" s="395" t="n"/>
      <c r="DV55" s="395" t="n"/>
      <c r="DW55" s="396" t="n"/>
      <c r="DX55" s="397">
        <f>IF(Q52="作業者5",N55-N52,0)</f>
        <v/>
      </c>
      <c r="DY55" s="395" t="n"/>
      <c r="DZ55" s="395" t="n"/>
      <c r="EA55" s="395" t="n"/>
      <c r="EB55" s="396" t="n"/>
    </row>
    <row r="56" ht="9" customHeight="1" s="337">
      <c r="B56" s="398" t="n"/>
      <c r="C56" s="372" t="n"/>
      <c r="D56" s="373" t="n"/>
      <c r="E56" s="399" t="n"/>
      <c r="F56" s="372" t="n"/>
      <c r="G56" s="373" t="n"/>
      <c r="H56" s="399" t="n"/>
      <c r="I56" s="372" t="n"/>
      <c r="J56" s="373" t="n"/>
      <c r="K56" s="399" t="n"/>
      <c r="L56" s="372" t="n"/>
      <c r="M56" s="373" t="n"/>
      <c r="N56" s="399" t="n"/>
      <c r="O56" s="372" t="n"/>
      <c r="P56" s="373" t="n"/>
      <c r="Q56" s="371" t="n"/>
      <c r="R56" s="372" t="n"/>
      <c r="S56" s="373" t="n"/>
      <c r="T56" s="371" t="n"/>
      <c r="U56" s="372" t="n"/>
      <c r="V56" s="373" t="n"/>
      <c r="W56" s="443" t="n"/>
      <c r="X56" s="372" t="n"/>
      <c r="Y56" s="372" t="n"/>
      <c r="Z56" s="372" t="n"/>
      <c r="AA56" s="372" t="n"/>
      <c r="AB56" s="372" t="n"/>
      <c r="AC56" s="372" t="n"/>
      <c r="AD56" s="372" t="n"/>
      <c r="AE56" s="372" t="n"/>
      <c r="AF56" s="372" t="n"/>
      <c r="AG56" s="372" t="n"/>
      <c r="AH56" s="372" t="n"/>
      <c r="AI56" s="372" t="n"/>
      <c r="AJ56" s="372" t="n"/>
      <c r="AK56" s="372" t="n"/>
      <c r="AL56" s="372" t="n"/>
      <c r="AM56" s="372" t="n"/>
      <c r="AN56" s="372" t="n"/>
      <c r="AO56" s="372" t="n"/>
      <c r="AP56" s="372" t="n"/>
      <c r="AQ56" s="372" t="n"/>
      <c r="AR56" s="372" t="n"/>
      <c r="AS56" s="372" t="n"/>
      <c r="AT56" s="372" t="n"/>
      <c r="AU56" s="372" t="n"/>
      <c r="AV56" s="372" t="n"/>
      <c r="AW56" s="372" t="n"/>
      <c r="AX56" s="372" t="n"/>
      <c r="AY56" s="372" t="n"/>
      <c r="AZ56" s="372" t="n"/>
      <c r="BA56" s="372" t="n"/>
      <c r="BB56" s="372" t="n"/>
      <c r="BC56" s="372" t="n"/>
      <c r="BD56" s="372" t="n"/>
      <c r="BE56" s="372" t="n"/>
      <c r="BF56" s="372" t="n"/>
      <c r="BG56" s="372" t="n"/>
      <c r="BH56" s="372" t="n"/>
      <c r="BI56" s="372" t="n"/>
      <c r="BJ56" s="372" t="n"/>
      <c r="BK56" s="372" t="n"/>
      <c r="BL56" s="372" t="n"/>
      <c r="BM56" s="372" t="n"/>
      <c r="BN56" s="372" t="n"/>
      <c r="BO56" s="372" t="n"/>
      <c r="BP56" s="372" t="n"/>
      <c r="BQ56" s="372" t="n"/>
      <c r="BR56" s="372" t="n"/>
      <c r="BS56" s="372" t="n"/>
      <c r="BT56" s="372" t="n"/>
      <c r="BU56" s="372" t="n"/>
      <c r="BV56" s="372" t="n"/>
      <c r="BW56" s="372" t="n"/>
      <c r="BX56" s="372" t="n"/>
      <c r="BY56" s="372" t="n"/>
      <c r="BZ56" s="372" t="n"/>
      <c r="CA56" s="372" t="n"/>
      <c r="CB56" s="372" t="n"/>
      <c r="CC56" s="402" t="n"/>
      <c r="CF56" s="248" t="inlineStr">
        <is>
          <t>移動</t>
        </is>
      </c>
      <c r="CG56" s="377" t="n"/>
      <c r="CH56" s="377" t="n"/>
      <c r="CI56" s="378" t="n"/>
      <c r="CJ56" s="379">
        <f>IF(Q56="作業者1",E59-E56,0)</f>
        <v/>
      </c>
      <c r="CK56" s="377" t="n"/>
      <c r="CL56" s="377" t="n"/>
      <c r="CM56" s="377" t="n"/>
      <c r="CN56" s="378" t="n"/>
      <c r="CP56" s="248" t="inlineStr">
        <is>
          <t>移動</t>
        </is>
      </c>
      <c r="CQ56" s="377" t="n"/>
      <c r="CR56" s="377" t="n"/>
      <c r="CS56" s="378" t="n"/>
      <c r="CT56" s="379">
        <f>IF(Q56="作業者2",E59-E56,0)</f>
        <v/>
      </c>
      <c r="CU56" s="377" t="n"/>
      <c r="CV56" s="377" t="n"/>
      <c r="CW56" s="377" t="n"/>
      <c r="CX56" s="378" t="n"/>
      <c r="CZ56" s="259" t="inlineStr">
        <is>
          <t>移動</t>
        </is>
      </c>
      <c r="DA56" s="403" t="n"/>
      <c r="DB56" s="403" t="n"/>
      <c r="DC56" s="404" t="n"/>
      <c r="DD56" s="405">
        <f>IF(Q56="作業者3",E59-E56,0)</f>
        <v/>
      </c>
      <c r="DE56" s="406" t="n"/>
      <c r="DF56" s="406" t="n"/>
      <c r="DG56" s="406" t="n"/>
      <c r="DH56" s="407" t="n"/>
      <c r="DJ56" s="259" t="inlineStr">
        <is>
          <t>移動</t>
        </is>
      </c>
      <c r="DK56" s="403" t="n"/>
      <c r="DL56" s="403" t="n"/>
      <c r="DM56" s="404" t="n"/>
      <c r="DN56" s="379">
        <f>IF(Q56="作業者4",E59-E56,0)</f>
        <v/>
      </c>
      <c r="DO56" s="377" t="n"/>
      <c r="DP56" s="377" t="n"/>
      <c r="DQ56" s="377" t="n"/>
      <c r="DR56" s="378" t="n"/>
      <c r="DT56" s="259" t="inlineStr">
        <is>
          <t>移動</t>
        </is>
      </c>
      <c r="DU56" s="403" t="n"/>
      <c r="DV56" s="403" t="n"/>
      <c r="DW56" s="404" t="n"/>
      <c r="DX56" s="379">
        <f>IF(Q56="作業者5",E59-E56,0)</f>
        <v/>
      </c>
      <c r="DY56" s="377" t="n"/>
      <c r="DZ56" s="377" t="n"/>
      <c r="EA56" s="377" t="n"/>
      <c r="EB56" s="378" t="n"/>
    </row>
    <row r="57" ht="9" customHeight="1" s="337">
      <c r="B57" s="350" t="n"/>
      <c r="C57" s="338" t="n"/>
      <c r="D57" s="380" t="n"/>
      <c r="E57" s="381" t="n"/>
      <c r="F57" s="122" t="inlineStr">
        <is>
          <t>～</t>
        </is>
      </c>
      <c r="G57" s="22" t="n"/>
      <c r="H57" s="381" t="n"/>
      <c r="I57" s="122" t="inlineStr">
        <is>
          <t>～</t>
        </is>
      </c>
      <c r="J57" s="22" t="n"/>
      <c r="K57" s="381" t="n"/>
      <c r="L57" s="122" t="inlineStr">
        <is>
          <t>～</t>
        </is>
      </c>
      <c r="M57" s="22" t="n"/>
      <c r="N57" s="381" t="n"/>
      <c r="O57" s="122" t="inlineStr">
        <is>
          <t>～</t>
        </is>
      </c>
      <c r="P57" s="22" t="n"/>
      <c r="Q57" s="382" t="n"/>
      <c r="R57" s="338" t="n"/>
      <c r="S57" s="380" t="n"/>
      <c r="T57" s="382" t="n"/>
      <c r="U57" s="338" t="n"/>
      <c r="V57" s="380" t="n"/>
      <c r="W57" s="382" t="n"/>
      <c r="X57" s="338" t="n"/>
      <c r="Y57" s="338" t="n"/>
      <c r="Z57" s="338" t="n"/>
      <c r="AA57" s="338" t="n"/>
      <c r="AB57" s="338" t="n"/>
      <c r="AC57" s="338" t="n"/>
      <c r="AD57" s="338" t="n"/>
      <c r="AE57" s="338" t="n"/>
      <c r="AF57" s="338" t="n"/>
      <c r="AG57" s="338" t="n"/>
      <c r="AH57" s="338" t="n"/>
      <c r="AI57" s="338" t="n"/>
      <c r="AJ57" s="338" t="n"/>
      <c r="AK57" s="338" t="n"/>
      <c r="AL57" s="338" t="n"/>
      <c r="AM57" s="338" t="n"/>
      <c r="AN57" s="338" t="n"/>
      <c r="AO57" s="338" t="n"/>
      <c r="AP57" s="338" t="n"/>
      <c r="AQ57" s="338" t="n"/>
      <c r="AR57" s="338" t="n"/>
      <c r="AS57" s="338" t="n"/>
      <c r="AT57" s="338" t="n"/>
      <c r="AU57" s="338" t="n"/>
      <c r="AV57" s="338" t="n"/>
      <c r="AW57" s="338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8" t="n"/>
      <c r="BH57" s="338" t="n"/>
      <c r="BI57" s="338" t="n"/>
      <c r="BJ57" s="338" t="n"/>
      <c r="BK57" s="338" t="n"/>
      <c r="BL57" s="338" t="n"/>
      <c r="BM57" s="338" t="n"/>
      <c r="BN57" s="338" t="n"/>
      <c r="BO57" s="338" t="n"/>
      <c r="BP57" s="338" t="n"/>
      <c r="BQ57" s="338" t="n"/>
      <c r="BR57" s="338" t="n"/>
      <c r="BS57" s="338" t="n"/>
      <c r="BT57" s="338" t="n"/>
      <c r="BU57" s="338" t="n"/>
      <c r="BV57" s="338" t="n"/>
      <c r="BW57" s="338" t="n"/>
      <c r="BX57" s="338" t="n"/>
      <c r="BY57" s="338" t="n"/>
      <c r="BZ57" s="338" t="n"/>
      <c r="CA57" s="338" t="n"/>
      <c r="CB57" s="338" t="n"/>
      <c r="CC57" s="383" t="n"/>
      <c r="CF57" s="253" t="inlineStr">
        <is>
          <t>時間内</t>
        </is>
      </c>
      <c r="CG57" s="384" t="n"/>
      <c r="CH57" s="384" t="n"/>
      <c r="CI57" s="385" t="n"/>
      <c r="CJ57" s="386">
        <f>IF(Q56="作業者1",H59-H56,0)</f>
        <v/>
      </c>
      <c r="CK57" s="387" t="n"/>
      <c r="CL57" s="387" t="n"/>
      <c r="CM57" s="387" t="n"/>
      <c r="CN57" s="388" t="n"/>
      <c r="CP57" s="253" t="inlineStr">
        <is>
          <t>時間内</t>
        </is>
      </c>
      <c r="CQ57" s="384" t="n"/>
      <c r="CR57" s="384" t="n"/>
      <c r="CS57" s="385" t="n"/>
      <c r="CT57" s="386">
        <f>IF(Q56="作業者2",H59-H56,0)</f>
        <v/>
      </c>
      <c r="CU57" s="387" t="n"/>
      <c r="CV57" s="387" t="n"/>
      <c r="CW57" s="387" t="n"/>
      <c r="CX57" s="388" t="n"/>
      <c r="CZ57" s="253" t="inlineStr">
        <is>
          <t>時間内</t>
        </is>
      </c>
      <c r="DA57" s="384" t="n"/>
      <c r="DB57" s="384" t="n"/>
      <c r="DC57" s="385" t="n"/>
      <c r="DD57" s="386">
        <f>IF(Q56="作業者3",H59-H56,0)</f>
        <v/>
      </c>
      <c r="DE57" s="387" t="n"/>
      <c r="DF57" s="387" t="n"/>
      <c r="DG57" s="387" t="n"/>
      <c r="DH57" s="388" t="n"/>
      <c r="DJ57" s="253" t="inlineStr">
        <is>
          <t>時間内</t>
        </is>
      </c>
      <c r="DK57" s="384" t="n"/>
      <c r="DL57" s="384" t="n"/>
      <c r="DM57" s="385" t="n"/>
      <c r="DN57" s="386">
        <f>IF(Q56="作業者4",H59-H56,0)</f>
        <v/>
      </c>
      <c r="DO57" s="387" t="n"/>
      <c r="DP57" s="387" t="n"/>
      <c r="DQ57" s="387" t="n"/>
      <c r="DR57" s="388" t="n"/>
      <c r="DT57" s="253" t="inlineStr">
        <is>
          <t>時間内</t>
        </is>
      </c>
      <c r="DU57" s="384" t="n"/>
      <c r="DV57" s="384" t="n"/>
      <c r="DW57" s="385" t="n"/>
      <c r="DX57" s="386">
        <f>IF(Q56="作業者5",H59-H56,0)</f>
        <v/>
      </c>
      <c r="DY57" s="387" t="n"/>
      <c r="DZ57" s="387" t="n"/>
      <c r="EA57" s="387" t="n"/>
      <c r="EB57" s="388" t="n"/>
    </row>
    <row r="58" ht="9" customHeight="1" s="337">
      <c r="B58" s="350" t="n"/>
      <c r="C58" s="338" t="n"/>
      <c r="D58" s="380" t="n"/>
      <c r="E58" s="23" t="n"/>
      <c r="F58" s="338" t="n"/>
      <c r="G58" s="24" t="n"/>
      <c r="H58" s="23" t="n"/>
      <c r="I58" s="338" t="n"/>
      <c r="J58" s="24" t="n"/>
      <c r="K58" s="23" t="n"/>
      <c r="L58" s="338" t="n"/>
      <c r="M58" s="24" t="n"/>
      <c r="N58" s="23" t="n"/>
      <c r="O58" s="338" t="n"/>
      <c r="P58" s="24" t="n"/>
      <c r="Q58" s="382" t="n"/>
      <c r="R58" s="338" t="n"/>
      <c r="S58" s="380" t="n"/>
      <c r="T58" s="382" t="n"/>
      <c r="U58" s="338" t="n"/>
      <c r="V58" s="380" t="n"/>
      <c r="W58" s="382" t="n"/>
      <c r="X58" s="338" t="n"/>
      <c r="Y58" s="338" t="n"/>
      <c r="Z58" s="338" t="n"/>
      <c r="AA58" s="338" t="n"/>
      <c r="AB58" s="338" t="n"/>
      <c r="AC58" s="338" t="n"/>
      <c r="AD58" s="338" t="n"/>
      <c r="AE58" s="338" t="n"/>
      <c r="AF58" s="338" t="n"/>
      <c r="AG58" s="338" t="n"/>
      <c r="AH58" s="338" t="n"/>
      <c r="AI58" s="338" t="n"/>
      <c r="AJ58" s="338" t="n"/>
      <c r="AK58" s="338" t="n"/>
      <c r="AL58" s="338" t="n"/>
      <c r="AM58" s="338" t="n"/>
      <c r="AN58" s="338" t="n"/>
      <c r="AO58" s="338" t="n"/>
      <c r="AP58" s="338" t="n"/>
      <c r="AQ58" s="338" t="n"/>
      <c r="AR58" s="338" t="n"/>
      <c r="AS58" s="338" t="n"/>
      <c r="AT58" s="338" t="n"/>
      <c r="AU58" s="338" t="n"/>
      <c r="AV58" s="338" t="n"/>
      <c r="AW58" s="338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8" t="n"/>
      <c r="BH58" s="338" t="n"/>
      <c r="BI58" s="338" t="n"/>
      <c r="BJ58" s="338" t="n"/>
      <c r="BK58" s="338" t="n"/>
      <c r="BL58" s="338" t="n"/>
      <c r="BM58" s="338" t="n"/>
      <c r="BN58" s="338" t="n"/>
      <c r="BO58" s="338" t="n"/>
      <c r="BP58" s="338" t="n"/>
      <c r="BQ58" s="338" t="n"/>
      <c r="BR58" s="338" t="n"/>
      <c r="BS58" s="338" t="n"/>
      <c r="BT58" s="338" t="n"/>
      <c r="BU58" s="338" t="n"/>
      <c r="BV58" s="338" t="n"/>
      <c r="BW58" s="338" t="n"/>
      <c r="BX58" s="338" t="n"/>
      <c r="BY58" s="338" t="n"/>
      <c r="BZ58" s="338" t="n"/>
      <c r="CA58" s="338" t="n"/>
      <c r="CB58" s="338" t="n"/>
      <c r="CC58" s="383" t="n"/>
      <c r="CF58" s="253" t="inlineStr">
        <is>
          <t>時間外</t>
        </is>
      </c>
      <c r="CG58" s="384" t="n"/>
      <c r="CH58" s="384" t="n"/>
      <c r="CI58" s="385" t="n"/>
      <c r="CJ58" s="386">
        <f>IF(Q56="作業者1",K59-K56,0)</f>
        <v/>
      </c>
      <c r="CK58" s="387" t="n"/>
      <c r="CL58" s="387" t="n"/>
      <c r="CM58" s="387" t="n"/>
      <c r="CN58" s="388" t="n"/>
      <c r="CP58" s="253" t="inlineStr">
        <is>
          <t>時間外</t>
        </is>
      </c>
      <c r="CQ58" s="384" t="n"/>
      <c r="CR58" s="384" t="n"/>
      <c r="CS58" s="385" t="n"/>
      <c r="CT58" s="386">
        <f>IF(Q56="作業者2",K59-K56,0)</f>
        <v/>
      </c>
      <c r="CU58" s="387" t="n"/>
      <c r="CV58" s="387" t="n"/>
      <c r="CW58" s="387" t="n"/>
      <c r="CX58" s="388" t="n"/>
      <c r="CZ58" s="253" t="inlineStr">
        <is>
          <t>時間外</t>
        </is>
      </c>
      <c r="DA58" s="384" t="n"/>
      <c r="DB58" s="384" t="n"/>
      <c r="DC58" s="385" t="n"/>
      <c r="DD58" s="386">
        <f>IF(Q56="作業者3",K59-K56,0)</f>
        <v/>
      </c>
      <c r="DE58" s="387" t="n"/>
      <c r="DF58" s="387" t="n"/>
      <c r="DG58" s="387" t="n"/>
      <c r="DH58" s="388" t="n"/>
      <c r="DJ58" s="253" t="inlineStr">
        <is>
          <t>時間外</t>
        </is>
      </c>
      <c r="DK58" s="384" t="n"/>
      <c r="DL58" s="384" t="n"/>
      <c r="DM58" s="385" t="n"/>
      <c r="DN58" s="386">
        <f>IF(Q56="作業者4",K59-K56,0)</f>
        <v/>
      </c>
      <c r="DO58" s="387" t="n"/>
      <c r="DP58" s="387" t="n"/>
      <c r="DQ58" s="387" t="n"/>
      <c r="DR58" s="388" t="n"/>
      <c r="DT58" s="253" t="inlineStr">
        <is>
          <t>時間外</t>
        </is>
      </c>
      <c r="DU58" s="384" t="n"/>
      <c r="DV58" s="384" t="n"/>
      <c r="DW58" s="385" t="n"/>
      <c r="DX58" s="386">
        <f>IF(Q56="作業者5",K59-K56,0)</f>
        <v/>
      </c>
      <c r="DY58" s="387" t="n"/>
      <c r="DZ58" s="387" t="n"/>
      <c r="EA58" s="387" t="n"/>
      <c r="EB58" s="388" t="n"/>
    </row>
    <row r="59" ht="9" customHeight="1" s="337">
      <c r="B59" s="389" t="n"/>
      <c r="C59" s="390" t="n"/>
      <c r="D59" s="391" t="n"/>
      <c r="E59" s="392" t="n"/>
      <c r="F59" s="390" t="n"/>
      <c r="G59" s="391" t="n"/>
      <c r="H59" s="392" t="n"/>
      <c r="I59" s="390" t="n"/>
      <c r="J59" s="391" t="n"/>
      <c r="K59" s="392" t="n"/>
      <c r="L59" s="390" t="n"/>
      <c r="M59" s="391" t="n"/>
      <c r="N59" s="392" t="n"/>
      <c r="O59" s="390" t="n"/>
      <c r="P59" s="391" t="n"/>
      <c r="Q59" s="393" t="n"/>
      <c r="R59" s="390" t="n"/>
      <c r="S59" s="391" t="n"/>
      <c r="T59" s="393" t="n"/>
      <c r="U59" s="390" t="n"/>
      <c r="V59" s="391" t="n"/>
      <c r="W59" s="393" t="n"/>
      <c r="X59" s="390" t="n"/>
      <c r="Y59" s="390" t="n"/>
      <c r="Z59" s="390" t="n"/>
      <c r="AA59" s="390" t="n"/>
      <c r="AB59" s="390" t="n"/>
      <c r="AC59" s="390" t="n"/>
      <c r="AD59" s="390" t="n"/>
      <c r="AE59" s="390" t="n"/>
      <c r="AF59" s="390" t="n"/>
      <c r="AG59" s="390" t="n"/>
      <c r="AH59" s="390" t="n"/>
      <c r="AI59" s="390" t="n"/>
      <c r="AJ59" s="390" t="n"/>
      <c r="AK59" s="390" t="n"/>
      <c r="AL59" s="390" t="n"/>
      <c r="AM59" s="390" t="n"/>
      <c r="AN59" s="390" t="n"/>
      <c r="AO59" s="390" t="n"/>
      <c r="AP59" s="390" t="n"/>
      <c r="AQ59" s="390" t="n"/>
      <c r="AR59" s="390" t="n"/>
      <c r="AS59" s="390" t="n"/>
      <c r="AT59" s="390" t="n"/>
      <c r="AU59" s="390" t="n"/>
      <c r="AV59" s="390" t="n"/>
      <c r="AW59" s="390" t="n"/>
      <c r="AX59" s="390" t="n"/>
      <c r="AY59" s="390" t="n"/>
      <c r="AZ59" s="390" t="n"/>
      <c r="BA59" s="390" t="n"/>
      <c r="BB59" s="390" t="n"/>
      <c r="BC59" s="390" t="n"/>
      <c r="BD59" s="390" t="n"/>
      <c r="BE59" s="390" t="n"/>
      <c r="BF59" s="390" t="n"/>
      <c r="BG59" s="390" t="n"/>
      <c r="BH59" s="390" t="n"/>
      <c r="BI59" s="390" t="n"/>
      <c r="BJ59" s="390" t="n"/>
      <c r="BK59" s="390" t="n"/>
      <c r="BL59" s="390" t="n"/>
      <c r="BM59" s="390" t="n"/>
      <c r="BN59" s="390" t="n"/>
      <c r="BO59" s="390" t="n"/>
      <c r="BP59" s="390" t="n"/>
      <c r="BQ59" s="390" t="n"/>
      <c r="BR59" s="390" t="n"/>
      <c r="BS59" s="390" t="n"/>
      <c r="BT59" s="390" t="n"/>
      <c r="BU59" s="390" t="n"/>
      <c r="BV59" s="390" t="n"/>
      <c r="BW59" s="390" t="n"/>
      <c r="BX59" s="390" t="n"/>
      <c r="BY59" s="390" t="n"/>
      <c r="BZ59" s="390" t="n"/>
      <c r="CA59" s="390" t="n"/>
      <c r="CB59" s="390" t="n"/>
      <c r="CC59" s="394" t="n"/>
      <c r="CF59" s="254" t="inlineStr">
        <is>
          <t>休日</t>
        </is>
      </c>
      <c r="CG59" s="395" t="n"/>
      <c r="CH59" s="395" t="n"/>
      <c r="CI59" s="396" t="n"/>
      <c r="CJ59" s="397">
        <f>IF(Q56="作業者1",N59-N56,0)</f>
        <v/>
      </c>
      <c r="CK59" s="395" t="n"/>
      <c r="CL59" s="395" t="n"/>
      <c r="CM59" s="395" t="n"/>
      <c r="CN59" s="396" t="n"/>
      <c r="CP59" s="254" t="inlineStr">
        <is>
          <t>休日</t>
        </is>
      </c>
      <c r="CQ59" s="395" t="n"/>
      <c r="CR59" s="395" t="n"/>
      <c r="CS59" s="396" t="n"/>
      <c r="CT59" s="397">
        <f>IF(Q56="作業者2",N59-N56,0)</f>
        <v/>
      </c>
      <c r="CU59" s="395" t="n"/>
      <c r="CV59" s="395" t="n"/>
      <c r="CW59" s="395" t="n"/>
      <c r="CX59" s="396" t="n"/>
      <c r="CZ59" s="254" t="inlineStr">
        <is>
          <t>休日</t>
        </is>
      </c>
      <c r="DA59" s="395" t="n"/>
      <c r="DB59" s="395" t="n"/>
      <c r="DC59" s="396" t="n"/>
      <c r="DD59" s="397">
        <f>IF(Q56="作業者3",N59-N56,0)</f>
        <v/>
      </c>
      <c r="DE59" s="395" t="n"/>
      <c r="DF59" s="395" t="n"/>
      <c r="DG59" s="395" t="n"/>
      <c r="DH59" s="396" t="n"/>
      <c r="DJ59" s="254" t="inlineStr">
        <is>
          <t>休日</t>
        </is>
      </c>
      <c r="DK59" s="395" t="n"/>
      <c r="DL59" s="395" t="n"/>
      <c r="DM59" s="396" t="n"/>
      <c r="DN59" s="397">
        <f>IF(Q56="作業者4",N59-N56,0)</f>
        <v/>
      </c>
      <c r="DO59" s="395" t="n"/>
      <c r="DP59" s="395" t="n"/>
      <c r="DQ59" s="395" t="n"/>
      <c r="DR59" s="396" t="n"/>
      <c r="DT59" s="254" t="inlineStr">
        <is>
          <t>休日</t>
        </is>
      </c>
      <c r="DU59" s="395" t="n"/>
      <c r="DV59" s="395" t="n"/>
      <c r="DW59" s="396" t="n"/>
      <c r="DX59" s="397">
        <f>IF(Q56="作業者5",N59-N56,0)</f>
        <v/>
      </c>
      <c r="DY59" s="395" t="n"/>
      <c r="DZ59" s="395" t="n"/>
      <c r="EA59" s="395" t="n"/>
      <c r="EB59" s="396" t="n"/>
    </row>
    <row r="60" ht="9" customHeight="1" s="337">
      <c r="B60" s="398" t="n"/>
      <c r="C60" s="372" t="n"/>
      <c r="D60" s="373" t="n"/>
      <c r="E60" s="399" t="n"/>
      <c r="F60" s="372" t="n"/>
      <c r="G60" s="373" t="n"/>
      <c r="H60" s="399" t="n"/>
      <c r="I60" s="372" t="n"/>
      <c r="J60" s="373" t="n"/>
      <c r="K60" s="399" t="n"/>
      <c r="L60" s="372" t="n"/>
      <c r="M60" s="373" t="n"/>
      <c r="N60" s="399" t="n"/>
      <c r="O60" s="372" t="n"/>
      <c r="P60" s="373" t="n"/>
      <c r="Q60" s="371" t="n"/>
      <c r="R60" s="372" t="n"/>
      <c r="S60" s="373" t="n"/>
      <c r="T60" s="371" t="n"/>
      <c r="U60" s="372" t="n"/>
      <c r="V60" s="373" t="n"/>
      <c r="W60" s="443" t="n"/>
      <c r="X60" s="372" t="n"/>
      <c r="Y60" s="372" t="n"/>
      <c r="Z60" s="372" t="n"/>
      <c r="AA60" s="372" t="n"/>
      <c r="AB60" s="372" t="n"/>
      <c r="AC60" s="372" t="n"/>
      <c r="AD60" s="372" t="n"/>
      <c r="AE60" s="372" t="n"/>
      <c r="AF60" s="372" t="n"/>
      <c r="AG60" s="372" t="n"/>
      <c r="AH60" s="372" t="n"/>
      <c r="AI60" s="372" t="n"/>
      <c r="AJ60" s="372" t="n"/>
      <c r="AK60" s="372" t="n"/>
      <c r="AL60" s="372" t="n"/>
      <c r="AM60" s="372" t="n"/>
      <c r="AN60" s="372" t="n"/>
      <c r="AO60" s="372" t="n"/>
      <c r="AP60" s="372" t="n"/>
      <c r="AQ60" s="372" t="n"/>
      <c r="AR60" s="372" t="n"/>
      <c r="AS60" s="372" t="n"/>
      <c r="AT60" s="372" t="n"/>
      <c r="AU60" s="372" t="n"/>
      <c r="AV60" s="372" t="n"/>
      <c r="AW60" s="372" t="n"/>
      <c r="AX60" s="372" t="n"/>
      <c r="AY60" s="372" t="n"/>
      <c r="AZ60" s="372" t="n"/>
      <c r="BA60" s="372" t="n"/>
      <c r="BB60" s="372" t="n"/>
      <c r="BC60" s="372" t="n"/>
      <c r="BD60" s="372" t="n"/>
      <c r="BE60" s="372" t="n"/>
      <c r="BF60" s="372" t="n"/>
      <c r="BG60" s="372" t="n"/>
      <c r="BH60" s="372" t="n"/>
      <c r="BI60" s="372" t="n"/>
      <c r="BJ60" s="372" t="n"/>
      <c r="BK60" s="372" t="n"/>
      <c r="BL60" s="372" t="n"/>
      <c r="BM60" s="372" t="n"/>
      <c r="BN60" s="372" t="n"/>
      <c r="BO60" s="372" t="n"/>
      <c r="BP60" s="372" t="n"/>
      <c r="BQ60" s="372" t="n"/>
      <c r="BR60" s="372" t="n"/>
      <c r="BS60" s="372" t="n"/>
      <c r="BT60" s="372" t="n"/>
      <c r="BU60" s="372" t="n"/>
      <c r="BV60" s="372" t="n"/>
      <c r="BW60" s="372" t="n"/>
      <c r="BX60" s="372" t="n"/>
      <c r="BY60" s="372" t="n"/>
      <c r="BZ60" s="372" t="n"/>
      <c r="CA60" s="372" t="n"/>
      <c r="CB60" s="372" t="n"/>
      <c r="CC60" s="402" t="n"/>
      <c r="CF60" s="248" t="inlineStr">
        <is>
          <t>移動</t>
        </is>
      </c>
      <c r="CG60" s="377" t="n"/>
      <c r="CH60" s="377" t="n"/>
      <c r="CI60" s="378" t="n"/>
      <c r="CJ60" s="379">
        <f>IF(Q60="作業者1",E63-E60,0)</f>
        <v/>
      </c>
      <c r="CK60" s="377" t="n"/>
      <c r="CL60" s="377" t="n"/>
      <c r="CM60" s="377" t="n"/>
      <c r="CN60" s="378" t="n"/>
      <c r="CP60" s="248" t="inlineStr">
        <is>
          <t>移動</t>
        </is>
      </c>
      <c r="CQ60" s="377" t="n"/>
      <c r="CR60" s="377" t="n"/>
      <c r="CS60" s="378" t="n"/>
      <c r="CT60" s="379">
        <f>IF(Q60="作業者2",E63-E60,0)</f>
        <v/>
      </c>
      <c r="CU60" s="377" t="n"/>
      <c r="CV60" s="377" t="n"/>
      <c r="CW60" s="377" t="n"/>
      <c r="CX60" s="378" t="n"/>
      <c r="CZ60" s="259" t="inlineStr">
        <is>
          <t>移動</t>
        </is>
      </c>
      <c r="DA60" s="403" t="n"/>
      <c r="DB60" s="403" t="n"/>
      <c r="DC60" s="404" t="n"/>
      <c r="DD60" s="405">
        <f>IF(Q60="作業者3",E63-E60,0)</f>
        <v/>
      </c>
      <c r="DE60" s="406" t="n"/>
      <c r="DF60" s="406" t="n"/>
      <c r="DG60" s="406" t="n"/>
      <c r="DH60" s="407" t="n"/>
      <c r="DJ60" s="259" t="inlineStr">
        <is>
          <t>移動</t>
        </is>
      </c>
      <c r="DK60" s="403" t="n"/>
      <c r="DL60" s="403" t="n"/>
      <c r="DM60" s="404" t="n"/>
      <c r="DN60" s="379">
        <f>IF(Q60="作業者4",E63-E60,0)</f>
        <v/>
      </c>
      <c r="DO60" s="377" t="n"/>
      <c r="DP60" s="377" t="n"/>
      <c r="DQ60" s="377" t="n"/>
      <c r="DR60" s="378" t="n"/>
      <c r="DT60" s="259" t="inlineStr">
        <is>
          <t>移動</t>
        </is>
      </c>
      <c r="DU60" s="403" t="n"/>
      <c r="DV60" s="403" t="n"/>
      <c r="DW60" s="404" t="n"/>
      <c r="DX60" s="379">
        <f>IF(Q60="作業者5",E63-E60,0)</f>
        <v/>
      </c>
      <c r="DY60" s="377" t="n"/>
      <c r="DZ60" s="377" t="n"/>
      <c r="EA60" s="377" t="n"/>
      <c r="EB60" s="378" t="n"/>
    </row>
    <row r="61" ht="9" customHeight="1" s="337">
      <c r="B61" s="350" t="n"/>
      <c r="C61" s="338" t="n"/>
      <c r="D61" s="380" t="n"/>
      <c r="E61" s="381" t="n"/>
      <c r="F61" s="122" t="inlineStr">
        <is>
          <t>～</t>
        </is>
      </c>
      <c r="G61" s="22" t="n"/>
      <c r="H61" s="381" t="n"/>
      <c r="I61" s="122" t="inlineStr">
        <is>
          <t>～</t>
        </is>
      </c>
      <c r="J61" s="22" t="n"/>
      <c r="K61" s="381" t="n"/>
      <c r="L61" s="122" t="inlineStr">
        <is>
          <t>～</t>
        </is>
      </c>
      <c r="M61" s="22" t="n"/>
      <c r="N61" s="381" t="n"/>
      <c r="O61" s="122" t="inlineStr">
        <is>
          <t>～</t>
        </is>
      </c>
      <c r="P61" s="22" t="n"/>
      <c r="Q61" s="382" t="n"/>
      <c r="R61" s="338" t="n"/>
      <c r="S61" s="380" t="n"/>
      <c r="T61" s="382" t="n"/>
      <c r="U61" s="338" t="n"/>
      <c r="V61" s="380" t="n"/>
      <c r="W61" s="382" t="n"/>
      <c r="X61" s="338" t="n"/>
      <c r="Y61" s="338" t="n"/>
      <c r="Z61" s="338" t="n"/>
      <c r="AA61" s="338" t="n"/>
      <c r="AB61" s="338" t="n"/>
      <c r="AC61" s="338" t="n"/>
      <c r="AD61" s="338" t="n"/>
      <c r="AE61" s="338" t="n"/>
      <c r="AF61" s="338" t="n"/>
      <c r="AG61" s="338" t="n"/>
      <c r="AH61" s="338" t="n"/>
      <c r="AI61" s="338" t="n"/>
      <c r="AJ61" s="338" t="n"/>
      <c r="AK61" s="338" t="n"/>
      <c r="AL61" s="338" t="n"/>
      <c r="AM61" s="338" t="n"/>
      <c r="AN61" s="338" t="n"/>
      <c r="AO61" s="338" t="n"/>
      <c r="AP61" s="338" t="n"/>
      <c r="AQ61" s="338" t="n"/>
      <c r="AR61" s="338" t="n"/>
      <c r="AS61" s="338" t="n"/>
      <c r="AT61" s="338" t="n"/>
      <c r="AU61" s="338" t="n"/>
      <c r="AV61" s="338" t="n"/>
      <c r="AW61" s="338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8" t="n"/>
      <c r="BH61" s="338" t="n"/>
      <c r="BI61" s="338" t="n"/>
      <c r="BJ61" s="338" t="n"/>
      <c r="BK61" s="338" t="n"/>
      <c r="BL61" s="338" t="n"/>
      <c r="BM61" s="338" t="n"/>
      <c r="BN61" s="338" t="n"/>
      <c r="BO61" s="338" t="n"/>
      <c r="BP61" s="338" t="n"/>
      <c r="BQ61" s="338" t="n"/>
      <c r="BR61" s="338" t="n"/>
      <c r="BS61" s="338" t="n"/>
      <c r="BT61" s="338" t="n"/>
      <c r="BU61" s="338" t="n"/>
      <c r="BV61" s="338" t="n"/>
      <c r="BW61" s="338" t="n"/>
      <c r="BX61" s="338" t="n"/>
      <c r="BY61" s="338" t="n"/>
      <c r="BZ61" s="338" t="n"/>
      <c r="CA61" s="338" t="n"/>
      <c r="CB61" s="338" t="n"/>
      <c r="CC61" s="383" t="n"/>
      <c r="CF61" s="253" t="inlineStr">
        <is>
          <t>時間内</t>
        </is>
      </c>
      <c r="CG61" s="384" t="n"/>
      <c r="CH61" s="384" t="n"/>
      <c r="CI61" s="385" t="n"/>
      <c r="CJ61" s="386">
        <f>IF(Q60="作業者1",H63-H60,0)</f>
        <v/>
      </c>
      <c r="CK61" s="387" t="n"/>
      <c r="CL61" s="387" t="n"/>
      <c r="CM61" s="387" t="n"/>
      <c r="CN61" s="388" t="n"/>
      <c r="CP61" s="253" t="inlineStr">
        <is>
          <t>時間内</t>
        </is>
      </c>
      <c r="CQ61" s="384" t="n"/>
      <c r="CR61" s="384" t="n"/>
      <c r="CS61" s="385" t="n"/>
      <c r="CT61" s="386">
        <f>IF(Q60="作業者2",H63-H60,0)</f>
        <v/>
      </c>
      <c r="CU61" s="387" t="n"/>
      <c r="CV61" s="387" t="n"/>
      <c r="CW61" s="387" t="n"/>
      <c r="CX61" s="388" t="n"/>
      <c r="CZ61" s="253" t="inlineStr">
        <is>
          <t>時間内</t>
        </is>
      </c>
      <c r="DA61" s="384" t="n"/>
      <c r="DB61" s="384" t="n"/>
      <c r="DC61" s="385" t="n"/>
      <c r="DD61" s="386">
        <f>IF(Q60="作業者3",H63-H60,0)</f>
        <v/>
      </c>
      <c r="DE61" s="387" t="n"/>
      <c r="DF61" s="387" t="n"/>
      <c r="DG61" s="387" t="n"/>
      <c r="DH61" s="388" t="n"/>
      <c r="DJ61" s="253" t="inlineStr">
        <is>
          <t>時間内</t>
        </is>
      </c>
      <c r="DK61" s="384" t="n"/>
      <c r="DL61" s="384" t="n"/>
      <c r="DM61" s="385" t="n"/>
      <c r="DN61" s="386">
        <f>IF(Q60="作業者4",H63-H60,0)</f>
        <v/>
      </c>
      <c r="DO61" s="387" t="n"/>
      <c r="DP61" s="387" t="n"/>
      <c r="DQ61" s="387" t="n"/>
      <c r="DR61" s="388" t="n"/>
      <c r="DT61" s="253" t="inlineStr">
        <is>
          <t>時間内</t>
        </is>
      </c>
      <c r="DU61" s="384" t="n"/>
      <c r="DV61" s="384" t="n"/>
      <c r="DW61" s="385" t="n"/>
      <c r="DX61" s="386">
        <f>IF(Q60="作業者5",H63-H60,0)</f>
        <v/>
      </c>
      <c r="DY61" s="387" t="n"/>
      <c r="DZ61" s="387" t="n"/>
      <c r="EA61" s="387" t="n"/>
      <c r="EB61" s="388" t="n"/>
    </row>
    <row r="62" ht="9" customHeight="1" s="337">
      <c r="B62" s="350" t="n"/>
      <c r="C62" s="338" t="n"/>
      <c r="D62" s="380" t="n"/>
      <c r="E62" s="23" t="n"/>
      <c r="F62" s="338" t="n"/>
      <c r="G62" s="24" t="n"/>
      <c r="H62" s="23" t="n"/>
      <c r="I62" s="338" t="n"/>
      <c r="J62" s="24" t="n"/>
      <c r="K62" s="23" t="n"/>
      <c r="L62" s="338" t="n"/>
      <c r="M62" s="24" t="n"/>
      <c r="N62" s="23" t="n"/>
      <c r="O62" s="338" t="n"/>
      <c r="P62" s="24" t="n"/>
      <c r="Q62" s="382" t="n"/>
      <c r="R62" s="338" t="n"/>
      <c r="S62" s="380" t="n"/>
      <c r="T62" s="382" t="n"/>
      <c r="U62" s="338" t="n"/>
      <c r="V62" s="380" t="n"/>
      <c r="W62" s="382" t="n"/>
      <c r="X62" s="338" t="n"/>
      <c r="Y62" s="338" t="n"/>
      <c r="Z62" s="338" t="n"/>
      <c r="AA62" s="338" t="n"/>
      <c r="AB62" s="338" t="n"/>
      <c r="AC62" s="338" t="n"/>
      <c r="AD62" s="338" t="n"/>
      <c r="AE62" s="338" t="n"/>
      <c r="AF62" s="338" t="n"/>
      <c r="AG62" s="338" t="n"/>
      <c r="AH62" s="338" t="n"/>
      <c r="AI62" s="338" t="n"/>
      <c r="AJ62" s="338" t="n"/>
      <c r="AK62" s="338" t="n"/>
      <c r="AL62" s="338" t="n"/>
      <c r="AM62" s="338" t="n"/>
      <c r="AN62" s="338" t="n"/>
      <c r="AO62" s="338" t="n"/>
      <c r="AP62" s="338" t="n"/>
      <c r="AQ62" s="338" t="n"/>
      <c r="AR62" s="338" t="n"/>
      <c r="AS62" s="338" t="n"/>
      <c r="AT62" s="338" t="n"/>
      <c r="AU62" s="338" t="n"/>
      <c r="AV62" s="338" t="n"/>
      <c r="AW62" s="338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8" t="n"/>
      <c r="BH62" s="338" t="n"/>
      <c r="BI62" s="338" t="n"/>
      <c r="BJ62" s="338" t="n"/>
      <c r="BK62" s="338" t="n"/>
      <c r="BL62" s="338" t="n"/>
      <c r="BM62" s="338" t="n"/>
      <c r="BN62" s="338" t="n"/>
      <c r="BO62" s="338" t="n"/>
      <c r="BP62" s="338" t="n"/>
      <c r="BQ62" s="338" t="n"/>
      <c r="BR62" s="338" t="n"/>
      <c r="BS62" s="338" t="n"/>
      <c r="BT62" s="338" t="n"/>
      <c r="BU62" s="338" t="n"/>
      <c r="BV62" s="338" t="n"/>
      <c r="BW62" s="338" t="n"/>
      <c r="BX62" s="338" t="n"/>
      <c r="BY62" s="338" t="n"/>
      <c r="BZ62" s="338" t="n"/>
      <c r="CA62" s="338" t="n"/>
      <c r="CB62" s="338" t="n"/>
      <c r="CC62" s="383" t="n"/>
      <c r="CF62" s="253" t="inlineStr">
        <is>
          <t>時間外</t>
        </is>
      </c>
      <c r="CG62" s="384" t="n"/>
      <c r="CH62" s="384" t="n"/>
      <c r="CI62" s="385" t="n"/>
      <c r="CJ62" s="386">
        <f>IF(Q60="作業者1",K63-K60,0)</f>
        <v/>
      </c>
      <c r="CK62" s="387" t="n"/>
      <c r="CL62" s="387" t="n"/>
      <c r="CM62" s="387" t="n"/>
      <c r="CN62" s="388" t="n"/>
      <c r="CP62" s="253" t="inlineStr">
        <is>
          <t>時間外</t>
        </is>
      </c>
      <c r="CQ62" s="384" t="n"/>
      <c r="CR62" s="384" t="n"/>
      <c r="CS62" s="385" t="n"/>
      <c r="CT62" s="386">
        <f>IF(Q60="作業者2",K63-K60,0)</f>
        <v/>
      </c>
      <c r="CU62" s="387" t="n"/>
      <c r="CV62" s="387" t="n"/>
      <c r="CW62" s="387" t="n"/>
      <c r="CX62" s="388" t="n"/>
      <c r="CZ62" s="253" t="inlineStr">
        <is>
          <t>時間外</t>
        </is>
      </c>
      <c r="DA62" s="384" t="n"/>
      <c r="DB62" s="384" t="n"/>
      <c r="DC62" s="385" t="n"/>
      <c r="DD62" s="386">
        <f>IF(Q60="作業者3",K63-K60,0)</f>
        <v/>
      </c>
      <c r="DE62" s="387" t="n"/>
      <c r="DF62" s="387" t="n"/>
      <c r="DG62" s="387" t="n"/>
      <c r="DH62" s="388" t="n"/>
      <c r="DJ62" s="253" t="inlineStr">
        <is>
          <t>時間外</t>
        </is>
      </c>
      <c r="DK62" s="384" t="n"/>
      <c r="DL62" s="384" t="n"/>
      <c r="DM62" s="385" t="n"/>
      <c r="DN62" s="386">
        <f>IF(Q60="作業者4",K63-K60,0)</f>
        <v/>
      </c>
      <c r="DO62" s="387" t="n"/>
      <c r="DP62" s="387" t="n"/>
      <c r="DQ62" s="387" t="n"/>
      <c r="DR62" s="388" t="n"/>
      <c r="DT62" s="253" t="inlineStr">
        <is>
          <t>時間外</t>
        </is>
      </c>
      <c r="DU62" s="384" t="n"/>
      <c r="DV62" s="384" t="n"/>
      <c r="DW62" s="385" t="n"/>
      <c r="DX62" s="386">
        <f>IF(Q60="作業者5",K63-K60,0)</f>
        <v/>
      </c>
      <c r="DY62" s="387" t="n"/>
      <c r="DZ62" s="387" t="n"/>
      <c r="EA62" s="387" t="n"/>
      <c r="EB62" s="388" t="n"/>
    </row>
    <row r="63" ht="9" customHeight="1" s="337">
      <c r="B63" s="389" t="n"/>
      <c r="C63" s="390" t="n"/>
      <c r="D63" s="391" t="n"/>
      <c r="E63" s="392" t="n"/>
      <c r="F63" s="390" t="n"/>
      <c r="G63" s="391" t="n"/>
      <c r="H63" s="392" t="n"/>
      <c r="I63" s="390" t="n"/>
      <c r="J63" s="391" t="n"/>
      <c r="K63" s="392" t="n"/>
      <c r="L63" s="390" t="n"/>
      <c r="M63" s="391" t="n"/>
      <c r="N63" s="392" t="n"/>
      <c r="O63" s="390" t="n"/>
      <c r="P63" s="391" t="n"/>
      <c r="Q63" s="393" t="n"/>
      <c r="R63" s="390" t="n"/>
      <c r="S63" s="391" t="n"/>
      <c r="T63" s="393" t="n"/>
      <c r="U63" s="390" t="n"/>
      <c r="V63" s="391" t="n"/>
      <c r="W63" s="393" t="n"/>
      <c r="X63" s="390" t="n"/>
      <c r="Y63" s="390" t="n"/>
      <c r="Z63" s="390" t="n"/>
      <c r="AA63" s="390" t="n"/>
      <c r="AB63" s="390" t="n"/>
      <c r="AC63" s="390" t="n"/>
      <c r="AD63" s="390" t="n"/>
      <c r="AE63" s="390" t="n"/>
      <c r="AF63" s="390" t="n"/>
      <c r="AG63" s="390" t="n"/>
      <c r="AH63" s="390" t="n"/>
      <c r="AI63" s="390" t="n"/>
      <c r="AJ63" s="390" t="n"/>
      <c r="AK63" s="390" t="n"/>
      <c r="AL63" s="390" t="n"/>
      <c r="AM63" s="390" t="n"/>
      <c r="AN63" s="390" t="n"/>
      <c r="AO63" s="390" t="n"/>
      <c r="AP63" s="390" t="n"/>
      <c r="AQ63" s="390" t="n"/>
      <c r="AR63" s="390" t="n"/>
      <c r="AS63" s="390" t="n"/>
      <c r="AT63" s="390" t="n"/>
      <c r="AU63" s="390" t="n"/>
      <c r="AV63" s="390" t="n"/>
      <c r="AW63" s="390" t="n"/>
      <c r="AX63" s="390" t="n"/>
      <c r="AY63" s="390" t="n"/>
      <c r="AZ63" s="390" t="n"/>
      <c r="BA63" s="390" t="n"/>
      <c r="BB63" s="390" t="n"/>
      <c r="BC63" s="390" t="n"/>
      <c r="BD63" s="390" t="n"/>
      <c r="BE63" s="390" t="n"/>
      <c r="BF63" s="390" t="n"/>
      <c r="BG63" s="390" t="n"/>
      <c r="BH63" s="390" t="n"/>
      <c r="BI63" s="390" t="n"/>
      <c r="BJ63" s="390" t="n"/>
      <c r="BK63" s="390" t="n"/>
      <c r="BL63" s="390" t="n"/>
      <c r="BM63" s="390" t="n"/>
      <c r="BN63" s="390" t="n"/>
      <c r="BO63" s="390" t="n"/>
      <c r="BP63" s="390" t="n"/>
      <c r="BQ63" s="390" t="n"/>
      <c r="BR63" s="390" t="n"/>
      <c r="BS63" s="390" t="n"/>
      <c r="BT63" s="390" t="n"/>
      <c r="BU63" s="390" t="n"/>
      <c r="BV63" s="390" t="n"/>
      <c r="BW63" s="390" t="n"/>
      <c r="BX63" s="390" t="n"/>
      <c r="BY63" s="390" t="n"/>
      <c r="BZ63" s="390" t="n"/>
      <c r="CA63" s="390" t="n"/>
      <c r="CB63" s="390" t="n"/>
      <c r="CC63" s="394" t="n"/>
      <c r="CF63" s="254" t="inlineStr">
        <is>
          <t>休日</t>
        </is>
      </c>
      <c r="CG63" s="395" t="n"/>
      <c r="CH63" s="395" t="n"/>
      <c r="CI63" s="396" t="n"/>
      <c r="CJ63" s="397">
        <f>IF(Q60="作業者1",N63-N60,0)</f>
        <v/>
      </c>
      <c r="CK63" s="395" t="n"/>
      <c r="CL63" s="395" t="n"/>
      <c r="CM63" s="395" t="n"/>
      <c r="CN63" s="396" t="n"/>
      <c r="CP63" s="254" t="inlineStr">
        <is>
          <t>休日</t>
        </is>
      </c>
      <c r="CQ63" s="395" t="n"/>
      <c r="CR63" s="395" t="n"/>
      <c r="CS63" s="396" t="n"/>
      <c r="CT63" s="397">
        <f>IF(Q60="作業者2",N63-N60,0)</f>
        <v/>
      </c>
      <c r="CU63" s="395" t="n"/>
      <c r="CV63" s="395" t="n"/>
      <c r="CW63" s="395" t="n"/>
      <c r="CX63" s="396" t="n"/>
      <c r="CZ63" s="254" t="inlineStr">
        <is>
          <t>休日</t>
        </is>
      </c>
      <c r="DA63" s="395" t="n"/>
      <c r="DB63" s="395" t="n"/>
      <c r="DC63" s="396" t="n"/>
      <c r="DD63" s="397">
        <f>IF(Q60="作業者3",N63-N60,0)</f>
        <v/>
      </c>
      <c r="DE63" s="395" t="n"/>
      <c r="DF63" s="395" t="n"/>
      <c r="DG63" s="395" t="n"/>
      <c r="DH63" s="396" t="n"/>
      <c r="DJ63" s="254" t="inlineStr">
        <is>
          <t>休日</t>
        </is>
      </c>
      <c r="DK63" s="395" t="n"/>
      <c r="DL63" s="395" t="n"/>
      <c r="DM63" s="396" t="n"/>
      <c r="DN63" s="397">
        <f>IF(Q60="作業者4",N63-N60,0)</f>
        <v/>
      </c>
      <c r="DO63" s="395" t="n"/>
      <c r="DP63" s="395" t="n"/>
      <c r="DQ63" s="395" t="n"/>
      <c r="DR63" s="396" t="n"/>
      <c r="DT63" s="254" t="inlineStr">
        <is>
          <t>休日</t>
        </is>
      </c>
      <c r="DU63" s="395" t="n"/>
      <c r="DV63" s="395" t="n"/>
      <c r="DW63" s="396" t="n"/>
      <c r="DX63" s="397">
        <f>IF(Q60="作業者5",N63-N60,0)</f>
        <v/>
      </c>
      <c r="DY63" s="395" t="n"/>
      <c r="DZ63" s="395" t="n"/>
      <c r="EA63" s="395" t="n"/>
      <c r="EB63" s="396" t="n"/>
    </row>
    <row r="64" ht="9" customHeight="1" s="337">
      <c r="B64" s="410" t="n"/>
      <c r="C64" s="372" t="n"/>
      <c r="D64" s="373" t="n"/>
      <c r="E64" s="399" t="n"/>
      <c r="F64" s="372" t="n"/>
      <c r="G64" s="373" t="n"/>
      <c r="H64" s="399" t="n"/>
      <c r="I64" s="372" t="n"/>
      <c r="J64" s="373" t="n"/>
      <c r="K64" s="399" t="n"/>
      <c r="L64" s="372" t="n"/>
      <c r="M64" s="373" t="n"/>
      <c r="N64" s="399" t="n"/>
      <c r="O64" s="372" t="n"/>
      <c r="P64" s="373" t="n"/>
      <c r="Q64" s="444" t="n"/>
      <c r="R64" s="372" t="n"/>
      <c r="S64" s="445" t="n"/>
      <c r="T64" s="411" t="n"/>
      <c r="U64" s="372" t="n"/>
      <c r="V64" s="373" t="n"/>
      <c r="W64" s="443" t="n"/>
      <c r="X64" s="372" t="n"/>
      <c r="Y64" s="372" t="n"/>
      <c r="Z64" s="372" t="n"/>
      <c r="AA64" s="372" t="n"/>
      <c r="AB64" s="372" t="n"/>
      <c r="AC64" s="372" t="n"/>
      <c r="AD64" s="372" t="n"/>
      <c r="AE64" s="372" t="n"/>
      <c r="AF64" s="372" t="n"/>
      <c r="AG64" s="372" t="n"/>
      <c r="AH64" s="372" t="n"/>
      <c r="AI64" s="372" t="n"/>
      <c r="AJ64" s="372" t="n"/>
      <c r="AK64" s="372" t="n"/>
      <c r="AL64" s="372" t="n"/>
      <c r="AM64" s="372" t="n"/>
      <c r="AN64" s="372" t="n"/>
      <c r="AO64" s="372" t="n"/>
      <c r="AP64" s="372" t="n"/>
      <c r="AQ64" s="372" t="n"/>
      <c r="AR64" s="372" t="n"/>
      <c r="AS64" s="372" t="n"/>
      <c r="AT64" s="372" t="n"/>
      <c r="AU64" s="372" t="n"/>
      <c r="AV64" s="372" t="n"/>
      <c r="AW64" s="372" t="n"/>
      <c r="AX64" s="372" t="n"/>
      <c r="AY64" s="372" t="n"/>
      <c r="AZ64" s="372" t="n"/>
      <c r="BA64" s="372" t="n"/>
      <c r="BB64" s="372" t="n"/>
      <c r="BC64" s="372" t="n"/>
      <c r="BD64" s="372" t="n"/>
      <c r="BE64" s="372" t="n"/>
      <c r="BF64" s="372" t="n"/>
      <c r="BG64" s="372" t="n"/>
      <c r="BH64" s="372" t="n"/>
      <c r="BI64" s="372" t="n"/>
      <c r="BJ64" s="372" t="n"/>
      <c r="BK64" s="372" t="n"/>
      <c r="BL64" s="372" t="n"/>
      <c r="BM64" s="372" t="n"/>
      <c r="BN64" s="372" t="n"/>
      <c r="BO64" s="372" t="n"/>
      <c r="BP64" s="372" t="n"/>
      <c r="BQ64" s="372" t="n"/>
      <c r="BR64" s="372" t="n"/>
      <c r="BS64" s="372" t="n"/>
      <c r="BT64" s="372" t="n"/>
      <c r="BU64" s="372" t="n"/>
      <c r="BV64" s="372" t="n"/>
      <c r="BW64" s="372" t="n"/>
      <c r="BX64" s="372" t="n"/>
      <c r="BY64" s="372" t="n"/>
      <c r="BZ64" s="372" t="n"/>
      <c r="CA64" s="372" t="n"/>
      <c r="CB64" s="372" t="n"/>
      <c r="CC64" s="402" t="n"/>
      <c r="CF64" s="248" t="inlineStr">
        <is>
          <t>移動</t>
        </is>
      </c>
      <c r="CG64" s="377" t="n"/>
      <c r="CH64" s="377" t="n"/>
      <c r="CI64" s="378" t="n"/>
      <c r="CJ64" s="379">
        <f>IF(Q64="作業者1",E67-E64,0)</f>
        <v/>
      </c>
      <c r="CK64" s="377" t="n"/>
      <c r="CL64" s="377" t="n"/>
      <c r="CM64" s="377" t="n"/>
      <c r="CN64" s="378" t="n"/>
      <c r="CP64" s="248" t="inlineStr">
        <is>
          <t>移動</t>
        </is>
      </c>
      <c r="CQ64" s="377" t="n"/>
      <c r="CR64" s="377" t="n"/>
      <c r="CS64" s="378" t="n"/>
      <c r="CT64" s="379">
        <f>IF(Q64="作業者2",E67-E64,0)</f>
        <v/>
      </c>
      <c r="CU64" s="377" t="n"/>
      <c r="CV64" s="377" t="n"/>
      <c r="CW64" s="377" t="n"/>
      <c r="CX64" s="378" t="n"/>
      <c r="CZ64" s="259" t="inlineStr">
        <is>
          <t>移動</t>
        </is>
      </c>
      <c r="DA64" s="403" t="n"/>
      <c r="DB64" s="403" t="n"/>
      <c r="DC64" s="404" t="n"/>
      <c r="DD64" s="405">
        <f>IF(Q64="作業者3",E67-E64,0)</f>
        <v/>
      </c>
      <c r="DE64" s="406" t="n"/>
      <c r="DF64" s="406" t="n"/>
      <c r="DG64" s="406" t="n"/>
      <c r="DH64" s="407" t="n"/>
      <c r="DJ64" s="259" t="inlineStr">
        <is>
          <t>移動</t>
        </is>
      </c>
      <c r="DK64" s="403" t="n"/>
      <c r="DL64" s="403" t="n"/>
      <c r="DM64" s="404" t="n"/>
      <c r="DN64" s="379">
        <f>IF(Q64="作業者4",E67-E64,0)</f>
        <v/>
      </c>
      <c r="DO64" s="377" t="n"/>
      <c r="DP64" s="377" t="n"/>
      <c r="DQ64" s="377" t="n"/>
      <c r="DR64" s="378" t="n"/>
      <c r="DT64" s="259" t="inlineStr">
        <is>
          <t>移動</t>
        </is>
      </c>
      <c r="DU64" s="403" t="n"/>
      <c r="DV64" s="403" t="n"/>
      <c r="DW64" s="404" t="n"/>
      <c r="DX64" s="379">
        <f>IF(Q64="作業者5",E67-E64,0)</f>
        <v/>
      </c>
      <c r="DY64" s="377" t="n"/>
      <c r="DZ64" s="377" t="n"/>
      <c r="EA64" s="377" t="n"/>
      <c r="EB64" s="378" t="n"/>
    </row>
    <row r="65" ht="9" customHeight="1" s="337">
      <c r="B65" s="350" t="n"/>
      <c r="C65" s="338" t="n"/>
      <c r="D65" s="380" t="n"/>
      <c r="E65" s="381" t="n"/>
      <c r="F65" s="122" t="inlineStr">
        <is>
          <t>～</t>
        </is>
      </c>
      <c r="G65" s="22" t="n"/>
      <c r="H65" s="381" t="n"/>
      <c r="I65" s="122" t="inlineStr">
        <is>
          <t>～</t>
        </is>
      </c>
      <c r="J65" s="22" t="n"/>
      <c r="K65" s="381" t="n"/>
      <c r="L65" s="122" t="inlineStr">
        <is>
          <t>～</t>
        </is>
      </c>
      <c r="M65" s="22" t="n"/>
      <c r="N65" s="381" t="n"/>
      <c r="O65" s="122" t="inlineStr">
        <is>
          <t>～</t>
        </is>
      </c>
      <c r="P65" s="22" t="n"/>
      <c r="Q65" s="382" t="n"/>
      <c r="R65" s="338" t="n"/>
      <c r="S65" s="446" t="n"/>
      <c r="T65" s="382" t="n"/>
      <c r="U65" s="338" t="n"/>
      <c r="V65" s="380" t="n"/>
      <c r="W65" s="382" t="n"/>
      <c r="X65" s="338" t="n"/>
      <c r="Y65" s="338" t="n"/>
      <c r="Z65" s="338" t="n"/>
      <c r="AA65" s="338" t="n"/>
      <c r="AB65" s="338" t="n"/>
      <c r="AC65" s="338" t="n"/>
      <c r="AD65" s="338" t="n"/>
      <c r="AE65" s="338" t="n"/>
      <c r="AF65" s="338" t="n"/>
      <c r="AG65" s="338" t="n"/>
      <c r="AH65" s="338" t="n"/>
      <c r="AI65" s="338" t="n"/>
      <c r="AJ65" s="338" t="n"/>
      <c r="AK65" s="338" t="n"/>
      <c r="AL65" s="338" t="n"/>
      <c r="AM65" s="338" t="n"/>
      <c r="AN65" s="338" t="n"/>
      <c r="AO65" s="338" t="n"/>
      <c r="AP65" s="338" t="n"/>
      <c r="AQ65" s="338" t="n"/>
      <c r="AR65" s="338" t="n"/>
      <c r="AS65" s="338" t="n"/>
      <c r="AT65" s="338" t="n"/>
      <c r="AU65" s="338" t="n"/>
      <c r="AV65" s="338" t="n"/>
      <c r="AW65" s="338" t="n"/>
      <c r="AX65" s="338" t="n"/>
      <c r="AY65" s="338" t="n"/>
      <c r="AZ65" s="338" t="n"/>
      <c r="BA65" s="338" t="n"/>
      <c r="BB65" s="338" t="n"/>
      <c r="BC65" s="338" t="n"/>
      <c r="BD65" s="338" t="n"/>
      <c r="BE65" s="338" t="n"/>
      <c r="BF65" s="338" t="n"/>
      <c r="BG65" s="338" t="n"/>
      <c r="BH65" s="338" t="n"/>
      <c r="BI65" s="338" t="n"/>
      <c r="BJ65" s="338" t="n"/>
      <c r="BK65" s="338" t="n"/>
      <c r="BL65" s="338" t="n"/>
      <c r="BM65" s="338" t="n"/>
      <c r="BN65" s="338" t="n"/>
      <c r="BO65" s="338" t="n"/>
      <c r="BP65" s="338" t="n"/>
      <c r="BQ65" s="338" t="n"/>
      <c r="BR65" s="338" t="n"/>
      <c r="BS65" s="338" t="n"/>
      <c r="BT65" s="338" t="n"/>
      <c r="BU65" s="338" t="n"/>
      <c r="BV65" s="338" t="n"/>
      <c r="BW65" s="338" t="n"/>
      <c r="BX65" s="338" t="n"/>
      <c r="BY65" s="338" t="n"/>
      <c r="BZ65" s="338" t="n"/>
      <c r="CA65" s="338" t="n"/>
      <c r="CB65" s="338" t="n"/>
      <c r="CC65" s="383" t="n"/>
      <c r="CF65" s="253" t="inlineStr">
        <is>
          <t>時間内</t>
        </is>
      </c>
      <c r="CG65" s="384" t="n"/>
      <c r="CH65" s="384" t="n"/>
      <c r="CI65" s="385" t="n"/>
      <c r="CJ65" s="386">
        <f>IF(Q64="作業者1",H67-H64,0)</f>
        <v/>
      </c>
      <c r="CK65" s="387" t="n"/>
      <c r="CL65" s="387" t="n"/>
      <c r="CM65" s="387" t="n"/>
      <c r="CN65" s="388" t="n"/>
      <c r="CP65" s="253" t="inlineStr">
        <is>
          <t>時間内</t>
        </is>
      </c>
      <c r="CQ65" s="384" t="n"/>
      <c r="CR65" s="384" t="n"/>
      <c r="CS65" s="385" t="n"/>
      <c r="CT65" s="386">
        <f>IF(Q64="作業者2",H67-H64,0)</f>
        <v/>
      </c>
      <c r="CU65" s="387" t="n"/>
      <c r="CV65" s="387" t="n"/>
      <c r="CW65" s="387" t="n"/>
      <c r="CX65" s="388" t="n"/>
      <c r="CZ65" s="253" t="inlineStr">
        <is>
          <t>時間内</t>
        </is>
      </c>
      <c r="DA65" s="384" t="n"/>
      <c r="DB65" s="384" t="n"/>
      <c r="DC65" s="385" t="n"/>
      <c r="DD65" s="386">
        <f>IF(Q64="作業者3",H67-H64,0)</f>
        <v/>
      </c>
      <c r="DE65" s="387" t="n"/>
      <c r="DF65" s="387" t="n"/>
      <c r="DG65" s="387" t="n"/>
      <c r="DH65" s="388" t="n"/>
      <c r="DJ65" s="253" t="inlineStr">
        <is>
          <t>時間内</t>
        </is>
      </c>
      <c r="DK65" s="384" t="n"/>
      <c r="DL65" s="384" t="n"/>
      <c r="DM65" s="385" t="n"/>
      <c r="DN65" s="386">
        <f>IF(Q64="作業者4",H67-H64,0)</f>
        <v/>
      </c>
      <c r="DO65" s="387" t="n"/>
      <c r="DP65" s="387" t="n"/>
      <c r="DQ65" s="387" t="n"/>
      <c r="DR65" s="388" t="n"/>
      <c r="DT65" s="253" t="inlineStr">
        <is>
          <t>時間内</t>
        </is>
      </c>
      <c r="DU65" s="384" t="n"/>
      <c r="DV65" s="384" t="n"/>
      <c r="DW65" s="385" t="n"/>
      <c r="DX65" s="386">
        <f>IF(Q64="作業者5",H67-H64,0)</f>
        <v/>
      </c>
      <c r="DY65" s="387" t="n"/>
      <c r="DZ65" s="387" t="n"/>
      <c r="EA65" s="387" t="n"/>
      <c r="EB65" s="388" t="n"/>
    </row>
    <row r="66" ht="9" customHeight="1" s="337">
      <c r="B66" s="350" t="n"/>
      <c r="C66" s="338" t="n"/>
      <c r="D66" s="380" t="n"/>
      <c r="E66" s="23" t="n"/>
      <c r="F66" s="338" t="n"/>
      <c r="G66" s="24" t="n"/>
      <c r="H66" s="23" t="n"/>
      <c r="I66" s="338" t="n"/>
      <c r="J66" s="24" t="n"/>
      <c r="K66" s="23" t="n"/>
      <c r="L66" s="338" t="n"/>
      <c r="M66" s="24" t="n"/>
      <c r="N66" s="23" t="n"/>
      <c r="O66" s="338" t="n"/>
      <c r="P66" s="24" t="n"/>
      <c r="Q66" s="382" t="n"/>
      <c r="R66" s="338" t="n"/>
      <c r="S66" s="446" t="n"/>
      <c r="T66" s="382" t="n"/>
      <c r="U66" s="338" t="n"/>
      <c r="V66" s="380" t="n"/>
      <c r="W66" s="382" t="n"/>
      <c r="X66" s="338" t="n"/>
      <c r="Y66" s="338" t="n"/>
      <c r="Z66" s="338" t="n"/>
      <c r="AA66" s="338" t="n"/>
      <c r="AB66" s="338" t="n"/>
      <c r="AC66" s="338" t="n"/>
      <c r="AD66" s="338" t="n"/>
      <c r="AE66" s="338" t="n"/>
      <c r="AF66" s="338" t="n"/>
      <c r="AG66" s="338" t="n"/>
      <c r="AH66" s="338" t="n"/>
      <c r="AI66" s="338" t="n"/>
      <c r="AJ66" s="338" t="n"/>
      <c r="AK66" s="338" t="n"/>
      <c r="AL66" s="338" t="n"/>
      <c r="AM66" s="338" t="n"/>
      <c r="AN66" s="338" t="n"/>
      <c r="AO66" s="338" t="n"/>
      <c r="AP66" s="338" t="n"/>
      <c r="AQ66" s="338" t="n"/>
      <c r="AR66" s="338" t="n"/>
      <c r="AS66" s="338" t="n"/>
      <c r="AT66" s="338" t="n"/>
      <c r="AU66" s="338" t="n"/>
      <c r="AV66" s="338" t="n"/>
      <c r="AW66" s="338" t="n"/>
      <c r="AX66" s="338" t="n"/>
      <c r="AY66" s="338" t="n"/>
      <c r="AZ66" s="338" t="n"/>
      <c r="BA66" s="338" t="n"/>
      <c r="BB66" s="338" t="n"/>
      <c r="BC66" s="338" t="n"/>
      <c r="BD66" s="338" t="n"/>
      <c r="BE66" s="338" t="n"/>
      <c r="BF66" s="338" t="n"/>
      <c r="BG66" s="338" t="n"/>
      <c r="BH66" s="338" t="n"/>
      <c r="BI66" s="338" t="n"/>
      <c r="BJ66" s="338" t="n"/>
      <c r="BK66" s="338" t="n"/>
      <c r="BL66" s="338" t="n"/>
      <c r="BM66" s="338" t="n"/>
      <c r="BN66" s="338" t="n"/>
      <c r="BO66" s="338" t="n"/>
      <c r="BP66" s="338" t="n"/>
      <c r="BQ66" s="338" t="n"/>
      <c r="BR66" s="338" t="n"/>
      <c r="BS66" s="338" t="n"/>
      <c r="BT66" s="338" t="n"/>
      <c r="BU66" s="338" t="n"/>
      <c r="BV66" s="338" t="n"/>
      <c r="BW66" s="338" t="n"/>
      <c r="BX66" s="338" t="n"/>
      <c r="BY66" s="338" t="n"/>
      <c r="BZ66" s="338" t="n"/>
      <c r="CA66" s="338" t="n"/>
      <c r="CB66" s="338" t="n"/>
      <c r="CC66" s="383" t="n"/>
      <c r="CF66" s="253" t="inlineStr">
        <is>
          <t>時間外</t>
        </is>
      </c>
      <c r="CG66" s="384" t="n"/>
      <c r="CH66" s="384" t="n"/>
      <c r="CI66" s="385" t="n"/>
      <c r="CJ66" s="386">
        <f>IF(Q64="作業者1",K67-K64,0)</f>
        <v/>
      </c>
      <c r="CK66" s="387" t="n"/>
      <c r="CL66" s="387" t="n"/>
      <c r="CM66" s="387" t="n"/>
      <c r="CN66" s="388" t="n"/>
      <c r="CP66" s="253" t="inlineStr">
        <is>
          <t>時間外</t>
        </is>
      </c>
      <c r="CQ66" s="384" t="n"/>
      <c r="CR66" s="384" t="n"/>
      <c r="CS66" s="385" t="n"/>
      <c r="CT66" s="386">
        <f>IF(Q64="作業者2",K67-K64,0)</f>
        <v/>
      </c>
      <c r="CU66" s="387" t="n"/>
      <c r="CV66" s="387" t="n"/>
      <c r="CW66" s="387" t="n"/>
      <c r="CX66" s="388" t="n"/>
      <c r="CZ66" s="253" t="inlineStr">
        <is>
          <t>時間外</t>
        </is>
      </c>
      <c r="DA66" s="384" t="n"/>
      <c r="DB66" s="384" t="n"/>
      <c r="DC66" s="385" t="n"/>
      <c r="DD66" s="386">
        <f>IF(Q64="作業者3",K67-K64,0)</f>
        <v/>
      </c>
      <c r="DE66" s="387" t="n"/>
      <c r="DF66" s="387" t="n"/>
      <c r="DG66" s="387" t="n"/>
      <c r="DH66" s="388" t="n"/>
      <c r="DJ66" s="253" t="inlineStr">
        <is>
          <t>時間外</t>
        </is>
      </c>
      <c r="DK66" s="384" t="n"/>
      <c r="DL66" s="384" t="n"/>
      <c r="DM66" s="385" t="n"/>
      <c r="DN66" s="386">
        <f>IF(Q64="作業者4",K67-K64,0)</f>
        <v/>
      </c>
      <c r="DO66" s="387" t="n"/>
      <c r="DP66" s="387" t="n"/>
      <c r="DQ66" s="387" t="n"/>
      <c r="DR66" s="388" t="n"/>
      <c r="DT66" s="253" t="inlineStr">
        <is>
          <t>時間外</t>
        </is>
      </c>
      <c r="DU66" s="384" t="n"/>
      <c r="DV66" s="384" t="n"/>
      <c r="DW66" s="385" t="n"/>
      <c r="DX66" s="386">
        <f>IF(Q64="作業者5",K67-K64,0)</f>
        <v/>
      </c>
      <c r="DY66" s="387" t="n"/>
      <c r="DZ66" s="387" t="n"/>
      <c r="EA66" s="387" t="n"/>
      <c r="EB66" s="388" t="n"/>
    </row>
    <row r="67" ht="9" customHeight="1" s="337">
      <c r="B67" s="353" t="n"/>
      <c r="C67" s="339" t="n"/>
      <c r="D67" s="364" t="n"/>
      <c r="E67" s="412" t="n"/>
      <c r="F67" s="339" t="n"/>
      <c r="G67" s="364" t="n"/>
      <c r="H67" s="412" t="n"/>
      <c r="I67" s="339" t="n"/>
      <c r="J67" s="364" t="n"/>
      <c r="K67" s="412" t="n"/>
      <c r="L67" s="339" t="n"/>
      <c r="M67" s="364" t="n"/>
      <c r="N67" s="412" t="n"/>
      <c r="O67" s="339" t="n"/>
      <c r="P67" s="364" t="n"/>
      <c r="Q67" s="393" t="n"/>
      <c r="R67" s="390" t="n"/>
      <c r="S67" s="447" t="n"/>
      <c r="T67" s="365" t="n"/>
      <c r="U67" s="339" t="n"/>
      <c r="V67" s="364" t="n"/>
      <c r="W67" s="393" t="n"/>
      <c r="X67" s="390" t="n"/>
      <c r="Y67" s="390" t="n"/>
      <c r="Z67" s="390" t="n"/>
      <c r="AA67" s="390" t="n"/>
      <c r="AB67" s="390" t="n"/>
      <c r="AC67" s="390" t="n"/>
      <c r="AD67" s="390" t="n"/>
      <c r="AE67" s="390" t="n"/>
      <c r="AF67" s="390" t="n"/>
      <c r="AG67" s="390" t="n"/>
      <c r="AH67" s="390" t="n"/>
      <c r="AI67" s="390" t="n"/>
      <c r="AJ67" s="390" t="n"/>
      <c r="AK67" s="390" t="n"/>
      <c r="AL67" s="390" t="n"/>
      <c r="AM67" s="390" t="n"/>
      <c r="AN67" s="390" t="n"/>
      <c r="AO67" s="390" t="n"/>
      <c r="AP67" s="390" t="n"/>
      <c r="AQ67" s="390" t="n"/>
      <c r="AR67" s="390" t="n"/>
      <c r="AS67" s="390" t="n"/>
      <c r="AT67" s="390" t="n"/>
      <c r="AU67" s="390" t="n"/>
      <c r="AV67" s="390" t="n"/>
      <c r="AW67" s="390" t="n"/>
      <c r="AX67" s="390" t="n"/>
      <c r="AY67" s="390" t="n"/>
      <c r="AZ67" s="390" t="n"/>
      <c r="BA67" s="390" t="n"/>
      <c r="BB67" s="390" t="n"/>
      <c r="BC67" s="390" t="n"/>
      <c r="BD67" s="390" t="n"/>
      <c r="BE67" s="390" t="n"/>
      <c r="BF67" s="390" t="n"/>
      <c r="BG67" s="390" t="n"/>
      <c r="BH67" s="390" t="n"/>
      <c r="BI67" s="390" t="n"/>
      <c r="BJ67" s="390" t="n"/>
      <c r="BK67" s="390" t="n"/>
      <c r="BL67" s="390" t="n"/>
      <c r="BM67" s="390" t="n"/>
      <c r="BN67" s="390" t="n"/>
      <c r="BO67" s="390" t="n"/>
      <c r="BP67" s="390" t="n"/>
      <c r="BQ67" s="390" t="n"/>
      <c r="BR67" s="390" t="n"/>
      <c r="BS67" s="390" t="n"/>
      <c r="BT67" s="390" t="n"/>
      <c r="BU67" s="390" t="n"/>
      <c r="BV67" s="390" t="n"/>
      <c r="BW67" s="390" t="n"/>
      <c r="BX67" s="390" t="n"/>
      <c r="BY67" s="390" t="n"/>
      <c r="BZ67" s="390" t="n"/>
      <c r="CA67" s="390" t="n"/>
      <c r="CB67" s="390" t="n"/>
      <c r="CC67" s="394" t="n"/>
      <c r="CF67" s="254" t="inlineStr">
        <is>
          <t>休日</t>
        </is>
      </c>
      <c r="CG67" s="395" t="n"/>
      <c r="CH67" s="395" t="n"/>
      <c r="CI67" s="396" t="n"/>
      <c r="CJ67" s="397">
        <f>IF(Q64="作業者1",N67-N64,0)</f>
        <v/>
      </c>
      <c r="CK67" s="395" t="n"/>
      <c r="CL67" s="395" t="n"/>
      <c r="CM67" s="395" t="n"/>
      <c r="CN67" s="396" t="n"/>
      <c r="CP67" s="254" t="inlineStr">
        <is>
          <t>休日</t>
        </is>
      </c>
      <c r="CQ67" s="395" t="n"/>
      <c r="CR67" s="395" t="n"/>
      <c r="CS67" s="396" t="n"/>
      <c r="CT67" s="397">
        <f>IF(Q64="作業者2",N67-N64,0)</f>
        <v/>
      </c>
      <c r="CU67" s="395" t="n"/>
      <c r="CV67" s="395" t="n"/>
      <c r="CW67" s="395" t="n"/>
      <c r="CX67" s="396" t="n"/>
      <c r="CZ67" s="254" t="inlineStr">
        <is>
          <t>休日</t>
        </is>
      </c>
      <c r="DA67" s="395" t="n"/>
      <c r="DB67" s="395" t="n"/>
      <c r="DC67" s="396" t="n"/>
      <c r="DD67" s="397">
        <f>IF(Q64="作業者3",N67-N64,0)</f>
        <v/>
      </c>
      <c r="DE67" s="395" t="n"/>
      <c r="DF67" s="395" t="n"/>
      <c r="DG67" s="395" t="n"/>
      <c r="DH67" s="396" t="n"/>
      <c r="DJ67" s="254" t="inlineStr">
        <is>
          <t>休日</t>
        </is>
      </c>
      <c r="DK67" s="395" t="n"/>
      <c r="DL67" s="395" t="n"/>
      <c r="DM67" s="396" t="n"/>
      <c r="DN67" s="397">
        <f>IF(Q64="作業者4",N67-N64,0)</f>
        <v/>
      </c>
      <c r="DO67" s="395" t="n"/>
      <c r="DP67" s="395" t="n"/>
      <c r="DQ67" s="395" t="n"/>
      <c r="DR67" s="396" t="n"/>
      <c r="DT67" s="254" t="inlineStr">
        <is>
          <t>休日</t>
        </is>
      </c>
      <c r="DU67" s="395" t="n"/>
      <c r="DV67" s="395" t="n"/>
      <c r="DW67" s="396" t="n"/>
      <c r="DX67" s="397">
        <f>IF(Q64="作業者5",N67-N64,0)</f>
        <v/>
      </c>
      <c r="DY67" s="395" t="n"/>
      <c r="DZ67" s="395" t="n"/>
      <c r="EA67" s="395" t="n"/>
      <c r="EB67" s="396" t="n"/>
    </row>
    <row r="68" ht="9.75" customHeight="1" s="337">
      <c r="B68" s="413" t="n"/>
      <c r="C68" s="413" t="n"/>
      <c r="D68" s="413" t="n"/>
      <c r="E68" s="414" t="n"/>
      <c r="F68" s="27" t="n"/>
      <c r="G68" s="27" t="n"/>
      <c r="H68" s="414" t="n"/>
      <c r="I68" s="27" t="n"/>
      <c r="J68" s="27" t="n"/>
      <c r="K68" s="414" t="n"/>
      <c r="L68" s="27" t="n"/>
      <c r="M68" s="27" t="n"/>
      <c r="N68" s="414" t="n"/>
      <c r="O68" s="27" t="n"/>
      <c r="P68" s="27" t="n"/>
      <c r="Q68" s="128" t="n"/>
      <c r="R68" s="128" t="n"/>
      <c r="S68" s="128" t="n"/>
      <c r="T68" s="128" t="n"/>
      <c r="U68" s="128" t="n"/>
      <c r="V68" s="128" t="n"/>
      <c r="W68" s="29" t="n"/>
      <c r="X68" s="29" t="n"/>
      <c r="Y68" s="29" t="n"/>
      <c r="Z68" s="29" t="n"/>
      <c r="AA68" s="29" t="n"/>
      <c r="AB68" s="29" t="n"/>
      <c r="AC68" s="29" t="n"/>
      <c r="AD68" s="29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14" t="n"/>
      <c r="BX68" s="14" t="n"/>
      <c r="BY68" s="14" t="n"/>
      <c r="BZ68" s="14" t="n"/>
      <c r="CA68" s="415" t="n"/>
      <c r="CB68" s="87" t="n"/>
      <c r="CC68" s="87" t="n"/>
      <c r="CD68" s="87" t="n"/>
      <c r="CE68" s="416" t="n"/>
      <c r="CF68" s="34" t="n"/>
      <c r="CG68" s="34" t="n"/>
    </row>
    <row r="69" ht="14.1" customHeight="1" s="337">
      <c r="B69" s="417" t="inlineStr">
        <is>
          <t>月／日</t>
        </is>
      </c>
      <c r="C69" s="342" t="n"/>
      <c r="D69" s="356" t="n"/>
      <c r="E69" s="357" t="inlineStr">
        <is>
          <t>移 動</t>
        </is>
      </c>
      <c r="F69" s="342" t="n"/>
      <c r="G69" s="356" t="n"/>
      <c r="H69" s="358" t="inlineStr">
        <is>
          <t>作業内　(平日)</t>
        </is>
      </c>
      <c r="I69" s="342" t="n"/>
      <c r="J69" s="356" t="n"/>
      <c r="K69" s="358" t="inlineStr">
        <is>
          <t>作業外　(平日)</t>
        </is>
      </c>
      <c r="L69" s="342" t="n"/>
      <c r="M69" s="356" t="n"/>
      <c r="N69" s="357" t="inlineStr">
        <is>
          <t>休日</t>
        </is>
      </c>
      <c r="O69" s="342" t="n"/>
      <c r="P69" s="356" t="n"/>
      <c r="Q69" s="359" t="inlineStr">
        <is>
          <t>作業者</t>
        </is>
      </c>
      <c r="R69" s="342" t="n"/>
      <c r="S69" s="356" t="n"/>
      <c r="T69" s="359" t="inlineStr">
        <is>
          <t>場  所</t>
        </is>
      </c>
      <c r="U69" s="342" t="n"/>
      <c r="V69" s="356" t="n"/>
      <c r="W69" s="360" t="inlineStr">
        <is>
          <t xml:space="preserve">   作　　　　    　　業　　　    　 　内　　　  　  　　容　</t>
        </is>
      </c>
      <c r="X69" s="342" t="n"/>
      <c r="Y69" s="342" t="n"/>
      <c r="Z69" s="342" t="n"/>
      <c r="AA69" s="342" t="n"/>
      <c r="AB69" s="342" t="n"/>
      <c r="AC69" s="342" t="n"/>
      <c r="AD69" s="342" t="n"/>
      <c r="AE69" s="342" t="n"/>
      <c r="AF69" s="342" t="n"/>
      <c r="AG69" s="342" t="n"/>
      <c r="AH69" s="342" t="n"/>
      <c r="AI69" s="342" t="n"/>
      <c r="AJ69" s="342" t="n"/>
      <c r="AK69" s="342" t="n"/>
      <c r="AL69" s="342" t="n"/>
      <c r="AM69" s="342" t="n"/>
      <c r="AN69" s="342" t="n"/>
      <c r="AO69" s="342" t="n"/>
      <c r="AP69" s="342" t="n"/>
      <c r="AQ69" s="342" t="n"/>
      <c r="AR69" s="342" t="n"/>
      <c r="AS69" s="342" t="n"/>
      <c r="AT69" s="342" t="n"/>
      <c r="AU69" s="342" t="n"/>
      <c r="AV69" s="342" t="n"/>
      <c r="AW69" s="342" t="n"/>
      <c r="AX69" s="342" t="n"/>
      <c r="AY69" s="342" t="n"/>
      <c r="AZ69" s="342" t="n"/>
      <c r="BA69" s="342" t="n"/>
      <c r="BB69" s="342" t="n"/>
      <c r="BC69" s="342" t="n"/>
      <c r="BD69" s="342" t="n"/>
      <c r="BE69" s="342" t="n"/>
      <c r="BF69" s="342" t="n"/>
      <c r="BG69" s="342" t="n"/>
      <c r="BH69" s="342" t="n"/>
      <c r="BI69" s="342" t="n"/>
      <c r="BJ69" s="342" t="n"/>
      <c r="BK69" s="342" t="n"/>
      <c r="BL69" s="342" t="n"/>
      <c r="BM69" s="342" t="n"/>
      <c r="BN69" s="342" t="n"/>
      <c r="BO69" s="342" t="n"/>
      <c r="BP69" s="342" t="n"/>
      <c r="BQ69" s="342" t="n"/>
      <c r="BR69" s="342" t="n"/>
      <c r="BS69" s="342" t="n"/>
      <c r="BT69" s="342" t="n"/>
      <c r="BU69" s="342" t="n"/>
      <c r="BV69" s="342" t="n"/>
      <c r="BW69" s="342" t="n"/>
      <c r="BX69" s="342" t="n"/>
      <c r="BY69" s="342" t="n"/>
      <c r="BZ69" s="342" t="n"/>
      <c r="CA69" s="342" t="n"/>
      <c r="CB69" s="342" t="n"/>
      <c r="CC69" s="343" t="n"/>
      <c r="CF69" s="361" t="inlineStr">
        <is>
          <t>所要時間　作業者1</t>
        </is>
      </c>
      <c r="CG69" s="362" t="n"/>
      <c r="CH69" s="362" t="n"/>
      <c r="CI69" s="362" t="n"/>
      <c r="CJ69" s="362" t="n"/>
      <c r="CK69" s="362" t="n"/>
      <c r="CL69" s="362" t="n"/>
      <c r="CM69" s="362" t="n"/>
      <c r="CN69" s="363" t="n"/>
      <c r="CP69" s="361" t="inlineStr">
        <is>
          <t>所要時間　作業者2</t>
        </is>
      </c>
      <c r="CQ69" s="362" t="n"/>
      <c r="CR69" s="362" t="n"/>
      <c r="CS69" s="362" t="n"/>
      <c r="CT69" s="362" t="n"/>
      <c r="CU69" s="362" t="n"/>
      <c r="CV69" s="362" t="n"/>
      <c r="CW69" s="362" t="n"/>
      <c r="CX69" s="363" t="n"/>
      <c r="CZ69" s="361" t="inlineStr">
        <is>
          <t>所要時間　作業者3</t>
        </is>
      </c>
      <c r="DA69" s="362" t="n"/>
      <c r="DB69" s="362" t="n"/>
      <c r="DC69" s="362" t="n"/>
      <c r="DD69" s="362" t="n"/>
      <c r="DE69" s="362" t="n"/>
      <c r="DF69" s="362" t="n"/>
      <c r="DG69" s="362" t="n"/>
      <c r="DH69" s="363" t="n"/>
      <c r="DJ69" s="361" t="inlineStr">
        <is>
          <t>所要時間　作業者4</t>
        </is>
      </c>
      <c r="DK69" s="362" t="n"/>
      <c r="DL69" s="362" t="n"/>
      <c r="DM69" s="362" t="n"/>
      <c r="DN69" s="362" t="n"/>
      <c r="DO69" s="362" t="n"/>
      <c r="DP69" s="362" t="n"/>
      <c r="DQ69" s="362" t="n"/>
      <c r="DR69" s="363" t="n"/>
      <c r="DT69" s="361" t="inlineStr">
        <is>
          <t>所要時間　作業者5</t>
        </is>
      </c>
      <c r="DU69" s="362" t="n"/>
      <c r="DV69" s="362" t="n"/>
      <c r="DW69" s="362" t="n"/>
      <c r="DX69" s="362" t="n"/>
      <c r="DY69" s="362" t="n"/>
      <c r="DZ69" s="362" t="n"/>
      <c r="EA69" s="362" t="n"/>
      <c r="EB69" s="363" t="n"/>
    </row>
    <row r="70" ht="14.1" customHeight="1" s="337">
      <c r="B70" s="353" t="n"/>
      <c r="C70" s="339" t="n"/>
      <c r="D70" s="364" t="n"/>
      <c r="E70" s="365" t="n"/>
      <c r="F70" s="339" t="n"/>
      <c r="G70" s="364" t="n"/>
      <c r="H70" s="365" t="n"/>
      <c r="I70" s="339" t="n"/>
      <c r="J70" s="364" t="n"/>
      <c r="K70" s="365" t="n"/>
      <c r="L70" s="339" t="n"/>
      <c r="M70" s="364" t="n"/>
      <c r="N70" s="365" t="n"/>
      <c r="O70" s="339" t="n"/>
      <c r="P70" s="364" t="n"/>
      <c r="Q70" s="365" t="n"/>
      <c r="R70" s="339" t="n"/>
      <c r="S70" s="364" t="n"/>
      <c r="T70" s="365" t="n"/>
      <c r="U70" s="339" t="n"/>
      <c r="V70" s="364" t="n"/>
      <c r="W70" s="365" t="n"/>
      <c r="X70" s="339" t="n"/>
      <c r="Y70" s="339" t="n"/>
      <c r="Z70" s="339" t="n"/>
      <c r="AA70" s="339" t="n"/>
      <c r="AB70" s="339" t="n"/>
      <c r="AC70" s="339" t="n"/>
      <c r="AD70" s="339" t="n"/>
      <c r="AE70" s="339" t="n"/>
      <c r="AF70" s="339" t="n"/>
      <c r="AG70" s="339" t="n"/>
      <c r="AH70" s="339" t="n"/>
      <c r="AI70" s="339" t="n"/>
      <c r="AJ70" s="339" t="n"/>
      <c r="AK70" s="339" t="n"/>
      <c r="AL70" s="339" t="n"/>
      <c r="AM70" s="339" t="n"/>
      <c r="AN70" s="339" t="n"/>
      <c r="AO70" s="339" t="n"/>
      <c r="AP70" s="339" t="n"/>
      <c r="AQ70" s="339" t="n"/>
      <c r="AR70" s="339" t="n"/>
      <c r="AS70" s="339" t="n"/>
      <c r="AT70" s="339" t="n"/>
      <c r="AU70" s="339" t="n"/>
      <c r="AV70" s="339" t="n"/>
      <c r="AW70" s="339" t="n"/>
      <c r="AX70" s="339" t="n"/>
      <c r="AY70" s="339" t="n"/>
      <c r="AZ70" s="339" t="n"/>
      <c r="BA70" s="339" t="n"/>
      <c r="BB70" s="339" t="n"/>
      <c r="BC70" s="339" t="n"/>
      <c r="BD70" s="339" t="n"/>
      <c r="BE70" s="339" t="n"/>
      <c r="BF70" s="339" t="n"/>
      <c r="BG70" s="339" t="n"/>
      <c r="BH70" s="339" t="n"/>
      <c r="BI70" s="339" t="n"/>
      <c r="BJ70" s="339" t="n"/>
      <c r="BK70" s="339" t="n"/>
      <c r="BL70" s="339" t="n"/>
      <c r="BM70" s="339" t="n"/>
      <c r="BN70" s="339" t="n"/>
      <c r="BO70" s="339" t="n"/>
      <c r="BP70" s="339" t="n"/>
      <c r="BQ70" s="339" t="n"/>
      <c r="BR70" s="339" t="n"/>
      <c r="BS70" s="339" t="n"/>
      <c r="BT70" s="339" t="n"/>
      <c r="BU70" s="339" t="n"/>
      <c r="BV70" s="339" t="n"/>
      <c r="BW70" s="339" t="n"/>
      <c r="BX70" s="339" t="n"/>
      <c r="BY70" s="339" t="n"/>
      <c r="BZ70" s="339" t="n"/>
      <c r="CA70" s="339" t="n"/>
      <c r="CB70" s="339" t="n"/>
      <c r="CC70" s="354" t="n"/>
      <c r="CF70" s="366" t="n"/>
      <c r="CG70" s="367" t="n"/>
      <c r="CH70" s="367" t="n"/>
      <c r="CI70" s="367" t="n"/>
      <c r="CJ70" s="367" t="n"/>
      <c r="CK70" s="367" t="n"/>
      <c r="CL70" s="367" t="n"/>
      <c r="CM70" s="367" t="n"/>
      <c r="CN70" s="368" t="n"/>
      <c r="CP70" s="366" t="n"/>
      <c r="CQ70" s="367" t="n"/>
      <c r="CR70" s="367" t="n"/>
      <c r="CS70" s="367" t="n"/>
      <c r="CT70" s="367" t="n"/>
      <c r="CU70" s="367" t="n"/>
      <c r="CV70" s="367" t="n"/>
      <c r="CW70" s="367" t="n"/>
      <c r="CX70" s="368" t="n"/>
      <c r="CZ70" s="366" t="n"/>
      <c r="DA70" s="367" t="n"/>
      <c r="DB70" s="367" t="n"/>
      <c r="DC70" s="367" t="n"/>
      <c r="DD70" s="367" t="n"/>
      <c r="DE70" s="367" t="n"/>
      <c r="DF70" s="367" t="n"/>
      <c r="DG70" s="367" t="n"/>
      <c r="DH70" s="368" t="n"/>
      <c r="DJ70" s="366" t="n"/>
      <c r="DK70" s="367" t="n"/>
      <c r="DL70" s="367" t="n"/>
      <c r="DM70" s="367" t="n"/>
      <c r="DN70" s="367" t="n"/>
      <c r="DO70" s="367" t="n"/>
      <c r="DP70" s="367" t="n"/>
      <c r="DQ70" s="367" t="n"/>
      <c r="DR70" s="368" t="n"/>
      <c r="DT70" s="366" t="n"/>
      <c r="DU70" s="367" t="n"/>
      <c r="DV70" s="367" t="n"/>
      <c r="DW70" s="367" t="n"/>
      <c r="DX70" s="367" t="n"/>
      <c r="DY70" s="367" t="n"/>
      <c r="DZ70" s="367" t="n"/>
      <c r="EA70" s="367" t="n"/>
      <c r="EB70" s="368" t="n"/>
    </row>
    <row r="71" ht="9" customHeight="1" s="337">
      <c r="B71" s="369" t="n"/>
      <c r="C71" s="342" t="n"/>
      <c r="D71" s="356" t="n"/>
      <c r="E71" s="370" t="n"/>
      <c r="F71" s="342" t="n"/>
      <c r="G71" s="356" t="n"/>
      <c r="H71" s="370" t="n"/>
      <c r="I71" s="342" t="n"/>
      <c r="J71" s="356" t="n"/>
      <c r="K71" s="370" t="n"/>
      <c r="L71" s="342" t="n"/>
      <c r="M71" s="356" t="n"/>
      <c r="N71" s="370" t="n"/>
      <c r="O71" s="342" t="n"/>
      <c r="P71" s="356" t="n"/>
      <c r="Q71" s="448" t="n"/>
      <c r="R71" s="342" t="n"/>
      <c r="S71" s="356" t="n"/>
      <c r="T71" s="374" t="n"/>
      <c r="U71" s="342" t="n"/>
      <c r="V71" s="356" t="n"/>
      <c r="W71" s="442" t="n"/>
      <c r="X71" s="338" t="n"/>
      <c r="Y71" s="338" t="n"/>
      <c r="Z71" s="338" t="n"/>
      <c r="AA71" s="338" t="n"/>
      <c r="AB71" s="338" t="n"/>
      <c r="AC71" s="338" t="n"/>
      <c r="AD71" s="338" t="n"/>
      <c r="AE71" s="338" t="n"/>
      <c r="AF71" s="338" t="n"/>
      <c r="AG71" s="338" t="n"/>
      <c r="AH71" s="338" t="n"/>
      <c r="AI71" s="338" t="n"/>
      <c r="AJ71" s="338" t="n"/>
      <c r="AK71" s="338" t="n"/>
      <c r="AL71" s="338" t="n"/>
      <c r="AM71" s="338" t="n"/>
      <c r="AN71" s="338" t="n"/>
      <c r="AO71" s="338" t="n"/>
      <c r="AP71" s="338" t="n"/>
      <c r="AQ71" s="338" t="n"/>
      <c r="AR71" s="338" t="n"/>
      <c r="AS71" s="338" t="n"/>
      <c r="AT71" s="338" t="n"/>
      <c r="AU71" s="338" t="n"/>
      <c r="AV71" s="338" t="n"/>
      <c r="AW71" s="338" t="n"/>
      <c r="AX71" s="338" t="n"/>
      <c r="AY71" s="338" t="n"/>
      <c r="AZ71" s="338" t="n"/>
      <c r="BA71" s="338" t="n"/>
      <c r="BB71" s="338" t="n"/>
      <c r="BC71" s="338" t="n"/>
      <c r="BD71" s="338" t="n"/>
      <c r="BE71" s="338" t="n"/>
      <c r="BF71" s="338" t="n"/>
      <c r="BG71" s="338" t="n"/>
      <c r="BH71" s="338" t="n"/>
      <c r="BI71" s="338" t="n"/>
      <c r="BJ71" s="338" t="n"/>
      <c r="BK71" s="338" t="n"/>
      <c r="BL71" s="338" t="n"/>
      <c r="BM71" s="338" t="n"/>
      <c r="BN71" s="338" t="n"/>
      <c r="BO71" s="338" t="n"/>
      <c r="BP71" s="338" t="n"/>
      <c r="BQ71" s="338" t="n"/>
      <c r="BR71" s="338" t="n"/>
      <c r="BS71" s="338" t="n"/>
      <c r="BT71" s="338" t="n"/>
      <c r="BU71" s="338" t="n"/>
      <c r="BV71" s="338" t="n"/>
      <c r="BW71" s="338" t="n"/>
      <c r="BX71" s="338" t="n"/>
      <c r="BY71" s="338" t="n"/>
      <c r="BZ71" s="338" t="n"/>
      <c r="CA71" s="338" t="n"/>
      <c r="CB71" s="338" t="n"/>
      <c r="CC71" s="383" t="n"/>
      <c r="CF71" s="248" t="inlineStr">
        <is>
          <t>移動</t>
        </is>
      </c>
      <c r="CG71" s="377" t="n"/>
      <c r="CH71" s="377" t="n"/>
      <c r="CI71" s="378" t="n"/>
      <c r="CJ71" s="379">
        <f>IF(Q71="作業者1",E74-E71,0)</f>
        <v/>
      </c>
      <c r="CK71" s="377" t="n"/>
      <c r="CL71" s="377" t="n"/>
      <c r="CM71" s="377" t="n"/>
      <c r="CN71" s="378" t="n"/>
      <c r="CP71" s="248" t="inlineStr">
        <is>
          <t>移動</t>
        </is>
      </c>
      <c r="CQ71" s="377" t="n"/>
      <c r="CR71" s="377" t="n"/>
      <c r="CS71" s="378" t="n"/>
      <c r="CT71" s="379">
        <f>IF(Q71="作業者2",E74-E71,0)</f>
        <v/>
      </c>
      <c r="CU71" s="377" t="n"/>
      <c r="CV71" s="377" t="n"/>
      <c r="CW71" s="377" t="n"/>
      <c r="CX71" s="378" t="n"/>
      <c r="CZ71" s="248" t="inlineStr">
        <is>
          <t>移動</t>
        </is>
      </c>
      <c r="DA71" s="377" t="n"/>
      <c r="DB71" s="377" t="n"/>
      <c r="DC71" s="378" t="n"/>
      <c r="DD71" s="379">
        <f>IF(Q71="作業者3",E74-E71,0)</f>
        <v/>
      </c>
      <c r="DE71" s="377" t="n"/>
      <c r="DF71" s="377" t="n"/>
      <c r="DG71" s="377" t="n"/>
      <c r="DH71" s="378" t="n"/>
      <c r="DJ71" s="248" t="inlineStr">
        <is>
          <t>移動</t>
        </is>
      </c>
      <c r="DK71" s="377" t="n"/>
      <c r="DL71" s="377" t="n"/>
      <c r="DM71" s="378" t="n"/>
      <c r="DN71" s="379">
        <f>IF(Q71="作業者4",E74-E71,0)</f>
        <v/>
      </c>
      <c r="DO71" s="377" t="n"/>
      <c r="DP71" s="377" t="n"/>
      <c r="DQ71" s="377" t="n"/>
      <c r="DR71" s="378" t="n"/>
      <c r="DT71" s="248" t="inlineStr">
        <is>
          <t>移動</t>
        </is>
      </c>
      <c r="DU71" s="377" t="n"/>
      <c r="DV71" s="377" t="n"/>
      <c r="DW71" s="378" t="n"/>
      <c r="DX71" s="379">
        <f>IF(Q71="作業者5",E74-E71,0)</f>
        <v/>
      </c>
      <c r="DY71" s="377" t="n"/>
      <c r="DZ71" s="377" t="n"/>
      <c r="EA71" s="377" t="n"/>
      <c r="EB71" s="378" t="n"/>
    </row>
    <row r="72" ht="9" customHeight="1" s="337">
      <c r="B72" s="350" t="n"/>
      <c r="C72" s="338" t="n"/>
      <c r="D72" s="380" t="n"/>
      <c r="E72" s="381" t="n"/>
      <c r="F72" s="122" t="inlineStr">
        <is>
          <t>～</t>
        </is>
      </c>
      <c r="G72" s="22" t="n"/>
      <c r="H72" s="381" t="n"/>
      <c r="I72" s="122" t="inlineStr">
        <is>
          <t>～</t>
        </is>
      </c>
      <c r="J72" s="22" t="n"/>
      <c r="K72" s="381" t="n"/>
      <c r="L72" s="122" t="inlineStr">
        <is>
          <t>～</t>
        </is>
      </c>
      <c r="M72" s="22" t="n"/>
      <c r="N72" s="381" t="n"/>
      <c r="O72" s="122" t="inlineStr">
        <is>
          <t>～</t>
        </is>
      </c>
      <c r="P72" s="22" t="n"/>
      <c r="Q72" s="382" t="n"/>
      <c r="R72" s="338" t="n"/>
      <c r="S72" s="380" t="n"/>
      <c r="T72" s="382" t="n"/>
      <c r="U72" s="338" t="n"/>
      <c r="V72" s="380" t="n"/>
      <c r="W72" s="382" t="n"/>
      <c r="X72" s="338" t="n"/>
      <c r="Y72" s="338" t="n"/>
      <c r="Z72" s="338" t="n"/>
      <c r="AA72" s="338" t="n"/>
      <c r="AB72" s="338" t="n"/>
      <c r="AC72" s="338" t="n"/>
      <c r="AD72" s="338" t="n"/>
      <c r="AE72" s="338" t="n"/>
      <c r="AF72" s="338" t="n"/>
      <c r="AG72" s="338" t="n"/>
      <c r="AH72" s="338" t="n"/>
      <c r="AI72" s="338" t="n"/>
      <c r="AJ72" s="338" t="n"/>
      <c r="AK72" s="338" t="n"/>
      <c r="AL72" s="338" t="n"/>
      <c r="AM72" s="338" t="n"/>
      <c r="AN72" s="338" t="n"/>
      <c r="AO72" s="338" t="n"/>
      <c r="AP72" s="338" t="n"/>
      <c r="AQ72" s="338" t="n"/>
      <c r="AR72" s="338" t="n"/>
      <c r="AS72" s="338" t="n"/>
      <c r="AT72" s="338" t="n"/>
      <c r="AU72" s="338" t="n"/>
      <c r="AV72" s="338" t="n"/>
      <c r="AW72" s="338" t="n"/>
      <c r="AX72" s="338" t="n"/>
      <c r="AY72" s="338" t="n"/>
      <c r="AZ72" s="338" t="n"/>
      <c r="BA72" s="338" t="n"/>
      <c r="BB72" s="338" t="n"/>
      <c r="BC72" s="338" t="n"/>
      <c r="BD72" s="338" t="n"/>
      <c r="BE72" s="338" t="n"/>
      <c r="BF72" s="338" t="n"/>
      <c r="BG72" s="338" t="n"/>
      <c r="BH72" s="338" t="n"/>
      <c r="BI72" s="338" t="n"/>
      <c r="BJ72" s="338" t="n"/>
      <c r="BK72" s="338" t="n"/>
      <c r="BL72" s="338" t="n"/>
      <c r="BM72" s="338" t="n"/>
      <c r="BN72" s="338" t="n"/>
      <c r="BO72" s="338" t="n"/>
      <c r="BP72" s="338" t="n"/>
      <c r="BQ72" s="338" t="n"/>
      <c r="BR72" s="338" t="n"/>
      <c r="BS72" s="338" t="n"/>
      <c r="BT72" s="338" t="n"/>
      <c r="BU72" s="338" t="n"/>
      <c r="BV72" s="338" t="n"/>
      <c r="BW72" s="338" t="n"/>
      <c r="BX72" s="338" t="n"/>
      <c r="BY72" s="338" t="n"/>
      <c r="BZ72" s="338" t="n"/>
      <c r="CA72" s="338" t="n"/>
      <c r="CB72" s="338" t="n"/>
      <c r="CC72" s="383" t="n"/>
      <c r="CF72" s="253" t="inlineStr">
        <is>
          <t>時間内</t>
        </is>
      </c>
      <c r="CG72" s="384" t="n"/>
      <c r="CH72" s="384" t="n"/>
      <c r="CI72" s="385" t="n"/>
      <c r="CJ72" s="386">
        <f>IF(Q71="作業者1",H74-H71,0)</f>
        <v/>
      </c>
      <c r="CK72" s="387" t="n"/>
      <c r="CL72" s="387" t="n"/>
      <c r="CM72" s="387" t="n"/>
      <c r="CN72" s="388" t="n"/>
      <c r="CP72" s="253" t="inlineStr">
        <is>
          <t>時間内</t>
        </is>
      </c>
      <c r="CQ72" s="384" t="n"/>
      <c r="CR72" s="384" t="n"/>
      <c r="CS72" s="385" t="n"/>
      <c r="CT72" s="386">
        <f>IF(Q71="作業者2",H74-H71,0)</f>
        <v/>
      </c>
      <c r="CU72" s="387" t="n"/>
      <c r="CV72" s="387" t="n"/>
      <c r="CW72" s="387" t="n"/>
      <c r="CX72" s="388" t="n"/>
      <c r="CZ72" s="253" t="inlineStr">
        <is>
          <t>時間内</t>
        </is>
      </c>
      <c r="DA72" s="384" t="n"/>
      <c r="DB72" s="384" t="n"/>
      <c r="DC72" s="385" t="n"/>
      <c r="DD72" s="386">
        <f>IF(Q71="作業者3",H74-H71,0)</f>
        <v/>
      </c>
      <c r="DE72" s="387" t="n"/>
      <c r="DF72" s="387" t="n"/>
      <c r="DG72" s="387" t="n"/>
      <c r="DH72" s="388" t="n"/>
      <c r="DJ72" s="253" t="inlineStr">
        <is>
          <t>時間内</t>
        </is>
      </c>
      <c r="DK72" s="384" t="n"/>
      <c r="DL72" s="384" t="n"/>
      <c r="DM72" s="385" t="n"/>
      <c r="DN72" s="386">
        <f>IF(Q71="作業者4",H74-H71,0)</f>
        <v/>
      </c>
      <c r="DO72" s="387" t="n"/>
      <c r="DP72" s="387" t="n"/>
      <c r="DQ72" s="387" t="n"/>
      <c r="DR72" s="388" t="n"/>
      <c r="DT72" s="253" t="inlineStr">
        <is>
          <t>時間内</t>
        </is>
      </c>
      <c r="DU72" s="384" t="n"/>
      <c r="DV72" s="384" t="n"/>
      <c r="DW72" s="385" t="n"/>
      <c r="DX72" s="386">
        <f>IF(Q71="作業者5",H74-H71,0)</f>
        <v/>
      </c>
      <c r="DY72" s="387" t="n"/>
      <c r="DZ72" s="387" t="n"/>
      <c r="EA72" s="387" t="n"/>
      <c r="EB72" s="388" t="n"/>
    </row>
    <row r="73" ht="9" customHeight="1" s="337">
      <c r="B73" s="350" t="n"/>
      <c r="C73" s="338" t="n"/>
      <c r="D73" s="380" t="n"/>
      <c r="E73" s="23" t="n"/>
      <c r="F73" s="338" t="n"/>
      <c r="G73" s="24" t="n"/>
      <c r="H73" s="23" t="n"/>
      <c r="I73" s="338" t="n"/>
      <c r="J73" s="24" t="n"/>
      <c r="K73" s="23" t="n"/>
      <c r="L73" s="338" t="n"/>
      <c r="M73" s="24" t="n"/>
      <c r="N73" s="23" t="n"/>
      <c r="O73" s="338" t="n"/>
      <c r="P73" s="24" t="n"/>
      <c r="Q73" s="382" t="n"/>
      <c r="R73" s="338" t="n"/>
      <c r="S73" s="380" t="n"/>
      <c r="T73" s="382" t="n"/>
      <c r="U73" s="338" t="n"/>
      <c r="V73" s="380" t="n"/>
      <c r="W73" s="382" t="n"/>
      <c r="X73" s="338" t="n"/>
      <c r="Y73" s="338" t="n"/>
      <c r="Z73" s="338" t="n"/>
      <c r="AA73" s="338" t="n"/>
      <c r="AB73" s="338" t="n"/>
      <c r="AC73" s="338" t="n"/>
      <c r="AD73" s="338" t="n"/>
      <c r="AE73" s="338" t="n"/>
      <c r="AF73" s="338" t="n"/>
      <c r="AG73" s="338" t="n"/>
      <c r="AH73" s="338" t="n"/>
      <c r="AI73" s="338" t="n"/>
      <c r="AJ73" s="338" t="n"/>
      <c r="AK73" s="338" t="n"/>
      <c r="AL73" s="338" t="n"/>
      <c r="AM73" s="338" t="n"/>
      <c r="AN73" s="338" t="n"/>
      <c r="AO73" s="338" t="n"/>
      <c r="AP73" s="338" t="n"/>
      <c r="AQ73" s="338" t="n"/>
      <c r="AR73" s="338" t="n"/>
      <c r="AS73" s="338" t="n"/>
      <c r="AT73" s="338" t="n"/>
      <c r="AU73" s="338" t="n"/>
      <c r="AV73" s="338" t="n"/>
      <c r="AW73" s="338" t="n"/>
      <c r="AX73" s="338" t="n"/>
      <c r="AY73" s="338" t="n"/>
      <c r="AZ73" s="338" t="n"/>
      <c r="BA73" s="338" t="n"/>
      <c r="BB73" s="338" t="n"/>
      <c r="BC73" s="338" t="n"/>
      <c r="BD73" s="338" t="n"/>
      <c r="BE73" s="338" t="n"/>
      <c r="BF73" s="338" t="n"/>
      <c r="BG73" s="338" t="n"/>
      <c r="BH73" s="338" t="n"/>
      <c r="BI73" s="338" t="n"/>
      <c r="BJ73" s="338" t="n"/>
      <c r="BK73" s="338" t="n"/>
      <c r="BL73" s="338" t="n"/>
      <c r="BM73" s="338" t="n"/>
      <c r="BN73" s="338" t="n"/>
      <c r="BO73" s="338" t="n"/>
      <c r="BP73" s="338" t="n"/>
      <c r="BQ73" s="338" t="n"/>
      <c r="BR73" s="338" t="n"/>
      <c r="BS73" s="338" t="n"/>
      <c r="BT73" s="338" t="n"/>
      <c r="BU73" s="338" t="n"/>
      <c r="BV73" s="338" t="n"/>
      <c r="BW73" s="338" t="n"/>
      <c r="BX73" s="338" t="n"/>
      <c r="BY73" s="338" t="n"/>
      <c r="BZ73" s="338" t="n"/>
      <c r="CA73" s="338" t="n"/>
      <c r="CB73" s="338" t="n"/>
      <c r="CC73" s="383" t="n"/>
      <c r="CF73" s="253" t="inlineStr">
        <is>
          <t>時間外</t>
        </is>
      </c>
      <c r="CG73" s="384" t="n"/>
      <c r="CH73" s="384" t="n"/>
      <c r="CI73" s="385" t="n"/>
      <c r="CJ73" s="386">
        <f>IF(Q71="作業者1",K74-K71,0)</f>
        <v/>
      </c>
      <c r="CK73" s="387" t="n"/>
      <c r="CL73" s="387" t="n"/>
      <c r="CM73" s="387" t="n"/>
      <c r="CN73" s="388" t="n"/>
      <c r="CP73" s="253" t="inlineStr">
        <is>
          <t>時間外</t>
        </is>
      </c>
      <c r="CQ73" s="384" t="n"/>
      <c r="CR73" s="384" t="n"/>
      <c r="CS73" s="385" t="n"/>
      <c r="CT73" s="386">
        <f>IF(Q71="作業者2",K74-K71,0)</f>
        <v/>
      </c>
      <c r="CU73" s="387" t="n"/>
      <c r="CV73" s="387" t="n"/>
      <c r="CW73" s="387" t="n"/>
      <c r="CX73" s="388" t="n"/>
      <c r="CZ73" s="253" t="inlineStr">
        <is>
          <t>時間外</t>
        </is>
      </c>
      <c r="DA73" s="384" t="n"/>
      <c r="DB73" s="384" t="n"/>
      <c r="DC73" s="385" t="n"/>
      <c r="DD73" s="386">
        <f>IF(Q71="作業者3",K74-K71,0)</f>
        <v/>
      </c>
      <c r="DE73" s="387" t="n"/>
      <c r="DF73" s="387" t="n"/>
      <c r="DG73" s="387" t="n"/>
      <c r="DH73" s="388" t="n"/>
      <c r="DJ73" s="253" t="inlineStr">
        <is>
          <t>時間外</t>
        </is>
      </c>
      <c r="DK73" s="384" t="n"/>
      <c r="DL73" s="384" t="n"/>
      <c r="DM73" s="385" t="n"/>
      <c r="DN73" s="386">
        <f>IF(Q71="作業者4",K74-K71,0)</f>
        <v/>
      </c>
      <c r="DO73" s="387" t="n"/>
      <c r="DP73" s="387" t="n"/>
      <c r="DQ73" s="387" t="n"/>
      <c r="DR73" s="388" t="n"/>
      <c r="DT73" s="253" t="inlineStr">
        <is>
          <t>時間外</t>
        </is>
      </c>
      <c r="DU73" s="384" t="n"/>
      <c r="DV73" s="384" t="n"/>
      <c r="DW73" s="385" t="n"/>
      <c r="DX73" s="386">
        <f>IF(Q71="作業者5",K74-K71,0)</f>
        <v/>
      </c>
      <c r="DY73" s="387" t="n"/>
      <c r="DZ73" s="387" t="n"/>
      <c r="EA73" s="387" t="n"/>
      <c r="EB73" s="388" t="n"/>
    </row>
    <row r="74" ht="9" customHeight="1" s="337">
      <c r="B74" s="389" t="n"/>
      <c r="C74" s="390" t="n"/>
      <c r="D74" s="391" t="n"/>
      <c r="E74" s="392" t="n"/>
      <c r="F74" s="390" t="n"/>
      <c r="G74" s="391" t="n"/>
      <c r="H74" s="392" t="n"/>
      <c r="I74" s="390" t="n"/>
      <c r="J74" s="391" t="n"/>
      <c r="K74" s="392" t="n"/>
      <c r="L74" s="390" t="n"/>
      <c r="M74" s="391" t="n"/>
      <c r="N74" s="392" t="n"/>
      <c r="O74" s="390" t="n"/>
      <c r="P74" s="391" t="n"/>
      <c r="Q74" s="382" t="n"/>
      <c r="R74" s="338" t="n"/>
      <c r="S74" s="380" t="n"/>
      <c r="T74" s="393" t="n"/>
      <c r="U74" s="390" t="n"/>
      <c r="V74" s="391" t="n"/>
      <c r="W74" s="393" t="n"/>
      <c r="X74" s="390" t="n"/>
      <c r="Y74" s="390" t="n"/>
      <c r="Z74" s="390" t="n"/>
      <c r="AA74" s="390" t="n"/>
      <c r="AB74" s="390" t="n"/>
      <c r="AC74" s="390" t="n"/>
      <c r="AD74" s="390" t="n"/>
      <c r="AE74" s="390" t="n"/>
      <c r="AF74" s="390" t="n"/>
      <c r="AG74" s="390" t="n"/>
      <c r="AH74" s="390" t="n"/>
      <c r="AI74" s="390" t="n"/>
      <c r="AJ74" s="390" t="n"/>
      <c r="AK74" s="390" t="n"/>
      <c r="AL74" s="390" t="n"/>
      <c r="AM74" s="390" t="n"/>
      <c r="AN74" s="390" t="n"/>
      <c r="AO74" s="390" t="n"/>
      <c r="AP74" s="390" t="n"/>
      <c r="AQ74" s="390" t="n"/>
      <c r="AR74" s="390" t="n"/>
      <c r="AS74" s="390" t="n"/>
      <c r="AT74" s="390" t="n"/>
      <c r="AU74" s="390" t="n"/>
      <c r="AV74" s="390" t="n"/>
      <c r="AW74" s="390" t="n"/>
      <c r="AX74" s="390" t="n"/>
      <c r="AY74" s="390" t="n"/>
      <c r="AZ74" s="390" t="n"/>
      <c r="BA74" s="390" t="n"/>
      <c r="BB74" s="390" t="n"/>
      <c r="BC74" s="390" t="n"/>
      <c r="BD74" s="390" t="n"/>
      <c r="BE74" s="390" t="n"/>
      <c r="BF74" s="390" t="n"/>
      <c r="BG74" s="390" t="n"/>
      <c r="BH74" s="390" t="n"/>
      <c r="BI74" s="390" t="n"/>
      <c r="BJ74" s="390" t="n"/>
      <c r="BK74" s="390" t="n"/>
      <c r="BL74" s="390" t="n"/>
      <c r="BM74" s="390" t="n"/>
      <c r="BN74" s="390" t="n"/>
      <c r="BO74" s="390" t="n"/>
      <c r="BP74" s="390" t="n"/>
      <c r="BQ74" s="390" t="n"/>
      <c r="BR74" s="390" t="n"/>
      <c r="BS74" s="390" t="n"/>
      <c r="BT74" s="390" t="n"/>
      <c r="BU74" s="390" t="n"/>
      <c r="BV74" s="390" t="n"/>
      <c r="BW74" s="390" t="n"/>
      <c r="BX74" s="390" t="n"/>
      <c r="BY74" s="390" t="n"/>
      <c r="BZ74" s="390" t="n"/>
      <c r="CA74" s="390" t="n"/>
      <c r="CB74" s="390" t="n"/>
      <c r="CC74" s="394" t="n"/>
      <c r="CF74" s="254" t="inlineStr">
        <is>
          <t>休日</t>
        </is>
      </c>
      <c r="CG74" s="395" t="n"/>
      <c r="CH74" s="395" t="n"/>
      <c r="CI74" s="396" t="n"/>
      <c r="CJ74" s="386">
        <f>IF(Q71="作業者1",N74-N71,0)</f>
        <v/>
      </c>
      <c r="CK74" s="387" t="n"/>
      <c r="CL74" s="387" t="n"/>
      <c r="CM74" s="387" t="n"/>
      <c r="CN74" s="388" t="n"/>
      <c r="CP74" s="253" t="inlineStr">
        <is>
          <t>休日</t>
        </is>
      </c>
      <c r="CQ74" s="384" t="n"/>
      <c r="CR74" s="384" t="n"/>
      <c r="CS74" s="385" t="n"/>
      <c r="CT74" s="386">
        <f>IF(Q71="作業者2",N74-N71,0)</f>
        <v/>
      </c>
      <c r="CU74" s="387" t="n"/>
      <c r="CV74" s="387" t="n"/>
      <c r="CW74" s="387" t="n"/>
      <c r="CX74" s="388" t="n"/>
      <c r="CZ74" s="254" t="inlineStr">
        <is>
          <t>休日</t>
        </is>
      </c>
      <c r="DA74" s="395" t="n"/>
      <c r="DB74" s="395" t="n"/>
      <c r="DC74" s="396" t="n"/>
      <c r="DD74" s="397">
        <f>IF(Q71="作業者3",N74-N71,0)</f>
        <v/>
      </c>
      <c r="DE74" s="395" t="n"/>
      <c r="DF74" s="395" t="n"/>
      <c r="DG74" s="395" t="n"/>
      <c r="DH74" s="396" t="n"/>
      <c r="DJ74" s="254" t="inlineStr">
        <is>
          <t>休日</t>
        </is>
      </c>
      <c r="DK74" s="395" t="n"/>
      <c r="DL74" s="395" t="n"/>
      <c r="DM74" s="396" t="n"/>
      <c r="DN74" s="397">
        <f>IF(Q71="作業者4",N74-N71,0)</f>
        <v/>
      </c>
      <c r="DO74" s="395" t="n"/>
      <c r="DP74" s="395" t="n"/>
      <c r="DQ74" s="395" t="n"/>
      <c r="DR74" s="396" t="n"/>
      <c r="DT74" s="254" t="inlineStr">
        <is>
          <t>休日</t>
        </is>
      </c>
      <c r="DU74" s="395" t="n"/>
      <c r="DV74" s="395" t="n"/>
      <c r="DW74" s="396" t="n"/>
      <c r="DX74" s="397">
        <f>IF(Q71="作業者5",N74-N71,0)</f>
        <v/>
      </c>
      <c r="DY74" s="395" t="n"/>
      <c r="DZ74" s="395" t="n"/>
      <c r="EA74" s="395" t="n"/>
      <c r="EB74" s="396" t="n"/>
    </row>
    <row r="75" ht="9" customHeight="1" s="337">
      <c r="B75" s="398" t="n"/>
      <c r="C75" s="372" t="n"/>
      <c r="D75" s="373" t="n"/>
      <c r="E75" s="399" t="n"/>
      <c r="F75" s="372" t="n"/>
      <c r="G75" s="373" t="n"/>
      <c r="H75" s="399" t="n"/>
      <c r="I75" s="372" t="n"/>
      <c r="J75" s="373" t="n"/>
      <c r="K75" s="399" t="n"/>
      <c r="L75" s="372" t="n"/>
      <c r="M75" s="373" t="n"/>
      <c r="N75" s="399" t="n"/>
      <c r="O75" s="372" t="n"/>
      <c r="P75" s="373" t="n"/>
      <c r="Q75" s="371" t="n"/>
      <c r="R75" s="372" t="n"/>
      <c r="S75" s="373" t="n"/>
      <c r="T75" s="371" t="n"/>
      <c r="U75" s="372" t="n"/>
      <c r="V75" s="373" t="n"/>
      <c r="W75" s="443" t="n"/>
      <c r="X75" s="372" t="n"/>
      <c r="Y75" s="372" t="n"/>
      <c r="Z75" s="372" t="n"/>
      <c r="AA75" s="372" t="n"/>
      <c r="AB75" s="372" t="n"/>
      <c r="AC75" s="372" t="n"/>
      <c r="AD75" s="372" t="n"/>
      <c r="AE75" s="372" t="n"/>
      <c r="AF75" s="372" t="n"/>
      <c r="AG75" s="372" t="n"/>
      <c r="AH75" s="372" t="n"/>
      <c r="AI75" s="372" t="n"/>
      <c r="AJ75" s="372" t="n"/>
      <c r="AK75" s="372" t="n"/>
      <c r="AL75" s="372" t="n"/>
      <c r="AM75" s="372" t="n"/>
      <c r="AN75" s="372" t="n"/>
      <c r="AO75" s="372" t="n"/>
      <c r="AP75" s="372" t="n"/>
      <c r="AQ75" s="372" t="n"/>
      <c r="AR75" s="372" t="n"/>
      <c r="AS75" s="372" t="n"/>
      <c r="AT75" s="372" t="n"/>
      <c r="AU75" s="372" t="n"/>
      <c r="AV75" s="372" t="n"/>
      <c r="AW75" s="372" t="n"/>
      <c r="AX75" s="372" t="n"/>
      <c r="AY75" s="372" t="n"/>
      <c r="AZ75" s="372" t="n"/>
      <c r="BA75" s="372" t="n"/>
      <c r="BB75" s="372" t="n"/>
      <c r="BC75" s="372" t="n"/>
      <c r="BD75" s="372" t="n"/>
      <c r="BE75" s="372" t="n"/>
      <c r="BF75" s="372" t="n"/>
      <c r="BG75" s="372" t="n"/>
      <c r="BH75" s="372" t="n"/>
      <c r="BI75" s="372" t="n"/>
      <c r="BJ75" s="372" t="n"/>
      <c r="BK75" s="372" t="n"/>
      <c r="BL75" s="372" t="n"/>
      <c r="BM75" s="372" t="n"/>
      <c r="BN75" s="372" t="n"/>
      <c r="BO75" s="372" t="n"/>
      <c r="BP75" s="372" t="n"/>
      <c r="BQ75" s="372" t="n"/>
      <c r="BR75" s="372" t="n"/>
      <c r="BS75" s="372" t="n"/>
      <c r="BT75" s="372" t="n"/>
      <c r="BU75" s="372" t="n"/>
      <c r="BV75" s="372" t="n"/>
      <c r="BW75" s="372" t="n"/>
      <c r="BX75" s="372" t="n"/>
      <c r="BY75" s="372" t="n"/>
      <c r="BZ75" s="372" t="n"/>
      <c r="CA75" s="372" t="n"/>
      <c r="CB75" s="372" t="n"/>
      <c r="CC75" s="402" t="n"/>
      <c r="CF75" s="259" t="inlineStr">
        <is>
          <t>移動</t>
        </is>
      </c>
      <c r="CG75" s="403" t="n"/>
      <c r="CH75" s="403" t="n"/>
      <c r="CI75" s="404" t="n"/>
      <c r="CJ75" s="379">
        <f>IF(Q75="作業者1",E78-E75,0)</f>
        <v/>
      </c>
      <c r="CK75" s="377" t="n"/>
      <c r="CL75" s="377" t="n"/>
      <c r="CM75" s="377" t="n"/>
      <c r="CN75" s="378" t="n"/>
      <c r="CP75" s="248" t="inlineStr">
        <is>
          <t>移動</t>
        </is>
      </c>
      <c r="CQ75" s="377" t="n"/>
      <c r="CR75" s="377" t="n"/>
      <c r="CS75" s="378" t="n"/>
      <c r="CT75" s="379">
        <f>IF(Q75="作業者2",E78-E75,0)</f>
        <v/>
      </c>
      <c r="CU75" s="377" t="n"/>
      <c r="CV75" s="377" t="n"/>
      <c r="CW75" s="377" t="n"/>
      <c r="CX75" s="378" t="n"/>
      <c r="CZ75" s="259" t="inlineStr">
        <is>
          <t>移動</t>
        </is>
      </c>
      <c r="DA75" s="403" t="n"/>
      <c r="DB75" s="403" t="n"/>
      <c r="DC75" s="404" t="n"/>
      <c r="DD75" s="405">
        <f>IF(Q75="作業者3",E78-E75,0)</f>
        <v/>
      </c>
      <c r="DE75" s="406" t="n"/>
      <c r="DF75" s="406" t="n"/>
      <c r="DG75" s="406" t="n"/>
      <c r="DH75" s="407" t="n"/>
      <c r="DJ75" s="259" t="inlineStr">
        <is>
          <t>移動</t>
        </is>
      </c>
      <c r="DK75" s="403" t="n"/>
      <c r="DL75" s="403" t="n"/>
      <c r="DM75" s="404" t="n"/>
      <c r="DN75" s="379">
        <f>IF(Q75="作業者4",E78-E75,0)</f>
        <v/>
      </c>
      <c r="DO75" s="377" t="n"/>
      <c r="DP75" s="377" t="n"/>
      <c r="DQ75" s="377" t="n"/>
      <c r="DR75" s="378" t="n"/>
      <c r="DT75" s="259" t="inlineStr">
        <is>
          <t>移動</t>
        </is>
      </c>
      <c r="DU75" s="403" t="n"/>
      <c r="DV75" s="403" t="n"/>
      <c r="DW75" s="404" t="n"/>
      <c r="DX75" s="379">
        <f>IF(Q75="作業者5",E78-E75,0)</f>
        <v/>
      </c>
      <c r="DY75" s="377" t="n"/>
      <c r="DZ75" s="377" t="n"/>
      <c r="EA75" s="377" t="n"/>
      <c r="EB75" s="378" t="n"/>
    </row>
    <row r="76" ht="9" customHeight="1" s="337">
      <c r="B76" s="350" t="n"/>
      <c r="C76" s="338" t="n"/>
      <c r="D76" s="380" t="n"/>
      <c r="E76" s="381" t="n"/>
      <c r="F76" s="122" t="inlineStr">
        <is>
          <t>～</t>
        </is>
      </c>
      <c r="G76" s="22" t="n"/>
      <c r="H76" s="381" t="n"/>
      <c r="I76" s="122" t="inlineStr">
        <is>
          <t>～</t>
        </is>
      </c>
      <c r="J76" s="22" t="n"/>
      <c r="K76" s="381" t="n"/>
      <c r="L76" s="122" t="inlineStr">
        <is>
          <t>～</t>
        </is>
      </c>
      <c r="M76" s="22" t="n"/>
      <c r="N76" s="381" t="n"/>
      <c r="O76" s="122" t="inlineStr">
        <is>
          <t>～</t>
        </is>
      </c>
      <c r="P76" s="22" t="n"/>
      <c r="Q76" s="382" t="n"/>
      <c r="R76" s="338" t="n"/>
      <c r="S76" s="380" t="n"/>
      <c r="T76" s="382" t="n"/>
      <c r="U76" s="338" t="n"/>
      <c r="V76" s="380" t="n"/>
      <c r="W76" s="382" t="n"/>
      <c r="X76" s="338" t="n"/>
      <c r="Y76" s="338" t="n"/>
      <c r="Z76" s="338" t="n"/>
      <c r="AA76" s="338" t="n"/>
      <c r="AB76" s="338" t="n"/>
      <c r="AC76" s="338" t="n"/>
      <c r="AD76" s="338" t="n"/>
      <c r="AE76" s="338" t="n"/>
      <c r="AF76" s="338" t="n"/>
      <c r="AG76" s="338" t="n"/>
      <c r="AH76" s="338" t="n"/>
      <c r="AI76" s="338" t="n"/>
      <c r="AJ76" s="338" t="n"/>
      <c r="AK76" s="338" t="n"/>
      <c r="AL76" s="338" t="n"/>
      <c r="AM76" s="338" t="n"/>
      <c r="AN76" s="338" t="n"/>
      <c r="AO76" s="338" t="n"/>
      <c r="AP76" s="338" t="n"/>
      <c r="AQ76" s="338" t="n"/>
      <c r="AR76" s="338" t="n"/>
      <c r="AS76" s="338" t="n"/>
      <c r="AT76" s="338" t="n"/>
      <c r="AU76" s="338" t="n"/>
      <c r="AV76" s="338" t="n"/>
      <c r="AW76" s="338" t="n"/>
      <c r="AX76" s="338" t="n"/>
      <c r="AY76" s="338" t="n"/>
      <c r="AZ76" s="338" t="n"/>
      <c r="BA76" s="338" t="n"/>
      <c r="BB76" s="338" t="n"/>
      <c r="BC76" s="338" t="n"/>
      <c r="BD76" s="338" t="n"/>
      <c r="BE76" s="338" t="n"/>
      <c r="BF76" s="338" t="n"/>
      <c r="BG76" s="338" t="n"/>
      <c r="BH76" s="338" t="n"/>
      <c r="BI76" s="338" t="n"/>
      <c r="BJ76" s="338" t="n"/>
      <c r="BK76" s="338" t="n"/>
      <c r="BL76" s="338" t="n"/>
      <c r="BM76" s="338" t="n"/>
      <c r="BN76" s="338" t="n"/>
      <c r="BO76" s="338" t="n"/>
      <c r="BP76" s="338" t="n"/>
      <c r="BQ76" s="338" t="n"/>
      <c r="BR76" s="338" t="n"/>
      <c r="BS76" s="338" t="n"/>
      <c r="BT76" s="338" t="n"/>
      <c r="BU76" s="338" t="n"/>
      <c r="BV76" s="338" t="n"/>
      <c r="BW76" s="338" t="n"/>
      <c r="BX76" s="338" t="n"/>
      <c r="BY76" s="338" t="n"/>
      <c r="BZ76" s="338" t="n"/>
      <c r="CA76" s="338" t="n"/>
      <c r="CB76" s="338" t="n"/>
      <c r="CC76" s="383" t="n"/>
      <c r="CF76" s="253" t="inlineStr">
        <is>
          <t>時間内</t>
        </is>
      </c>
      <c r="CG76" s="384" t="n"/>
      <c r="CH76" s="384" t="n"/>
      <c r="CI76" s="385" t="n"/>
      <c r="CJ76" s="386">
        <f>IF(Q75="作業者1",H78-H75,0)</f>
        <v/>
      </c>
      <c r="CK76" s="387" t="n"/>
      <c r="CL76" s="387" t="n"/>
      <c r="CM76" s="387" t="n"/>
      <c r="CN76" s="388" t="n"/>
      <c r="CP76" s="253" t="inlineStr">
        <is>
          <t>時間内</t>
        </is>
      </c>
      <c r="CQ76" s="384" t="n"/>
      <c r="CR76" s="384" t="n"/>
      <c r="CS76" s="385" t="n"/>
      <c r="CT76" s="386">
        <f>IF(Q75="作業者2",H78-H75,0)</f>
        <v/>
      </c>
      <c r="CU76" s="387" t="n"/>
      <c r="CV76" s="387" t="n"/>
      <c r="CW76" s="387" t="n"/>
      <c r="CX76" s="388" t="n"/>
      <c r="CZ76" s="253" t="inlineStr">
        <is>
          <t>時間内</t>
        </is>
      </c>
      <c r="DA76" s="384" t="n"/>
      <c r="DB76" s="384" t="n"/>
      <c r="DC76" s="385" t="n"/>
      <c r="DD76" s="386">
        <f>IF(Q75="作業者3",H78-H75,0)</f>
        <v/>
      </c>
      <c r="DE76" s="387" t="n"/>
      <c r="DF76" s="387" t="n"/>
      <c r="DG76" s="387" t="n"/>
      <c r="DH76" s="388" t="n"/>
      <c r="DJ76" s="253" t="inlineStr">
        <is>
          <t>時間内</t>
        </is>
      </c>
      <c r="DK76" s="384" t="n"/>
      <c r="DL76" s="384" t="n"/>
      <c r="DM76" s="385" t="n"/>
      <c r="DN76" s="386">
        <f>IF(Q75="作業者4",H78-H75,0)</f>
        <v/>
      </c>
      <c r="DO76" s="387" t="n"/>
      <c r="DP76" s="387" t="n"/>
      <c r="DQ76" s="387" t="n"/>
      <c r="DR76" s="388" t="n"/>
      <c r="DT76" s="253" t="inlineStr">
        <is>
          <t>時間内</t>
        </is>
      </c>
      <c r="DU76" s="384" t="n"/>
      <c r="DV76" s="384" t="n"/>
      <c r="DW76" s="385" t="n"/>
      <c r="DX76" s="386">
        <f>IF(Q75="作業者5",H78-H75,0)</f>
        <v/>
      </c>
      <c r="DY76" s="387" t="n"/>
      <c r="DZ76" s="387" t="n"/>
      <c r="EA76" s="387" t="n"/>
      <c r="EB76" s="388" t="n"/>
    </row>
    <row r="77" ht="9" customHeight="1" s="337">
      <c r="B77" s="350" t="n"/>
      <c r="C77" s="338" t="n"/>
      <c r="D77" s="380" t="n"/>
      <c r="E77" s="23" t="n"/>
      <c r="F77" s="338" t="n"/>
      <c r="G77" s="24" t="n"/>
      <c r="H77" s="23" t="n"/>
      <c r="I77" s="338" t="n"/>
      <c r="J77" s="24" t="n"/>
      <c r="K77" s="23" t="n"/>
      <c r="L77" s="338" t="n"/>
      <c r="M77" s="24" t="n"/>
      <c r="N77" s="23" t="n"/>
      <c r="O77" s="338" t="n"/>
      <c r="P77" s="24" t="n"/>
      <c r="Q77" s="382" t="n"/>
      <c r="R77" s="338" t="n"/>
      <c r="S77" s="380" t="n"/>
      <c r="T77" s="382" t="n"/>
      <c r="U77" s="338" t="n"/>
      <c r="V77" s="380" t="n"/>
      <c r="W77" s="382" t="n"/>
      <c r="X77" s="338" t="n"/>
      <c r="Y77" s="338" t="n"/>
      <c r="Z77" s="338" t="n"/>
      <c r="AA77" s="338" t="n"/>
      <c r="AB77" s="338" t="n"/>
      <c r="AC77" s="338" t="n"/>
      <c r="AD77" s="338" t="n"/>
      <c r="AE77" s="338" t="n"/>
      <c r="AF77" s="338" t="n"/>
      <c r="AG77" s="338" t="n"/>
      <c r="AH77" s="338" t="n"/>
      <c r="AI77" s="338" t="n"/>
      <c r="AJ77" s="338" t="n"/>
      <c r="AK77" s="338" t="n"/>
      <c r="AL77" s="338" t="n"/>
      <c r="AM77" s="338" t="n"/>
      <c r="AN77" s="338" t="n"/>
      <c r="AO77" s="338" t="n"/>
      <c r="AP77" s="338" t="n"/>
      <c r="AQ77" s="338" t="n"/>
      <c r="AR77" s="338" t="n"/>
      <c r="AS77" s="338" t="n"/>
      <c r="AT77" s="338" t="n"/>
      <c r="AU77" s="338" t="n"/>
      <c r="AV77" s="338" t="n"/>
      <c r="AW77" s="338" t="n"/>
      <c r="AX77" s="338" t="n"/>
      <c r="AY77" s="338" t="n"/>
      <c r="AZ77" s="338" t="n"/>
      <c r="BA77" s="338" t="n"/>
      <c r="BB77" s="338" t="n"/>
      <c r="BC77" s="338" t="n"/>
      <c r="BD77" s="338" t="n"/>
      <c r="BE77" s="338" t="n"/>
      <c r="BF77" s="338" t="n"/>
      <c r="BG77" s="338" t="n"/>
      <c r="BH77" s="338" t="n"/>
      <c r="BI77" s="338" t="n"/>
      <c r="BJ77" s="338" t="n"/>
      <c r="BK77" s="338" t="n"/>
      <c r="BL77" s="338" t="n"/>
      <c r="BM77" s="338" t="n"/>
      <c r="BN77" s="338" t="n"/>
      <c r="BO77" s="338" t="n"/>
      <c r="BP77" s="338" t="n"/>
      <c r="BQ77" s="338" t="n"/>
      <c r="BR77" s="338" t="n"/>
      <c r="BS77" s="338" t="n"/>
      <c r="BT77" s="338" t="n"/>
      <c r="BU77" s="338" t="n"/>
      <c r="BV77" s="338" t="n"/>
      <c r="BW77" s="338" t="n"/>
      <c r="BX77" s="338" t="n"/>
      <c r="BY77" s="338" t="n"/>
      <c r="BZ77" s="338" t="n"/>
      <c r="CA77" s="338" t="n"/>
      <c r="CB77" s="338" t="n"/>
      <c r="CC77" s="383" t="n"/>
      <c r="CF77" s="253" t="inlineStr">
        <is>
          <t>時間外</t>
        </is>
      </c>
      <c r="CG77" s="384" t="n"/>
      <c r="CH77" s="384" t="n"/>
      <c r="CI77" s="385" t="n"/>
      <c r="CJ77" s="386">
        <f>IF(Q75="作業者1",K78-K75,0)</f>
        <v/>
      </c>
      <c r="CK77" s="387" t="n"/>
      <c r="CL77" s="387" t="n"/>
      <c r="CM77" s="387" t="n"/>
      <c r="CN77" s="388" t="n"/>
      <c r="CP77" s="253" t="inlineStr">
        <is>
          <t>時間外</t>
        </is>
      </c>
      <c r="CQ77" s="384" t="n"/>
      <c r="CR77" s="384" t="n"/>
      <c r="CS77" s="385" t="n"/>
      <c r="CT77" s="386">
        <f>IF(Q75="作業者2",K78-K75,0)</f>
        <v/>
      </c>
      <c r="CU77" s="387" t="n"/>
      <c r="CV77" s="387" t="n"/>
      <c r="CW77" s="387" t="n"/>
      <c r="CX77" s="388" t="n"/>
      <c r="CZ77" s="253" t="inlineStr">
        <is>
          <t>時間外</t>
        </is>
      </c>
      <c r="DA77" s="384" t="n"/>
      <c r="DB77" s="384" t="n"/>
      <c r="DC77" s="385" t="n"/>
      <c r="DD77" s="386">
        <f>IF(Q75="作業者3",K78-K75,0)</f>
        <v/>
      </c>
      <c r="DE77" s="387" t="n"/>
      <c r="DF77" s="387" t="n"/>
      <c r="DG77" s="387" t="n"/>
      <c r="DH77" s="388" t="n"/>
      <c r="DJ77" s="253" t="inlineStr">
        <is>
          <t>時間外</t>
        </is>
      </c>
      <c r="DK77" s="384" t="n"/>
      <c r="DL77" s="384" t="n"/>
      <c r="DM77" s="385" t="n"/>
      <c r="DN77" s="386">
        <f>IF(Q75="作業者4",K78-K75,0)</f>
        <v/>
      </c>
      <c r="DO77" s="387" t="n"/>
      <c r="DP77" s="387" t="n"/>
      <c r="DQ77" s="387" t="n"/>
      <c r="DR77" s="388" t="n"/>
      <c r="DT77" s="253" t="inlineStr">
        <is>
          <t>時間外</t>
        </is>
      </c>
      <c r="DU77" s="384" t="n"/>
      <c r="DV77" s="384" t="n"/>
      <c r="DW77" s="385" t="n"/>
      <c r="DX77" s="386">
        <f>IF(Q75="作業者5",K78-K75,0)</f>
        <v/>
      </c>
      <c r="DY77" s="387" t="n"/>
      <c r="DZ77" s="387" t="n"/>
      <c r="EA77" s="387" t="n"/>
      <c r="EB77" s="388" t="n"/>
    </row>
    <row r="78" ht="9" customHeight="1" s="337">
      <c r="B78" s="389" t="n"/>
      <c r="C78" s="390" t="n"/>
      <c r="D78" s="391" t="n"/>
      <c r="E78" s="392" t="n"/>
      <c r="F78" s="390" t="n"/>
      <c r="G78" s="391" t="n"/>
      <c r="H78" s="392" t="n"/>
      <c r="I78" s="390" t="n"/>
      <c r="J78" s="391" t="n"/>
      <c r="K78" s="392" t="n"/>
      <c r="L78" s="390" t="n"/>
      <c r="M78" s="391" t="n"/>
      <c r="N78" s="392" t="n"/>
      <c r="O78" s="390" t="n"/>
      <c r="P78" s="391" t="n"/>
      <c r="Q78" s="393" t="n"/>
      <c r="R78" s="390" t="n"/>
      <c r="S78" s="391" t="n"/>
      <c r="T78" s="393" t="n"/>
      <c r="U78" s="390" t="n"/>
      <c r="V78" s="391" t="n"/>
      <c r="W78" s="393" t="n"/>
      <c r="X78" s="390" t="n"/>
      <c r="Y78" s="390" t="n"/>
      <c r="Z78" s="390" t="n"/>
      <c r="AA78" s="390" t="n"/>
      <c r="AB78" s="390" t="n"/>
      <c r="AC78" s="390" t="n"/>
      <c r="AD78" s="390" t="n"/>
      <c r="AE78" s="390" t="n"/>
      <c r="AF78" s="390" t="n"/>
      <c r="AG78" s="390" t="n"/>
      <c r="AH78" s="390" t="n"/>
      <c r="AI78" s="390" t="n"/>
      <c r="AJ78" s="390" t="n"/>
      <c r="AK78" s="390" t="n"/>
      <c r="AL78" s="390" t="n"/>
      <c r="AM78" s="390" t="n"/>
      <c r="AN78" s="390" t="n"/>
      <c r="AO78" s="390" t="n"/>
      <c r="AP78" s="390" t="n"/>
      <c r="AQ78" s="390" t="n"/>
      <c r="AR78" s="390" t="n"/>
      <c r="AS78" s="390" t="n"/>
      <c r="AT78" s="390" t="n"/>
      <c r="AU78" s="390" t="n"/>
      <c r="AV78" s="390" t="n"/>
      <c r="AW78" s="390" t="n"/>
      <c r="AX78" s="390" t="n"/>
      <c r="AY78" s="390" t="n"/>
      <c r="AZ78" s="390" t="n"/>
      <c r="BA78" s="390" t="n"/>
      <c r="BB78" s="390" t="n"/>
      <c r="BC78" s="390" t="n"/>
      <c r="BD78" s="390" t="n"/>
      <c r="BE78" s="390" t="n"/>
      <c r="BF78" s="390" t="n"/>
      <c r="BG78" s="390" t="n"/>
      <c r="BH78" s="390" t="n"/>
      <c r="BI78" s="390" t="n"/>
      <c r="BJ78" s="390" t="n"/>
      <c r="BK78" s="390" t="n"/>
      <c r="BL78" s="390" t="n"/>
      <c r="BM78" s="390" t="n"/>
      <c r="BN78" s="390" t="n"/>
      <c r="BO78" s="390" t="n"/>
      <c r="BP78" s="390" t="n"/>
      <c r="BQ78" s="390" t="n"/>
      <c r="BR78" s="390" t="n"/>
      <c r="BS78" s="390" t="n"/>
      <c r="BT78" s="390" t="n"/>
      <c r="BU78" s="390" t="n"/>
      <c r="BV78" s="390" t="n"/>
      <c r="BW78" s="390" t="n"/>
      <c r="BX78" s="390" t="n"/>
      <c r="BY78" s="390" t="n"/>
      <c r="BZ78" s="390" t="n"/>
      <c r="CA78" s="390" t="n"/>
      <c r="CB78" s="390" t="n"/>
      <c r="CC78" s="394" t="n"/>
      <c r="CF78" s="254" t="inlineStr">
        <is>
          <t>休日</t>
        </is>
      </c>
      <c r="CG78" s="395" t="n"/>
      <c r="CH78" s="395" t="n"/>
      <c r="CI78" s="396" t="n"/>
      <c r="CJ78" s="397">
        <f>IF(Q75="作業者1",N78-N75,0)</f>
        <v/>
      </c>
      <c r="CK78" s="395" t="n"/>
      <c r="CL78" s="395" t="n"/>
      <c r="CM78" s="395" t="n"/>
      <c r="CN78" s="396" t="n"/>
      <c r="CP78" s="254" t="inlineStr">
        <is>
          <t>休日</t>
        </is>
      </c>
      <c r="CQ78" s="395" t="n"/>
      <c r="CR78" s="395" t="n"/>
      <c r="CS78" s="396" t="n"/>
      <c r="CT78" s="397">
        <f>IF(Q75="作業者2",N78-N75,0)</f>
        <v/>
      </c>
      <c r="CU78" s="395" t="n"/>
      <c r="CV78" s="395" t="n"/>
      <c r="CW78" s="395" t="n"/>
      <c r="CX78" s="396" t="n"/>
      <c r="CZ78" s="254" t="inlineStr">
        <is>
          <t>休日</t>
        </is>
      </c>
      <c r="DA78" s="395" t="n"/>
      <c r="DB78" s="395" t="n"/>
      <c r="DC78" s="396" t="n"/>
      <c r="DD78" s="397">
        <f>IF(Q75="作業者3",N78-N75,0)</f>
        <v/>
      </c>
      <c r="DE78" s="395" t="n"/>
      <c r="DF78" s="395" t="n"/>
      <c r="DG78" s="395" t="n"/>
      <c r="DH78" s="396" t="n"/>
      <c r="DJ78" s="254" t="inlineStr">
        <is>
          <t>休日</t>
        </is>
      </c>
      <c r="DK78" s="395" t="n"/>
      <c r="DL78" s="395" t="n"/>
      <c r="DM78" s="396" t="n"/>
      <c r="DN78" s="397">
        <f>IF(Q75="作業者4",N78-N75,0)</f>
        <v/>
      </c>
      <c r="DO78" s="395" t="n"/>
      <c r="DP78" s="395" t="n"/>
      <c r="DQ78" s="395" t="n"/>
      <c r="DR78" s="396" t="n"/>
      <c r="DT78" s="254" t="inlineStr">
        <is>
          <t>休日</t>
        </is>
      </c>
      <c r="DU78" s="395" t="n"/>
      <c r="DV78" s="395" t="n"/>
      <c r="DW78" s="396" t="n"/>
      <c r="DX78" s="397">
        <f>IF(Q75="作業者5",N78-N75,0)</f>
        <v/>
      </c>
      <c r="DY78" s="395" t="n"/>
      <c r="DZ78" s="395" t="n"/>
      <c r="EA78" s="395" t="n"/>
      <c r="EB78" s="396" t="n"/>
    </row>
    <row r="79" ht="9" customHeight="1" s="337">
      <c r="B79" s="398" t="n"/>
      <c r="C79" s="372" t="n"/>
      <c r="D79" s="373" t="n"/>
      <c r="E79" s="399" t="n"/>
      <c r="F79" s="372" t="n"/>
      <c r="G79" s="373" t="n"/>
      <c r="H79" s="399" t="n"/>
      <c r="I79" s="372" t="n"/>
      <c r="J79" s="373" t="n"/>
      <c r="K79" s="399" t="n"/>
      <c r="L79" s="372" t="n"/>
      <c r="M79" s="373" t="n"/>
      <c r="N79" s="399" t="n"/>
      <c r="O79" s="372" t="n"/>
      <c r="P79" s="373" t="n"/>
      <c r="Q79" s="371" t="n"/>
      <c r="R79" s="372" t="n"/>
      <c r="S79" s="373" t="n"/>
      <c r="T79" s="371" t="n"/>
      <c r="U79" s="372" t="n"/>
      <c r="V79" s="373" t="n"/>
      <c r="W79" s="443" t="n"/>
      <c r="X79" s="372" t="n"/>
      <c r="Y79" s="372" t="n"/>
      <c r="Z79" s="372" t="n"/>
      <c r="AA79" s="372" t="n"/>
      <c r="AB79" s="372" t="n"/>
      <c r="AC79" s="372" t="n"/>
      <c r="AD79" s="372" t="n"/>
      <c r="AE79" s="372" t="n"/>
      <c r="AF79" s="372" t="n"/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AQ79" s="372" t="n"/>
      <c r="AR79" s="372" t="n"/>
      <c r="AS79" s="372" t="n"/>
      <c r="AT79" s="372" t="n"/>
      <c r="AU79" s="372" t="n"/>
      <c r="AV79" s="372" t="n"/>
      <c r="AW79" s="372" t="n"/>
      <c r="AX79" s="372" t="n"/>
      <c r="AY79" s="372" t="n"/>
      <c r="AZ79" s="372" t="n"/>
      <c r="BA79" s="372" t="n"/>
      <c r="BB79" s="372" t="n"/>
      <c r="BC79" s="372" t="n"/>
      <c r="BD79" s="372" t="n"/>
      <c r="BE79" s="372" t="n"/>
      <c r="BF79" s="372" t="n"/>
      <c r="BG79" s="372" t="n"/>
      <c r="BH79" s="372" t="n"/>
      <c r="BI79" s="372" t="n"/>
      <c r="BJ79" s="372" t="n"/>
      <c r="BK79" s="372" t="n"/>
      <c r="BL79" s="372" t="n"/>
      <c r="BM79" s="372" t="n"/>
      <c r="BN79" s="372" t="n"/>
      <c r="BO79" s="372" t="n"/>
      <c r="BP79" s="372" t="n"/>
      <c r="BQ79" s="372" t="n"/>
      <c r="BR79" s="372" t="n"/>
      <c r="BS79" s="372" t="n"/>
      <c r="BT79" s="372" t="n"/>
      <c r="BU79" s="372" t="n"/>
      <c r="BV79" s="372" t="n"/>
      <c r="BW79" s="372" t="n"/>
      <c r="BX79" s="372" t="n"/>
      <c r="BY79" s="372" t="n"/>
      <c r="BZ79" s="372" t="n"/>
      <c r="CA79" s="372" t="n"/>
      <c r="CB79" s="372" t="n"/>
      <c r="CC79" s="402" t="n"/>
      <c r="CF79" s="248" t="inlineStr">
        <is>
          <t>移動</t>
        </is>
      </c>
      <c r="CG79" s="377" t="n"/>
      <c r="CH79" s="377" t="n"/>
      <c r="CI79" s="378" t="n"/>
      <c r="CJ79" s="379">
        <f>IF(Q79="作業者1",E82-E79,0)</f>
        <v/>
      </c>
      <c r="CK79" s="377" t="n"/>
      <c r="CL79" s="377" t="n"/>
      <c r="CM79" s="377" t="n"/>
      <c r="CN79" s="378" t="n"/>
      <c r="CP79" s="248" t="inlineStr">
        <is>
          <t>移動</t>
        </is>
      </c>
      <c r="CQ79" s="377" t="n"/>
      <c r="CR79" s="377" t="n"/>
      <c r="CS79" s="378" t="n"/>
      <c r="CT79" s="379">
        <f>IF(Q79="作業者2",E82-E79,0)</f>
        <v/>
      </c>
      <c r="CU79" s="377" t="n"/>
      <c r="CV79" s="377" t="n"/>
      <c r="CW79" s="377" t="n"/>
      <c r="CX79" s="378" t="n"/>
      <c r="CZ79" s="248" t="inlineStr">
        <is>
          <t>移動</t>
        </is>
      </c>
      <c r="DA79" s="377" t="n"/>
      <c r="DB79" s="377" t="n"/>
      <c r="DC79" s="378" t="n"/>
      <c r="DD79" s="379">
        <f>IF(Q79="作業者3",E82-E79,0)</f>
        <v/>
      </c>
      <c r="DE79" s="377" t="n"/>
      <c r="DF79" s="377" t="n"/>
      <c r="DG79" s="377" t="n"/>
      <c r="DH79" s="378" t="n"/>
      <c r="DJ79" s="248" t="inlineStr">
        <is>
          <t>移動</t>
        </is>
      </c>
      <c r="DK79" s="377" t="n"/>
      <c r="DL79" s="377" t="n"/>
      <c r="DM79" s="378" t="n"/>
      <c r="DN79" s="379">
        <f>IF(Q79="作業者4",E82-E79,0)</f>
        <v/>
      </c>
      <c r="DO79" s="377" t="n"/>
      <c r="DP79" s="377" t="n"/>
      <c r="DQ79" s="377" t="n"/>
      <c r="DR79" s="378" t="n"/>
      <c r="DT79" s="259" t="inlineStr">
        <is>
          <t>移動</t>
        </is>
      </c>
      <c r="DU79" s="403" t="n"/>
      <c r="DV79" s="403" t="n"/>
      <c r="DW79" s="404" t="n"/>
      <c r="DX79" s="379">
        <f>IF(Q79="作業者5",E82-E79,0)</f>
        <v/>
      </c>
      <c r="DY79" s="377" t="n"/>
      <c r="DZ79" s="377" t="n"/>
      <c r="EA79" s="377" t="n"/>
      <c r="EB79" s="378" t="n"/>
    </row>
    <row r="80" ht="9" customHeight="1" s="337">
      <c r="B80" s="350" t="n"/>
      <c r="C80" s="338" t="n"/>
      <c r="D80" s="380" t="n"/>
      <c r="E80" s="381" t="n"/>
      <c r="F80" s="122" t="inlineStr">
        <is>
          <t>～</t>
        </is>
      </c>
      <c r="G80" s="22" t="n"/>
      <c r="H80" s="381" t="n"/>
      <c r="I80" s="122" t="inlineStr">
        <is>
          <t>～</t>
        </is>
      </c>
      <c r="J80" s="22" t="n"/>
      <c r="K80" s="381" t="n"/>
      <c r="L80" s="122" t="inlineStr">
        <is>
          <t>～</t>
        </is>
      </c>
      <c r="M80" s="22" t="n"/>
      <c r="N80" s="381" t="n"/>
      <c r="O80" s="122" t="inlineStr">
        <is>
          <t>～</t>
        </is>
      </c>
      <c r="P80" s="22" t="n"/>
      <c r="Q80" s="382" t="n"/>
      <c r="R80" s="338" t="n"/>
      <c r="S80" s="380" t="n"/>
      <c r="T80" s="382" t="n"/>
      <c r="U80" s="338" t="n"/>
      <c r="V80" s="380" t="n"/>
      <c r="W80" s="382" t="n"/>
      <c r="X80" s="338" t="n"/>
      <c r="Y80" s="338" t="n"/>
      <c r="Z80" s="338" t="n"/>
      <c r="AA80" s="338" t="n"/>
      <c r="AB80" s="338" t="n"/>
      <c r="AC80" s="338" t="n"/>
      <c r="AD80" s="338" t="n"/>
      <c r="AE80" s="338" t="n"/>
      <c r="AF80" s="338" t="n"/>
      <c r="AG80" s="338" t="n"/>
      <c r="AH80" s="338" t="n"/>
      <c r="AI80" s="338" t="n"/>
      <c r="AJ80" s="338" t="n"/>
      <c r="AK80" s="338" t="n"/>
      <c r="AL80" s="338" t="n"/>
      <c r="AM80" s="338" t="n"/>
      <c r="AN80" s="338" t="n"/>
      <c r="AO80" s="338" t="n"/>
      <c r="AP80" s="338" t="n"/>
      <c r="AQ80" s="338" t="n"/>
      <c r="AR80" s="338" t="n"/>
      <c r="AS80" s="338" t="n"/>
      <c r="AT80" s="338" t="n"/>
      <c r="AU80" s="338" t="n"/>
      <c r="AV80" s="338" t="n"/>
      <c r="AW80" s="338" t="n"/>
      <c r="AX80" s="338" t="n"/>
      <c r="AY80" s="338" t="n"/>
      <c r="AZ80" s="338" t="n"/>
      <c r="BA80" s="338" t="n"/>
      <c r="BB80" s="338" t="n"/>
      <c r="BC80" s="338" t="n"/>
      <c r="BD80" s="338" t="n"/>
      <c r="BE80" s="338" t="n"/>
      <c r="BF80" s="338" t="n"/>
      <c r="BG80" s="338" t="n"/>
      <c r="BH80" s="338" t="n"/>
      <c r="BI80" s="338" t="n"/>
      <c r="BJ80" s="338" t="n"/>
      <c r="BK80" s="338" t="n"/>
      <c r="BL80" s="338" t="n"/>
      <c r="BM80" s="338" t="n"/>
      <c r="BN80" s="338" t="n"/>
      <c r="BO80" s="338" t="n"/>
      <c r="BP80" s="338" t="n"/>
      <c r="BQ80" s="338" t="n"/>
      <c r="BR80" s="338" t="n"/>
      <c r="BS80" s="338" t="n"/>
      <c r="BT80" s="338" t="n"/>
      <c r="BU80" s="338" t="n"/>
      <c r="BV80" s="338" t="n"/>
      <c r="BW80" s="338" t="n"/>
      <c r="BX80" s="338" t="n"/>
      <c r="BY80" s="338" t="n"/>
      <c r="BZ80" s="338" t="n"/>
      <c r="CA80" s="338" t="n"/>
      <c r="CB80" s="338" t="n"/>
      <c r="CC80" s="383" t="n"/>
      <c r="CF80" s="253" t="inlineStr">
        <is>
          <t>時間内</t>
        </is>
      </c>
      <c r="CG80" s="384" t="n"/>
      <c r="CH80" s="384" t="n"/>
      <c r="CI80" s="385" t="n"/>
      <c r="CJ80" s="386">
        <f>IF(Q79="作業者1",H82-H79,0)</f>
        <v/>
      </c>
      <c r="CK80" s="387" t="n"/>
      <c r="CL80" s="387" t="n"/>
      <c r="CM80" s="387" t="n"/>
      <c r="CN80" s="388" t="n"/>
      <c r="CP80" s="253" t="inlineStr">
        <is>
          <t>時間内</t>
        </is>
      </c>
      <c r="CQ80" s="384" t="n"/>
      <c r="CR80" s="384" t="n"/>
      <c r="CS80" s="385" t="n"/>
      <c r="CT80" s="386">
        <f>IF(Q79="作業者2",H82-H79,0)</f>
        <v/>
      </c>
      <c r="CU80" s="387" t="n"/>
      <c r="CV80" s="387" t="n"/>
      <c r="CW80" s="387" t="n"/>
      <c r="CX80" s="388" t="n"/>
      <c r="CZ80" s="253" t="inlineStr">
        <is>
          <t>時間内</t>
        </is>
      </c>
      <c r="DA80" s="384" t="n"/>
      <c r="DB80" s="384" t="n"/>
      <c r="DC80" s="385" t="n"/>
      <c r="DD80" s="386">
        <f>IF(Q79="作業者3",H82-H79,0)</f>
        <v/>
      </c>
      <c r="DE80" s="387" t="n"/>
      <c r="DF80" s="387" t="n"/>
      <c r="DG80" s="387" t="n"/>
      <c r="DH80" s="388" t="n"/>
      <c r="DJ80" s="253" t="inlineStr">
        <is>
          <t>時間内</t>
        </is>
      </c>
      <c r="DK80" s="384" t="n"/>
      <c r="DL80" s="384" t="n"/>
      <c r="DM80" s="385" t="n"/>
      <c r="DN80" s="386">
        <f>IF(Q79="作業者4",H82-H79,0)</f>
        <v/>
      </c>
      <c r="DO80" s="387" t="n"/>
      <c r="DP80" s="387" t="n"/>
      <c r="DQ80" s="387" t="n"/>
      <c r="DR80" s="388" t="n"/>
      <c r="DT80" s="253" t="inlineStr">
        <is>
          <t>時間内</t>
        </is>
      </c>
      <c r="DU80" s="384" t="n"/>
      <c r="DV80" s="384" t="n"/>
      <c r="DW80" s="385" t="n"/>
      <c r="DX80" s="386">
        <f>IF(Q79="作業者5",H82-H79,0)</f>
        <v/>
      </c>
      <c r="DY80" s="387" t="n"/>
      <c r="DZ80" s="387" t="n"/>
      <c r="EA80" s="387" t="n"/>
      <c r="EB80" s="388" t="n"/>
    </row>
    <row r="81" ht="9" customHeight="1" s="337">
      <c r="B81" s="350" t="n"/>
      <c r="C81" s="338" t="n"/>
      <c r="D81" s="380" t="n"/>
      <c r="E81" s="23" t="n"/>
      <c r="F81" s="338" t="n"/>
      <c r="G81" s="24" t="n"/>
      <c r="H81" s="23" t="n"/>
      <c r="I81" s="338" t="n"/>
      <c r="J81" s="24" t="n"/>
      <c r="K81" s="23" t="n"/>
      <c r="L81" s="338" t="n"/>
      <c r="M81" s="24" t="n"/>
      <c r="N81" s="23" t="n"/>
      <c r="O81" s="338" t="n"/>
      <c r="P81" s="24" t="n"/>
      <c r="Q81" s="382" t="n"/>
      <c r="R81" s="338" t="n"/>
      <c r="S81" s="380" t="n"/>
      <c r="T81" s="382" t="n"/>
      <c r="U81" s="338" t="n"/>
      <c r="V81" s="380" t="n"/>
      <c r="W81" s="382" t="n"/>
      <c r="X81" s="338" t="n"/>
      <c r="Y81" s="338" t="n"/>
      <c r="Z81" s="338" t="n"/>
      <c r="AA81" s="338" t="n"/>
      <c r="AB81" s="338" t="n"/>
      <c r="AC81" s="338" t="n"/>
      <c r="AD81" s="338" t="n"/>
      <c r="AE81" s="338" t="n"/>
      <c r="AF81" s="338" t="n"/>
      <c r="AG81" s="338" t="n"/>
      <c r="AH81" s="338" t="n"/>
      <c r="AI81" s="338" t="n"/>
      <c r="AJ81" s="338" t="n"/>
      <c r="AK81" s="338" t="n"/>
      <c r="AL81" s="338" t="n"/>
      <c r="AM81" s="338" t="n"/>
      <c r="AN81" s="338" t="n"/>
      <c r="AO81" s="338" t="n"/>
      <c r="AP81" s="338" t="n"/>
      <c r="AQ81" s="338" t="n"/>
      <c r="AR81" s="338" t="n"/>
      <c r="AS81" s="338" t="n"/>
      <c r="AT81" s="338" t="n"/>
      <c r="AU81" s="338" t="n"/>
      <c r="AV81" s="338" t="n"/>
      <c r="AW81" s="338" t="n"/>
      <c r="AX81" s="338" t="n"/>
      <c r="AY81" s="338" t="n"/>
      <c r="AZ81" s="338" t="n"/>
      <c r="BA81" s="338" t="n"/>
      <c r="BB81" s="338" t="n"/>
      <c r="BC81" s="338" t="n"/>
      <c r="BD81" s="338" t="n"/>
      <c r="BE81" s="338" t="n"/>
      <c r="BF81" s="338" t="n"/>
      <c r="BG81" s="338" t="n"/>
      <c r="BH81" s="338" t="n"/>
      <c r="BI81" s="338" t="n"/>
      <c r="BJ81" s="338" t="n"/>
      <c r="BK81" s="338" t="n"/>
      <c r="BL81" s="338" t="n"/>
      <c r="BM81" s="338" t="n"/>
      <c r="BN81" s="338" t="n"/>
      <c r="BO81" s="338" t="n"/>
      <c r="BP81" s="338" t="n"/>
      <c r="BQ81" s="338" t="n"/>
      <c r="BR81" s="338" t="n"/>
      <c r="BS81" s="338" t="n"/>
      <c r="BT81" s="338" t="n"/>
      <c r="BU81" s="338" t="n"/>
      <c r="BV81" s="338" t="n"/>
      <c r="BW81" s="338" t="n"/>
      <c r="BX81" s="338" t="n"/>
      <c r="BY81" s="338" t="n"/>
      <c r="BZ81" s="338" t="n"/>
      <c r="CA81" s="338" t="n"/>
      <c r="CB81" s="338" t="n"/>
      <c r="CC81" s="383" t="n"/>
      <c r="CF81" s="253" t="inlineStr">
        <is>
          <t>時間外</t>
        </is>
      </c>
      <c r="CG81" s="384" t="n"/>
      <c r="CH81" s="384" t="n"/>
      <c r="CI81" s="385" t="n"/>
      <c r="CJ81" s="386">
        <f>IF(Q79="作業者1",K82-K79,0)</f>
        <v/>
      </c>
      <c r="CK81" s="387" t="n"/>
      <c r="CL81" s="387" t="n"/>
      <c r="CM81" s="387" t="n"/>
      <c r="CN81" s="388" t="n"/>
      <c r="CP81" s="253" t="inlineStr">
        <is>
          <t>時間外</t>
        </is>
      </c>
      <c r="CQ81" s="384" t="n"/>
      <c r="CR81" s="384" t="n"/>
      <c r="CS81" s="385" t="n"/>
      <c r="CT81" s="386">
        <f>IF(Q79="作業者2",K82-K79,0)</f>
        <v/>
      </c>
      <c r="CU81" s="387" t="n"/>
      <c r="CV81" s="387" t="n"/>
      <c r="CW81" s="387" t="n"/>
      <c r="CX81" s="388" t="n"/>
      <c r="CZ81" s="253" t="inlineStr">
        <is>
          <t>時間外</t>
        </is>
      </c>
      <c r="DA81" s="384" t="n"/>
      <c r="DB81" s="384" t="n"/>
      <c r="DC81" s="385" t="n"/>
      <c r="DD81" s="386">
        <f>IF(Q79="作業者3",K82-K79,0)</f>
        <v/>
      </c>
      <c r="DE81" s="387" t="n"/>
      <c r="DF81" s="387" t="n"/>
      <c r="DG81" s="387" t="n"/>
      <c r="DH81" s="388" t="n"/>
      <c r="DJ81" s="253" t="inlineStr">
        <is>
          <t>時間外</t>
        </is>
      </c>
      <c r="DK81" s="384" t="n"/>
      <c r="DL81" s="384" t="n"/>
      <c r="DM81" s="385" t="n"/>
      <c r="DN81" s="386">
        <f>IF(Q79="作業者4",K82-K79,0)</f>
        <v/>
      </c>
      <c r="DO81" s="387" t="n"/>
      <c r="DP81" s="387" t="n"/>
      <c r="DQ81" s="387" t="n"/>
      <c r="DR81" s="388" t="n"/>
      <c r="DT81" s="253" t="inlineStr">
        <is>
          <t>時間外</t>
        </is>
      </c>
      <c r="DU81" s="384" t="n"/>
      <c r="DV81" s="384" t="n"/>
      <c r="DW81" s="385" t="n"/>
      <c r="DX81" s="386">
        <f>IF(Q79="作業者5",K82-K79,0)</f>
        <v/>
      </c>
      <c r="DY81" s="387" t="n"/>
      <c r="DZ81" s="387" t="n"/>
      <c r="EA81" s="387" t="n"/>
      <c r="EB81" s="388" t="n"/>
    </row>
    <row r="82" ht="9" customHeight="1" s="337">
      <c r="B82" s="389" t="n"/>
      <c r="C82" s="390" t="n"/>
      <c r="D82" s="391" t="n"/>
      <c r="E82" s="392" t="n"/>
      <c r="F82" s="390" t="n"/>
      <c r="G82" s="391" t="n"/>
      <c r="H82" s="392" t="n"/>
      <c r="I82" s="390" t="n"/>
      <c r="J82" s="391" t="n"/>
      <c r="K82" s="392" t="n"/>
      <c r="L82" s="390" t="n"/>
      <c r="M82" s="391" t="n"/>
      <c r="N82" s="392" t="n"/>
      <c r="O82" s="390" t="n"/>
      <c r="P82" s="391" t="n"/>
      <c r="Q82" s="393" t="n"/>
      <c r="R82" s="390" t="n"/>
      <c r="S82" s="391" t="n"/>
      <c r="T82" s="393" t="n"/>
      <c r="U82" s="390" t="n"/>
      <c r="V82" s="391" t="n"/>
      <c r="W82" s="393" t="n"/>
      <c r="X82" s="390" t="n"/>
      <c r="Y82" s="390" t="n"/>
      <c r="Z82" s="390" t="n"/>
      <c r="AA82" s="390" t="n"/>
      <c r="AB82" s="390" t="n"/>
      <c r="AC82" s="390" t="n"/>
      <c r="AD82" s="390" t="n"/>
      <c r="AE82" s="390" t="n"/>
      <c r="AF82" s="390" t="n"/>
      <c r="AG82" s="390" t="n"/>
      <c r="AH82" s="390" t="n"/>
      <c r="AI82" s="390" t="n"/>
      <c r="AJ82" s="390" t="n"/>
      <c r="AK82" s="390" t="n"/>
      <c r="AL82" s="390" t="n"/>
      <c r="AM82" s="390" t="n"/>
      <c r="AN82" s="390" t="n"/>
      <c r="AO82" s="390" t="n"/>
      <c r="AP82" s="390" t="n"/>
      <c r="AQ82" s="390" t="n"/>
      <c r="AR82" s="390" t="n"/>
      <c r="AS82" s="390" t="n"/>
      <c r="AT82" s="390" t="n"/>
      <c r="AU82" s="390" t="n"/>
      <c r="AV82" s="390" t="n"/>
      <c r="AW82" s="390" t="n"/>
      <c r="AX82" s="390" t="n"/>
      <c r="AY82" s="390" t="n"/>
      <c r="AZ82" s="390" t="n"/>
      <c r="BA82" s="390" t="n"/>
      <c r="BB82" s="390" t="n"/>
      <c r="BC82" s="390" t="n"/>
      <c r="BD82" s="390" t="n"/>
      <c r="BE82" s="390" t="n"/>
      <c r="BF82" s="390" t="n"/>
      <c r="BG82" s="390" t="n"/>
      <c r="BH82" s="390" t="n"/>
      <c r="BI82" s="390" t="n"/>
      <c r="BJ82" s="390" t="n"/>
      <c r="BK82" s="390" t="n"/>
      <c r="BL82" s="390" t="n"/>
      <c r="BM82" s="390" t="n"/>
      <c r="BN82" s="390" t="n"/>
      <c r="BO82" s="390" t="n"/>
      <c r="BP82" s="390" t="n"/>
      <c r="BQ82" s="390" t="n"/>
      <c r="BR82" s="390" t="n"/>
      <c r="BS82" s="390" t="n"/>
      <c r="BT82" s="390" t="n"/>
      <c r="BU82" s="390" t="n"/>
      <c r="BV82" s="390" t="n"/>
      <c r="BW82" s="390" t="n"/>
      <c r="BX82" s="390" t="n"/>
      <c r="BY82" s="390" t="n"/>
      <c r="BZ82" s="390" t="n"/>
      <c r="CA82" s="390" t="n"/>
      <c r="CB82" s="390" t="n"/>
      <c r="CC82" s="394" t="n"/>
      <c r="CF82" s="254" t="inlineStr">
        <is>
          <t>休日</t>
        </is>
      </c>
      <c r="CG82" s="395" t="n"/>
      <c r="CH82" s="395" t="n"/>
      <c r="CI82" s="396" t="n"/>
      <c r="CJ82" s="386">
        <f>IF(Q79="作業者1",N82-N79,0)</f>
        <v/>
      </c>
      <c r="CK82" s="387" t="n"/>
      <c r="CL82" s="387" t="n"/>
      <c r="CM82" s="387" t="n"/>
      <c r="CN82" s="388" t="n"/>
      <c r="CP82" s="253" t="inlineStr">
        <is>
          <t>休日</t>
        </is>
      </c>
      <c r="CQ82" s="384" t="n"/>
      <c r="CR82" s="384" t="n"/>
      <c r="CS82" s="385" t="n"/>
      <c r="CT82" s="386">
        <f>IF(Q79="作業者2",N82-N79,0)</f>
        <v/>
      </c>
      <c r="CU82" s="387" t="n"/>
      <c r="CV82" s="387" t="n"/>
      <c r="CW82" s="387" t="n"/>
      <c r="CX82" s="388" t="n"/>
      <c r="CZ82" s="254" t="inlineStr">
        <is>
          <t>休日</t>
        </is>
      </c>
      <c r="DA82" s="395" t="n"/>
      <c r="DB82" s="395" t="n"/>
      <c r="DC82" s="396" t="n"/>
      <c r="DD82" s="397">
        <f>IF(Q79="作業者3",N82-N79,0)</f>
        <v/>
      </c>
      <c r="DE82" s="395" t="n"/>
      <c r="DF82" s="395" t="n"/>
      <c r="DG82" s="395" t="n"/>
      <c r="DH82" s="396" t="n"/>
      <c r="DJ82" s="254" t="inlineStr">
        <is>
          <t>休日</t>
        </is>
      </c>
      <c r="DK82" s="395" t="n"/>
      <c r="DL82" s="395" t="n"/>
      <c r="DM82" s="396" t="n"/>
      <c r="DN82" s="397">
        <f>IF(Q79="作業者4",N82-N79,0)</f>
        <v/>
      </c>
      <c r="DO82" s="395" t="n"/>
      <c r="DP82" s="395" t="n"/>
      <c r="DQ82" s="395" t="n"/>
      <c r="DR82" s="396" t="n"/>
      <c r="DT82" s="254" t="inlineStr">
        <is>
          <t>休日</t>
        </is>
      </c>
      <c r="DU82" s="395" t="n"/>
      <c r="DV82" s="395" t="n"/>
      <c r="DW82" s="396" t="n"/>
      <c r="DX82" s="397">
        <f>IF(Q79="作業者5",N82-N79,0)</f>
        <v/>
      </c>
      <c r="DY82" s="395" t="n"/>
      <c r="DZ82" s="395" t="n"/>
      <c r="EA82" s="395" t="n"/>
      <c r="EB82" s="396" t="n"/>
    </row>
    <row r="83" ht="9" customHeight="1" s="337">
      <c r="B83" s="398" t="n"/>
      <c r="C83" s="372" t="n"/>
      <c r="D83" s="373" t="n"/>
      <c r="E83" s="399" t="n"/>
      <c r="F83" s="372" t="n"/>
      <c r="G83" s="373" t="n"/>
      <c r="H83" s="399" t="n"/>
      <c r="I83" s="372" t="n"/>
      <c r="J83" s="373" t="n"/>
      <c r="K83" s="399" t="n"/>
      <c r="L83" s="372" t="n"/>
      <c r="M83" s="373" t="n"/>
      <c r="N83" s="399" t="n"/>
      <c r="O83" s="372" t="n"/>
      <c r="P83" s="373" t="n"/>
      <c r="Q83" s="371" t="n"/>
      <c r="R83" s="372" t="n"/>
      <c r="S83" s="373" t="n"/>
      <c r="T83" s="371" t="n"/>
      <c r="U83" s="372" t="n"/>
      <c r="V83" s="373" t="n"/>
      <c r="W83" s="443" t="n"/>
      <c r="X83" s="372" t="n"/>
      <c r="Y83" s="372" t="n"/>
      <c r="Z83" s="372" t="n"/>
      <c r="AA83" s="372" t="n"/>
      <c r="AB83" s="372" t="n"/>
      <c r="AC83" s="372" t="n"/>
      <c r="AD83" s="372" t="n"/>
      <c r="AE83" s="372" t="n"/>
      <c r="AF83" s="372" t="n"/>
      <c r="AG83" s="372" t="n"/>
      <c r="AH83" s="372" t="n"/>
      <c r="AI83" s="372" t="n"/>
      <c r="AJ83" s="372" t="n"/>
      <c r="AK83" s="372" t="n"/>
      <c r="AL83" s="372" t="n"/>
      <c r="AM83" s="372" t="n"/>
      <c r="AN83" s="372" t="n"/>
      <c r="AO83" s="372" t="n"/>
      <c r="AP83" s="372" t="n"/>
      <c r="AQ83" s="372" t="n"/>
      <c r="AR83" s="372" t="n"/>
      <c r="AS83" s="372" t="n"/>
      <c r="AT83" s="372" t="n"/>
      <c r="AU83" s="372" t="n"/>
      <c r="AV83" s="372" t="n"/>
      <c r="AW83" s="372" t="n"/>
      <c r="AX83" s="372" t="n"/>
      <c r="AY83" s="372" t="n"/>
      <c r="AZ83" s="372" t="n"/>
      <c r="BA83" s="372" t="n"/>
      <c r="BB83" s="372" t="n"/>
      <c r="BC83" s="372" t="n"/>
      <c r="BD83" s="372" t="n"/>
      <c r="BE83" s="372" t="n"/>
      <c r="BF83" s="372" t="n"/>
      <c r="BG83" s="372" t="n"/>
      <c r="BH83" s="372" t="n"/>
      <c r="BI83" s="372" t="n"/>
      <c r="BJ83" s="372" t="n"/>
      <c r="BK83" s="372" t="n"/>
      <c r="BL83" s="372" t="n"/>
      <c r="BM83" s="372" t="n"/>
      <c r="BN83" s="372" t="n"/>
      <c r="BO83" s="372" t="n"/>
      <c r="BP83" s="372" t="n"/>
      <c r="BQ83" s="372" t="n"/>
      <c r="BR83" s="372" t="n"/>
      <c r="BS83" s="372" t="n"/>
      <c r="BT83" s="372" t="n"/>
      <c r="BU83" s="372" t="n"/>
      <c r="BV83" s="372" t="n"/>
      <c r="BW83" s="372" t="n"/>
      <c r="BX83" s="372" t="n"/>
      <c r="BY83" s="372" t="n"/>
      <c r="BZ83" s="372" t="n"/>
      <c r="CA83" s="372" t="n"/>
      <c r="CB83" s="372" t="n"/>
      <c r="CC83" s="402" t="n"/>
      <c r="CF83" s="259" t="inlineStr">
        <is>
          <t>移動</t>
        </is>
      </c>
      <c r="CG83" s="403" t="n"/>
      <c r="CH83" s="403" t="n"/>
      <c r="CI83" s="404" t="n"/>
      <c r="CJ83" s="379">
        <f>IF(Q83="作業者1",E86-E83,0)</f>
        <v/>
      </c>
      <c r="CK83" s="377" t="n"/>
      <c r="CL83" s="377" t="n"/>
      <c r="CM83" s="377" t="n"/>
      <c r="CN83" s="378" t="n"/>
      <c r="CP83" s="248" t="inlineStr">
        <is>
          <t>移動</t>
        </is>
      </c>
      <c r="CQ83" s="377" t="n"/>
      <c r="CR83" s="377" t="n"/>
      <c r="CS83" s="378" t="n"/>
      <c r="CT83" s="379">
        <f>IF(Q83="作業者2",E86-E83,0)</f>
        <v/>
      </c>
      <c r="CU83" s="377" t="n"/>
      <c r="CV83" s="377" t="n"/>
      <c r="CW83" s="377" t="n"/>
      <c r="CX83" s="378" t="n"/>
      <c r="CZ83" s="259" t="inlineStr">
        <is>
          <t>移動</t>
        </is>
      </c>
      <c r="DA83" s="403" t="n"/>
      <c r="DB83" s="403" t="n"/>
      <c r="DC83" s="404" t="n"/>
      <c r="DD83" s="405">
        <f>IF(Q83="作業者3",E86-E83,0)</f>
        <v/>
      </c>
      <c r="DE83" s="406" t="n"/>
      <c r="DF83" s="406" t="n"/>
      <c r="DG83" s="406" t="n"/>
      <c r="DH83" s="407" t="n"/>
      <c r="DJ83" s="259" t="inlineStr">
        <is>
          <t>移動</t>
        </is>
      </c>
      <c r="DK83" s="403" t="n"/>
      <c r="DL83" s="403" t="n"/>
      <c r="DM83" s="404" t="n"/>
      <c r="DN83" s="379">
        <f>IF(Q83="作業者4",E86-E83,0)</f>
        <v/>
      </c>
      <c r="DO83" s="377" t="n"/>
      <c r="DP83" s="377" t="n"/>
      <c r="DQ83" s="377" t="n"/>
      <c r="DR83" s="378" t="n"/>
      <c r="DT83" s="259" t="inlineStr">
        <is>
          <t>移動</t>
        </is>
      </c>
      <c r="DU83" s="403" t="n"/>
      <c r="DV83" s="403" t="n"/>
      <c r="DW83" s="404" t="n"/>
      <c r="DX83" s="379">
        <f>IF(Q83="作業者5",E86-E83,0)</f>
        <v/>
      </c>
      <c r="DY83" s="377" t="n"/>
      <c r="DZ83" s="377" t="n"/>
      <c r="EA83" s="377" t="n"/>
      <c r="EB83" s="378" t="n"/>
    </row>
    <row r="84" ht="9" customHeight="1" s="337">
      <c r="B84" s="350" t="n"/>
      <c r="C84" s="338" t="n"/>
      <c r="D84" s="380" t="n"/>
      <c r="E84" s="381" t="n"/>
      <c r="F84" s="122" t="inlineStr">
        <is>
          <t>～</t>
        </is>
      </c>
      <c r="G84" s="22" t="n"/>
      <c r="H84" s="381" t="n"/>
      <c r="I84" s="122" t="inlineStr">
        <is>
          <t>～</t>
        </is>
      </c>
      <c r="J84" s="22" t="n"/>
      <c r="K84" s="381" t="n"/>
      <c r="L84" s="122" t="inlineStr">
        <is>
          <t>～</t>
        </is>
      </c>
      <c r="M84" s="22" t="n"/>
      <c r="N84" s="381" t="n"/>
      <c r="O84" s="122" t="inlineStr">
        <is>
          <t>～</t>
        </is>
      </c>
      <c r="P84" s="22" t="n"/>
      <c r="Q84" s="382" t="n"/>
      <c r="R84" s="338" t="n"/>
      <c r="S84" s="380" t="n"/>
      <c r="T84" s="382" t="n"/>
      <c r="U84" s="338" t="n"/>
      <c r="V84" s="380" t="n"/>
      <c r="W84" s="382" t="n"/>
      <c r="X84" s="338" t="n"/>
      <c r="Y84" s="338" t="n"/>
      <c r="Z84" s="338" t="n"/>
      <c r="AA84" s="338" t="n"/>
      <c r="AB84" s="338" t="n"/>
      <c r="AC84" s="338" t="n"/>
      <c r="AD84" s="338" t="n"/>
      <c r="AE84" s="338" t="n"/>
      <c r="AF84" s="338" t="n"/>
      <c r="AG84" s="338" t="n"/>
      <c r="AH84" s="338" t="n"/>
      <c r="AI84" s="338" t="n"/>
      <c r="AJ84" s="338" t="n"/>
      <c r="AK84" s="338" t="n"/>
      <c r="AL84" s="338" t="n"/>
      <c r="AM84" s="338" t="n"/>
      <c r="AN84" s="338" t="n"/>
      <c r="AO84" s="338" t="n"/>
      <c r="AP84" s="338" t="n"/>
      <c r="AQ84" s="338" t="n"/>
      <c r="AR84" s="338" t="n"/>
      <c r="AS84" s="338" t="n"/>
      <c r="AT84" s="338" t="n"/>
      <c r="AU84" s="338" t="n"/>
      <c r="AV84" s="338" t="n"/>
      <c r="AW84" s="338" t="n"/>
      <c r="AX84" s="338" t="n"/>
      <c r="AY84" s="338" t="n"/>
      <c r="AZ84" s="338" t="n"/>
      <c r="BA84" s="338" t="n"/>
      <c r="BB84" s="338" t="n"/>
      <c r="BC84" s="338" t="n"/>
      <c r="BD84" s="338" t="n"/>
      <c r="BE84" s="338" t="n"/>
      <c r="BF84" s="338" t="n"/>
      <c r="BG84" s="338" t="n"/>
      <c r="BH84" s="338" t="n"/>
      <c r="BI84" s="338" t="n"/>
      <c r="BJ84" s="338" t="n"/>
      <c r="BK84" s="338" t="n"/>
      <c r="BL84" s="338" t="n"/>
      <c r="BM84" s="338" t="n"/>
      <c r="BN84" s="338" t="n"/>
      <c r="BO84" s="338" t="n"/>
      <c r="BP84" s="338" t="n"/>
      <c r="BQ84" s="338" t="n"/>
      <c r="BR84" s="338" t="n"/>
      <c r="BS84" s="338" t="n"/>
      <c r="BT84" s="338" t="n"/>
      <c r="BU84" s="338" t="n"/>
      <c r="BV84" s="338" t="n"/>
      <c r="BW84" s="338" t="n"/>
      <c r="BX84" s="338" t="n"/>
      <c r="BY84" s="338" t="n"/>
      <c r="BZ84" s="338" t="n"/>
      <c r="CA84" s="338" t="n"/>
      <c r="CB84" s="338" t="n"/>
      <c r="CC84" s="383" t="n"/>
      <c r="CF84" s="253" t="inlineStr">
        <is>
          <t>時間内</t>
        </is>
      </c>
      <c r="CG84" s="384" t="n"/>
      <c r="CH84" s="384" t="n"/>
      <c r="CI84" s="385" t="n"/>
      <c r="CJ84" s="386">
        <f>IF(Q83="作業者1",H86-H83,0)</f>
        <v/>
      </c>
      <c r="CK84" s="387" t="n"/>
      <c r="CL84" s="387" t="n"/>
      <c r="CM84" s="387" t="n"/>
      <c r="CN84" s="388" t="n"/>
      <c r="CP84" s="253" t="inlineStr">
        <is>
          <t>時間内</t>
        </is>
      </c>
      <c r="CQ84" s="384" t="n"/>
      <c r="CR84" s="384" t="n"/>
      <c r="CS84" s="385" t="n"/>
      <c r="CT84" s="386">
        <f>IF(Q83="作業者2",H86-H83,0)</f>
        <v/>
      </c>
      <c r="CU84" s="387" t="n"/>
      <c r="CV84" s="387" t="n"/>
      <c r="CW84" s="387" t="n"/>
      <c r="CX84" s="388" t="n"/>
      <c r="CZ84" s="253" t="inlineStr">
        <is>
          <t>時間内</t>
        </is>
      </c>
      <c r="DA84" s="384" t="n"/>
      <c r="DB84" s="384" t="n"/>
      <c r="DC84" s="385" t="n"/>
      <c r="DD84" s="386">
        <f>IF(Q83="作業者3",H86-H83,0)</f>
        <v/>
      </c>
      <c r="DE84" s="387" t="n"/>
      <c r="DF84" s="387" t="n"/>
      <c r="DG84" s="387" t="n"/>
      <c r="DH84" s="388" t="n"/>
      <c r="DJ84" s="253" t="inlineStr">
        <is>
          <t>時間内</t>
        </is>
      </c>
      <c r="DK84" s="384" t="n"/>
      <c r="DL84" s="384" t="n"/>
      <c r="DM84" s="385" t="n"/>
      <c r="DN84" s="386">
        <f>IF(Q83="作業者4",H86-H83,0)</f>
        <v/>
      </c>
      <c r="DO84" s="387" t="n"/>
      <c r="DP84" s="387" t="n"/>
      <c r="DQ84" s="387" t="n"/>
      <c r="DR84" s="388" t="n"/>
      <c r="DT84" s="253" t="inlineStr">
        <is>
          <t>時間内</t>
        </is>
      </c>
      <c r="DU84" s="384" t="n"/>
      <c r="DV84" s="384" t="n"/>
      <c r="DW84" s="385" t="n"/>
      <c r="DX84" s="386">
        <f>IF(Q83="作業者5",H86-H83,0)</f>
        <v/>
      </c>
      <c r="DY84" s="387" t="n"/>
      <c r="DZ84" s="387" t="n"/>
      <c r="EA84" s="387" t="n"/>
      <c r="EB84" s="388" t="n"/>
    </row>
    <row r="85" ht="9" customHeight="1" s="337">
      <c r="B85" s="350" t="n"/>
      <c r="C85" s="338" t="n"/>
      <c r="D85" s="380" t="n"/>
      <c r="E85" s="23" t="n"/>
      <c r="F85" s="338" t="n"/>
      <c r="G85" s="24" t="n"/>
      <c r="H85" s="23" t="n"/>
      <c r="I85" s="338" t="n"/>
      <c r="J85" s="24" t="n"/>
      <c r="K85" s="23" t="n"/>
      <c r="L85" s="338" t="n"/>
      <c r="M85" s="24" t="n"/>
      <c r="N85" s="23" t="n"/>
      <c r="O85" s="338" t="n"/>
      <c r="P85" s="24" t="n"/>
      <c r="Q85" s="382" t="n"/>
      <c r="R85" s="338" t="n"/>
      <c r="S85" s="380" t="n"/>
      <c r="T85" s="382" t="n"/>
      <c r="U85" s="338" t="n"/>
      <c r="V85" s="380" t="n"/>
      <c r="W85" s="382" t="n"/>
      <c r="X85" s="338" t="n"/>
      <c r="Y85" s="338" t="n"/>
      <c r="Z85" s="338" t="n"/>
      <c r="AA85" s="338" t="n"/>
      <c r="AB85" s="338" t="n"/>
      <c r="AC85" s="338" t="n"/>
      <c r="AD85" s="338" t="n"/>
      <c r="AE85" s="338" t="n"/>
      <c r="AF85" s="338" t="n"/>
      <c r="AG85" s="338" t="n"/>
      <c r="AH85" s="338" t="n"/>
      <c r="AI85" s="338" t="n"/>
      <c r="AJ85" s="338" t="n"/>
      <c r="AK85" s="338" t="n"/>
      <c r="AL85" s="338" t="n"/>
      <c r="AM85" s="338" t="n"/>
      <c r="AN85" s="338" t="n"/>
      <c r="AO85" s="338" t="n"/>
      <c r="AP85" s="338" t="n"/>
      <c r="AQ85" s="338" t="n"/>
      <c r="AR85" s="338" t="n"/>
      <c r="AS85" s="338" t="n"/>
      <c r="AT85" s="338" t="n"/>
      <c r="AU85" s="338" t="n"/>
      <c r="AV85" s="338" t="n"/>
      <c r="AW85" s="338" t="n"/>
      <c r="AX85" s="338" t="n"/>
      <c r="AY85" s="338" t="n"/>
      <c r="AZ85" s="338" t="n"/>
      <c r="BA85" s="338" t="n"/>
      <c r="BB85" s="338" t="n"/>
      <c r="BC85" s="338" t="n"/>
      <c r="BD85" s="338" t="n"/>
      <c r="BE85" s="338" t="n"/>
      <c r="BF85" s="338" t="n"/>
      <c r="BG85" s="338" t="n"/>
      <c r="BH85" s="338" t="n"/>
      <c r="BI85" s="338" t="n"/>
      <c r="BJ85" s="338" t="n"/>
      <c r="BK85" s="338" t="n"/>
      <c r="BL85" s="338" t="n"/>
      <c r="BM85" s="338" t="n"/>
      <c r="BN85" s="338" t="n"/>
      <c r="BO85" s="338" t="n"/>
      <c r="BP85" s="338" t="n"/>
      <c r="BQ85" s="338" t="n"/>
      <c r="BR85" s="338" t="n"/>
      <c r="BS85" s="338" t="n"/>
      <c r="BT85" s="338" t="n"/>
      <c r="BU85" s="338" t="n"/>
      <c r="BV85" s="338" t="n"/>
      <c r="BW85" s="338" t="n"/>
      <c r="BX85" s="338" t="n"/>
      <c r="BY85" s="338" t="n"/>
      <c r="BZ85" s="338" t="n"/>
      <c r="CA85" s="338" t="n"/>
      <c r="CB85" s="338" t="n"/>
      <c r="CC85" s="383" t="n"/>
      <c r="CF85" s="253" t="inlineStr">
        <is>
          <t>時間外</t>
        </is>
      </c>
      <c r="CG85" s="384" t="n"/>
      <c r="CH85" s="384" t="n"/>
      <c r="CI85" s="385" t="n"/>
      <c r="CJ85" s="386">
        <f>IF(Q83="作業者1",K86-K83,0)</f>
        <v/>
      </c>
      <c r="CK85" s="387" t="n"/>
      <c r="CL85" s="387" t="n"/>
      <c r="CM85" s="387" t="n"/>
      <c r="CN85" s="388" t="n"/>
      <c r="CP85" s="253" t="inlineStr">
        <is>
          <t>時間外</t>
        </is>
      </c>
      <c r="CQ85" s="384" t="n"/>
      <c r="CR85" s="384" t="n"/>
      <c r="CS85" s="385" t="n"/>
      <c r="CT85" s="386">
        <f>IF(Q83="作業者2",K86-K83,0)</f>
        <v/>
      </c>
      <c r="CU85" s="387" t="n"/>
      <c r="CV85" s="387" t="n"/>
      <c r="CW85" s="387" t="n"/>
      <c r="CX85" s="388" t="n"/>
      <c r="CZ85" s="253" t="inlineStr">
        <is>
          <t>時間外</t>
        </is>
      </c>
      <c r="DA85" s="384" t="n"/>
      <c r="DB85" s="384" t="n"/>
      <c r="DC85" s="385" t="n"/>
      <c r="DD85" s="386">
        <f>IF(Q83="作業者3",K86-K83,0)</f>
        <v/>
      </c>
      <c r="DE85" s="387" t="n"/>
      <c r="DF85" s="387" t="n"/>
      <c r="DG85" s="387" t="n"/>
      <c r="DH85" s="388" t="n"/>
      <c r="DJ85" s="253" t="inlineStr">
        <is>
          <t>時間外</t>
        </is>
      </c>
      <c r="DK85" s="384" t="n"/>
      <c r="DL85" s="384" t="n"/>
      <c r="DM85" s="385" t="n"/>
      <c r="DN85" s="386">
        <f>IF(Q83="作業者4",K86-K83,0)</f>
        <v/>
      </c>
      <c r="DO85" s="387" t="n"/>
      <c r="DP85" s="387" t="n"/>
      <c r="DQ85" s="387" t="n"/>
      <c r="DR85" s="388" t="n"/>
      <c r="DT85" s="253" t="inlineStr">
        <is>
          <t>時間外</t>
        </is>
      </c>
      <c r="DU85" s="384" t="n"/>
      <c r="DV85" s="384" t="n"/>
      <c r="DW85" s="385" t="n"/>
      <c r="DX85" s="386">
        <f>IF(Q83="作業者5",K86-K83,0)</f>
        <v/>
      </c>
      <c r="DY85" s="387" t="n"/>
      <c r="DZ85" s="387" t="n"/>
      <c r="EA85" s="387" t="n"/>
      <c r="EB85" s="388" t="n"/>
    </row>
    <row r="86" ht="9" customHeight="1" s="337">
      <c r="B86" s="389" t="n"/>
      <c r="C86" s="390" t="n"/>
      <c r="D86" s="391" t="n"/>
      <c r="E86" s="392" t="n"/>
      <c r="F86" s="390" t="n"/>
      <c r="G86" s="391" t="n"/>
      <c r="H86" s="392" t="n"/>
      <c r="I86" s="390" t="n"/>
      <c r="J86" s="391" t="n"/>
      <c r="K86" s="392" t="n"/>
      <c r="L86" s="390" t="n"/>
      <c r="M86" s="391" t="n"/>
      <c r="N86" s="392" t="n"/>
      <c r="O86" s="390" t="n"/>
      <c r="P86" s="391" t="n"/>
      <c r="Q86" s="393" t="n"/>
      <c r="R86" s="390" t="n"/>
      <c r="S86" s="391" t="n"/>
      <c r="T86" s="393" t="n"/>
      <c r="U86" s="390" t="n"/>
      <c r="V86" s="391" t="n"/>
      <c r="W86" s="393" t="n"/>
      <c r="X86" s="390" t="n"/>
      <c r="Y86" s="390" t="n"/>
      <c r="Z86" s="390" t="n"/>
      <c r="AA86" s="390" t="n"/>
      <c r="AB86" s="390" t="n"/>
      <c r="AC86" s="390" t="n"/>
      <c r="AD86" s="390" t="n"/>
      <c r="AE86" s="390" t="n"/>
      <c r="AF86" s="390" t="n"/>
      <c r="AG86" s="390" t="n"/>
      <c r="AH86" s="390" t="n"/>
      <c r="AI86" s="390" t="n"/>
      <c r="AJ86" s="390" t="n"/>
      <c r="AK86" s="390" t="n"/>
      <c r="AL86" s="390" t="n"/>
      <c r="AM86" s="390" t="n"/>
      <c r="AN86" s="390" t="n"/>
      <c r="AO86" s="390" t="n"/>
      <c r="AP86" s="390" t="n"/>
      <c r="AQ86" s="390" t="n"/>
      <c r="AR86" s="390" t="n"/>
      <c r="AS86" s="390" t="n"/>
      <c r="AT86" s="390" t="n"/>
      <c r="AU86" s="390" t="n"/>
      <c r="AV86" s="390" t="n"/>
      <c r="AW86" s="390" t="n"/>
      <c r="AX86" s="390" t="n"/>
      <c r="AY86" s="390" t="n"/>
      <c r="AZ86" s="390" t="n"/>
      <c r="BA86" s="390" t="n"/>
      <c r="BB86" s="390" t="n"/>
      <c r="BC86" s="390" t="n"/>
      <c r="BD86" s="390" t="n"/>
      <c r="BE86" s="390" t="n"/>
      <c r="BF86" s="390" t="n"/>
      <c r="BG86" s="390" t="n"/>
      <c r="BH86" s="390" t="n"/>
      <c r="BI86" s="390" t="n"/>
      <c r="BJ86" s="390" t="n"/>
      <c r="BK86" s="390" t="n"/>
      <c r="BL86" s="390" t="n"/>
      <c r="BM86" s="390" t="n"/>
      <c r="BN86" s="390" t="n"/>
      <c r="BO86" s="390" t="n"/>
      <c r="BP86" s="390" t="n"/>
      <c r="BQ86" s="390" t="n"/>
      <c r="BR86" s="390" t="n"/>
      <c r="BS86" s="390" t="n"/>
      <c r="BT86" s="390" t="n"/>
      <c r="BU86" s="390" t="n"/>
      <c r="BV86" s="390" t="n"/>
      <c r="BW86" s="390" t="n"/>
      <c r="BX86" s="390" t="n"/>
      <c r="BY86" s="390" t="n"/>
      <c r="BZ86" s="390" t="n"/>
      <c r="CA86" s="390" t="n"/>
      <c r="CB86" s="390" t="n"/>
      <c r="CC86" s="394" t="n"/>
      <c r="CF86" s="254" t="inlineStr">
        <is>
          <t>休日</t>
        </is>
      </c>
      <c r="CG86" s="395" t="n"/>
      <c r="CH86" s="395" t="n"/>
      <c r="CI86" s="396" t="n"/>
      <c r="CJ86" s="397">
        <f>IF(Q83="作業者1",N86-N83,0)</f>
        <v/>
      </c>
      <c r="CK86" s="395" t="n"/>
      <c r="CL86" s="395" t="n"/>
      <c r="CM86" s="395" t="n"/>
      <c r="CN86" s="396" t="n"/>
      <c r="CP86" s="254" t="inlineStr">
        <is>
          <t>休日</t>
        </is>
      </c>
      <c r="CQ86" s="395" t="n"/>
      <c r="CR86" s="395" t="n"/>
      <c r="CS86" s="396" t="n"/>
      <c r="CT86" s="397">
        <f>IF(Q83="作業者2",N86-N83,0)</f>
        <v/>
      </c>
      <c r="CU86" s="395" t="n"/>
      <c r="CV86" s="395" t="n"/>
      <c r="CW86" s="395" t="n"/>
      <c r="CX86" s="396" t="n"/>
      <c r="CZ86" s="254" t="inlineStr">
        <is>
          <t>休日</t>
        </is>
      </c>
      <c r="DA86" s="395" t="n"/>
      <c r="DB86" s="395" t="n"/>
      <c r="DC86" s="396" t="n"/>
      <c r="DD86" s="397">
        <f>IF(Q83="作業者3",N86-N83,0)</f>
        <v/>
      </c>
      <c r="DE86" s="395" t="n"/>
      <c r="DF86" s="395" t="n"/>
      <c r="DG86" s="395" t="n"/>
      <c r="DH86" s="396" t="n"/>
      <c r="DJ86" s="254" t="inlineStr">
        <is>
          <t>休日</t>
        </is>
      </c>
      <c r="DK86" s="395" t="n"/>
      <c r="DL86" s="395" t="n"/>
      <c r="DM86" s="396" t="n"/>
      <c r="DN86" s="397">
        <f>IF(Q83="作業者4",N86-N83,0)</f>
        <v/>
      </c>
      <c r="DO86" s="395" t="n"/>
      <c r="DP86" s="395" t="n"/>
      <c r="DQ86" s="395" t="n"/>
      <c r="DR86" s="396" t="n"/>
      <c r="DT86" s="254" t="inlineStr">
        <is>
          <t>休日</t>
        </is>
      </c>
      <c r="DU86" s="395" t="n"/>
      <c r="DV86" s="395" t="n"/>
      <c r="DW86" s="396" t="n"/>
      <c r="DX86" s="397">
        <f>IF(Q83="作業者5",N86-N83,0)</f>
        <v/>
      </c>
      <c r="DY86" s="395" t="n"/>
      <c r="DZ86" s="395" t="n"/>
      <c r="EA86" s="395" t="n"/>
      <c r="EB86" s="396" t="n"/>
    </row>
    <row r="87" ht="9" customHeight="1" s="337">
      <c r="B87" s="398" t="n"/>
      <c r="C87" s="372" t="n"/>
      <c r="D87" s="373" t="n"/>
      <c r="E87" s="399" t="n"/>
      <c r="F87" s="372" t="n"/>
      <c r="G87" s="373" t="n"/>
      <c r="H87" s="399" t="n"/>
      <c r="I87" s="372" t="n"/>
      <c r="J87" s="373" t="n"/>
      <c r="K87" s="399" t="n"/>
      <c r="L87" s="372" t="n"/>
      <c r="M87" s="373" t="n"/>
      <c r="N87" s="399" t="n"/>
      <c r="O87" s="372" t="n"/>
      <c r="P87" s="373" t="n"/>
      <c r="Q87" s="371" t="n"/>
      <c r="R87" s="372" t="n"/>
      <c r="S87" s="373" t="n"/>
      <c r="T87" s="371" t="n"/>
      <c r="U87" s="372" t="n"/>
      <c r="V87" s="373" t="n"/>
      <c r="W87" s="443" t="n"/>
      <c r="X87" s="372" t="n"/>
      <c r="Y87" s="372" t="n"/>
      <c r="Z87" s="372" t="n"/>
      <c r="AA87" s="372" t="n"/>
      <c r="AB87" s="372" t="n"/>
      <c r="AC87" s="372" t="n"/>
      <c r="AD87" s="372" t="n"/>
      <c r="AE87" s="372" t="n"/>
      <c r="AF87" s="372" t="n"/>
      <c r="AG87" s="372" t="n"/>
      <c r="AH87" s="372" t="n"/>
      <c r="AI87" s="372" t="n"/>
      <c r="AJ87" s="372" t="n"/>
      <c r="AK87" s="372" t="n"/>
      <c r="AL87" s="372" t="n"/>
      <c r="AM87" s="372" t="n"/>
      <c r="AN87" s="372" t="n"/>
      <c r="AO87" s="372" t="n"/>
      <c r="AP87" s="372" t="n"/>
      <c r="AQ87" s="372" t="n"/>
      <c r="AR87" s="372" t="n"/>
      <c r="AS87" s="372" t="n"/>
      <c r="AT87" s="372" t="n"/>
      <c r="AU87" s="372" t="n"/>
      <c r="AV87" s="372" t="n"/>
      <c r="AW87" s="372" t="n"/>
      <c r="AX87" s="372" t="n"/>
      <c r="AY87" s="372" t="n"/>
      <c r="AZ87" s="372" t="n"/>
      <c r="BA87" s="372" t="n"/>
      <c r="BB87" s="372" t="n"/>
      <c r="BC87" s="372" t="n"/>
      <c r="BD87" s="372" t="n"/>
      <c r="BE87" s="372" t="n"/>
      <c r="BF87" s="372" t="n"/>
      <c r="BG87" s="372" t="n"/>
      <c r="BH87" s="372" t="n"/>
      <c r="BI87" s="372" t="n"/>
      <c r="BJ87" s="372" t="n"/>
      <c r="BK87" s="372" t="n"/>
      <c r="BL87" s="372" t="n"/>
      <c r="BM87" s="372" t="n"/>
      <c r="BN87" s="372" t="n"/>
      <c r="BO87" s="372" t="n"/>
      <c r="BP87" s="372" t="n"/>
      <c r="BQ87" s="372" t="n"/>
      <c r="BR87" s="372" t="n"/>
      <c r="BS87" s="372" t="n"/>
      <c r="BT87" s="372" t="n"/>
      <c r="BU87" s="372" t="n"/>
      <c r="BV87" s="372" t="n"/>
      <c r="BW87" s="372" t="n"/>
      <c r="BX87" s="372" t="n"/>
      <c r="BY87" s="372" t="n"/>
      <c r="BZ87" s="372" t="n"/>
      <c r="CA87" s="372" t="n"/>
      <c r="CB87" s="372" t="n"/>
      <c r="CC87" s="402" t="n"/>
      <c r="CF87" s="248" t="inlineStr">
        <is>
          <t>移動</t>
        </is>
      </c>
      <c r="CG87" s="377" t="n"/>
      <c r="CH87" s="377" t="n"/>
      <c r="CI87" s="378" t="n"/>
      <c r="CJ87" s="379">
        <f>IF(Q87="作業者1",E90-E87,0)</f>
        <v/>
      </c>
      <c r="CK87" s="377" t="n"/>
      <c r="CL87" s="377" t="n"/>
      <c r="CM87" s="377" t="n"/>
      <c r="CN87" s="378" t="n"/>
      <c r="CP87" s="248" t="inlineStr">
        <is>
          <t>移動</t>
        </is>
      </c>
      <c r="CQ87" s="377" t="n"/>
      <c r="CR87" s="377" t="n"/>
      <c r="CS87" s="378" t="n"/>
      <c r="CT87" s="379">
        <f>IF(Q87="作業者2",E90-E87,0)</f>
        <v/>
      </c>
      <c r="CU87" s="377" t="n"/>
      <c r="CV87" s="377" t="n"/>
      <c r="CW87" s="377" t="n"/>
      <c r="CX87" s="378" t="n"/>
      <c r="CZ87" s="248" t="inlineStr">
        <is>
          <t>移動</t>
        </is>
      </c>
      <c r="DA87" s="377" t="n"/>
      <c r="DB87" s="377" t="n"/>
      <c r="DC87" s="378" t="n"/>
      <c r="DD87" s="379">
        <f>IF(Q87="作業者3",E90-E87,0)</f>
        <v/>
      </c>
      <c r="DE87" s="377" t="n"/>
      <c r="DF87" s="377" t="n"/>
      <c r="DG87" s="377" t="n"/>
      <c r="DH87" s="378" t="n"/>
      <c r="DJ87" s="248" t="inlineStr">
        <is>
          <t>移動</t>
        </is>
      </c>
      <c r="DK87" s="377" t="n"/>
      <c r="DL87" s="377" t="n"/>
      <c r="DM87" s="378" t="n"/>
      <c r="DN87" s="379">
        <f>IF(Q87="作業者4",E90-E87,0)</f>
        <v/>
      </c>
      <c r="DO87" s="377" t="n"/>
      <c r="DP87" s="377" t="n"/>
      <c r="DQ87" s="377" t="n"/>
      <c r="DR87" s="378" t="n"/>
      <c r="DT87" s="259" t="inlineStr">
        <is>
          <t>移動</t>
        </is>
      </c>
      <c r="DU87" s="403" t="n"/>
      <c r="DV87" s="403" t="n"/>
      <c r="DW87" s="404" t="n"/>
      <c r="DX87" s="379">
        <f>IF(Q87="作業者5",E90-E87,0)</f>
        <v/>
      </c>
      <c r="DY87" s="377" t="n"/>
      <c r="DZ87" s="377" t="n"/>
      <c r="EA87" s="377" t="n"/>
      <c r="EB87" s="378" t="n"/>
    </row>
    <row r="88" ht="9" customHeight="1" s="337">
      <c r="B88" s="350" t="n"/>
      <c r="C88" s="338" t="n"/>
      <c r="D88" s="380" t="n"/>
      <c r="E88" s="381" t="n"/>
      <c r="F88" s="122" t="inlineStr">
        <is>
          <t>～</t>
        </is>
      </c>
      <c r="G88" s="22" t="n"/>
      <c r="H88" s="381" t="n"/>
      <c r="I88" s="122" t="inlineStr">
        <is>
          <t>～</t>
        </is>
      </c>
      <c r="J88" s="22" t="n"/>
      <c r="K88" s="381" t="n"/>
      <c r="L88" s="122" t="inlineStr">
        <is>
          <t>～</t>
        </is>
      </c>
      <c r="M88" s="22" t="n"/>
      <c r="N88" s="381" t="n"/>
      <c r="O88" s="122" t="inlineStr">
        <is>
          <t>～</t>
        </is>
      </c>
      <c r="P88" s="22" t="n"/>
      <c r="Q88" s="382" t="n"/>
      <c r="R88" s="338" t="n"/>
      <c r="S88" s="380" t="n"/>
      <c r="T88" s="382" t="n"/>
      <c r="U88" s="338" t="n"/>
      <c r="V88" s="380" t="n"/>
      <c r="W88" s="382" t="n"/>
      <c r="X88" s="338" t="n"/>
      <c r="Y88" s="338" t="n"/>
      <c r="Z88" s="338" t="n"/>
      <c r="AA88" s="338" t="n"/>
      <c r="AB88" s="338" t="n"/>
      <c r="AC88" s="338" t="n"/>
      <c r="AD88" s="338" t="n"/>
      <c r="AE88" s="338" t="n"/>
      <c r="AF88" s="338" t="n"/>
      <c r="AG88" s="338" t="n"/>
      <c r="AH88" s="338" t="n"/>
      <c r="AI88" s="338" t="n"/>
      <c r="AJ88" s="338" t="n"/>
      <c r="AK88" s="338" t="n"/>
      <c r="AL88" s="338" t="n"/>
      <c r="AM88" s="338" t="n"/>
      <c r="AN88" s="338" t="n"/>
      <c r="AO88" s="338" t="n"/>
      <c r="AP88" s="338" t="n"/>
      <c r="AQ88" s="338" t="n"/>
      <c r="AR88" s="338" t="n"/>
      <c r="AS88" s="338" t="n"/>
      <c r="AT88" s="338" t="n"/>
      <c r="AU88" s="338" t="n"/>
      <c r="AV88" s="338" t="n"/>
      <c r="AW88" s="338" t="n"/>
      <c r="AX88" s="338" t="n"/>
      <c r="AY88" s="338" t="n"/>
      <c r="AZ88" s="338" t="n"/>
      <c r="BA88" s="338" t="n"/>
      <c r="BB88" s="338" t="n"/>
      <c r="BC88" s="338" t="n"/>
      <c r="BD88" s="338" t="n"/>
      <c r="BE88" s="338" t="n"/>
      <c r="BF88" s="338" t="n"/>
      <c r="BG88" s="338" t="n"/>
      <c r="BH88" s="338" t="n"/>
      <c r="BI88" s="338" t="n"/>
      <c r="BJ88" s="338" t="n"/>
      <c r="BK88" s="338" t="n"/>
      <c r="BL88" s="338" t="n"/>
      <c r="BM88" s="338" t="n"/>
      <c r="BN88" s="338" t="n"/>
      <c r="BO88" s="338" t="n"/>
      <c r="BP88" s="338" t="n"/>
      <c r="BQ88" s="338" t="n"/>
      <c r="BR88" s="338" t="n"/>
      <c r="BS88" s="338" t="n"/>
      <c r="BT88" s="338" t="n"/>
      <c r="BU88" s="338" t="n"/>
      <c r="BV88" s="338" t="n"/>
      <c r="BW88" s="338" t="n"/>
      <c r="BX88" s="338" t="n"/>
      <c r="BY88" s="338" t="n"/>
      <c r="BZ88" s="338" t="n"/>
      <c r="CA88" s="338" t="n"/>
      <c r="CB88" s="338" t="n"/>
      <c r="CC88" s="383" t="n"/>
      <c r="CF88" s="253" t="inlineStr">
        <is>
          <t>時間内</t>
        </is>
      </c>
      <c r="CG88" s="384" t="n"/>
      <c r="CH88" s="384" t="n"/>
      <c r="CI88" s="385" t="n"/>
      <c r="CJ88" s="386">
        <f>IF(Q87="作業者1",H90-H87,0)</f>
        <v/>
      </c>
      <c r="CK88" s="387" t="n"/>
      <c r="CL88" s="387" t="n"/>
      <c r="CM88" s="387" t="n"/>
      <c r="CN88" s="388" t="n"/>
      <c r="CP88" s="253" t="inlineStr">
        <is>
          <t>時間内</t>
        </is>
      </c>
      <c r="CQ88" s="384" t="n"/>
      <c r="CR88" s="384" t="n"/>
      <c r="CS88" s="385" t="n"/>
      <c r="CT88" s="386">
        <f>IF(Q87="作業者2",H90-H87,0)</f>
        <v/>
      </c>
      <c r="CU88" s="387" t="n"/>
      <c r="CV88" s="387" t="n"/>
      <c r="CW88" s="387" t="n"/>
      <c r="CX88" s="388" t="n"/>
      <c r="CZ88" s="253" t="inlineStr">
        <is>
          <t>時間内</t>
        </is>
      </c>
      <c r="DA88" s="384" t="n"/>
      <c r="DB88" s="384" t="n"/>
      <c r="DC88" s="385" t="n"/>
      <c r="DD88" s="386">
        <f>IF(Q87="作業者3",H90-H87,0)</f>
        <v/>
      </c>
      <c r="DE88" s="387" t="n"/>
      <c r="DF88" s="387" t="n"/>
      <c r="DG88" s="387" t="n"/>
      <c r="DH88" s="388" t="n"/>
      <c r="DJ88" s="253" t="inlineStr">
        <is>
          <t>時間内</t>
        </is>
      </c>
      <c r="DK88" s="384" t="n"/>
      <c r="DL88" s="384" t="n"/>
      <c r="DM88" s="385" t="n"/>
      <c r="DN88" s="386">
        <f>IF(Q87="作業者4",H90-H87,0)</f>
        <v/>
      </c>
      <c r="DO88" s="387" t="n"/>
      <c r="DP88" s="387" t="n"/>
      <c r="DQ88" s="387" t="n"/>
      <c r="DR88" s="388" t="n"/>
      <c r="DT88" s="253" t="inlineStr">
        <is>
          <t>時間内</t>
        </is>
      </c>
      <c r="DU88" s="384" t="n"/>
      <c r="DV88" s="384" t="n"/>
      <c r="DW88" s="385" t="n"/>
      <c r="DX88" s="386">
        <f>IF(Q87="作業者5",H90-H87,0)</f>
        <v/>
      </c>
      <c r="DY88" s="387" t="n"/>
      <c r="DZ88" s="387" t="n"/>
      <c r="EA88" s="387" t="n"/>
      <c r="EB88" s="388" t="n"/>
    </row>
    <row r="89" ht="9" customHeight="1" s="337">
      <c r="B89" s="350" t="n"/>
      <c r="C89" s="338" t="n"/>
      <c r="D89" s="380" t="n"/>
      <c r="E89" s="23" t="n"/>
      <c r="F89" s="338" t="n"/>
      <c r="G89" s="24" t="n"/>
      <c r="H89" s="23" t="n"/>
      <c r="I89" s="338" t="n"/>
      <c r="J89" s="24" t="n"/>
      <c r="K89" s="23" t="n"/>
      <c r="L89" s="338" t="n"/>
      <c r="M89" s="24" t="n"/>
      <c r="N89" s="23" t="n"/>
      <c r="O89" s="338" t="n"/>
      <c r="P89" s="24" t="n"/>
      <c r="Q89" s="382" t="n"/>
      <c r="R89" s="338" t="n"/>
      <c r="S89" s="380" t="n"/>
      <c r="T89" s="382" t="n"/>
      <c r="U89" s="338" t="n"/>
      <c r="V89" s="380" t="n"/>
      <c r="W89" s="382" t="n"/>
      <c r="X89" s="338" t="n"/>
      <c r="Y89" s="338" t="n"/>
      <c r="Z89" s="338" t="n"/>
      <c r="AA89" s="338" t="n"/>
      <c r="AB89" s="338" t="n"/>
      <c r="AC89" s="338" t="n"/>
      <c r="AD89" s="338" t="n"/>
      <c r="AE89" s="338" t="n"/>
      <c r="AF89" s="338" t="n"/>
      <c r="AG89" s="338" t="n"/>
      <c r="AH89" s="338" t="n"/>
      <c r="AI89" s="338" t="n"/>
      <c r="AJ89" s="338" t="n"/>
      <c r="AK89" s="338" t="n"/>
      <c r="AL89" s="338" t="n"/>
      <c r="AM89" s="338" t="n"/>
      <c r="AN89" s="338" t="n"/>
      <c r="AO89" s="338" t="n"/>
      <c r="AP89" s="338" t="n"/>
      <c r="AQ89" s="338" t="n"/>
      <c r="AR89" s="338" t="n"/>
      <c r="AS89" s="338" t="n"/>
      <c r="AT89" s="338" t="n"/>
      <c r="AU89" s="338" t="n"/>
      <c r="AV89" s="338" t="n"/>
      <c r="AW89" s="338" t="n"/>
      <c r="AX89" s="338" t="n"/>
      <c r="AY89" s="338" t="n"/>
      <c r="AZ89" s="338" t="n"/>
      <c r="BA89" s="338" t="n"/>
      <c r="BB89" s="338" t="n"/>
      <c r="BC89" s="338" t="n"/>
      <c r="BD89" s="338" t="n"/>
      <c r="BE89" s="338" t="n"/>
      <c r="BF89" s="338" t="n"/>
      <c r="BG89" s="338" t="n"/>
      <c r="BH89" s="338" t="n"/>
      <c r="BI89" s="338" t="n"/>
      <c r="BJ89" s="338" t="n"/>
      <c r="BK89" s="338" t="n"/>
      <c r="BL89" s="338" t="n"/>
      <c r="BM89" s="338" t="n"/>
      <c r="BN89" s="338" t="n"/>
      <c r="BO89" s="338" t="n"/>
      <c r="BP89" s="338" t="n"/>
      <c r="BQ89" s="338" t="n"/>
      <c r="BR89" s="338" t="n"/>
      <c r="BS89" s="338" t="n"/>
      <c r="BT89" s="338" t="n"/>
      <c r="BU89" s="338" t="n"/>
      <c r="BV89" s="338" t="n"/>
      <c r="BW89" s="338" t="n"/>
      <c r="BX89" s="338" t="n"/>
      <c r="BY89" s="338" t="n"/>
      <c r="BZ89" s="338" t="n"/>
      <c r="CA89" s="338" t="n"/>
      <c r="CB89" s="338" t="n"/>
      <c r="CC89" s="383" t="n"/>
      <c r="CF89" s="253" t="inlineStr">
        <is>
          <t>時間外</t>
        </is>
      </c>
      <c r="CG89" s="384" t="n"/>
      <c r="CH89" s="384" t="n"/>
      <c r="CI89" s="385" t="n"/>
      <c r="CJ89" s="386">
        <f>IF(Q87="作業者1",K90-K87,0)</f>
        <v/>
      </c>
      <c r="CK89" s="387" t="n"/>
      <c r="CL89" s="387" t="n"/>
      <c r="CM89" s="387" t="n"/>
      <c r="CN89" s="388" t="n"/>
      <c r="CP89" s="253" t="inlineStr">
        <is>
          <t>時間外</t>
        </is>
      </c>
      <c r="CQ89" s="384" t="n"/>
      <c r="CR89" s="384" t="n"/>
      <c r="CS89" s="385" t="n"/>
      <c r="CT89" s="386">
        <f>IF(Q87="作業者2",K90-K87,0)</f>
        <v/>
      </c>
      <c r="CU89" s="387" t="n"/>
      <c r="CV89" s="387" t="n"/>
      <c r="CW89" s="387" t="n"/>
      <c r="CX89" s="388" t="n"/>
      <c r="CZ89" s="253" t="inlineStr">
        <is>
          <t>時間外</t>
        </is>
      </c>
      <c r="DA89" s="384" t="n"/>
      <c r="DB89" s="384" t="n"/>
      <c r="DC89" s="385" t="n"/>
      <c r="DD89" s="386">
        <f>IF(Q87="作業者3",K90-K87,0)</f>
        <v/>
      </c>
      <c r="DE89" s="387" t="n"/>
      <c r="DF89" s="387" t="n"/>
      <c r="DG89" s="387" t="n"/>
      <c r="DH89" s="388" t="n"/>
      <c r="DJ89" s="253" t="inlineStr">
        <is>
          <t>時間外</t>
        </is>
      </c>
      <c r="DK89" s="384" t="n"/>
      <c r="DL89" s="384" t="n"/>
      <c r="DM89" s="385" t="n"/>
      <c r="DN89" s="386">
        <f>IF(Q87="作業者4",K90-K87,0)</f>
        <v/>
      </c>
      <c r="DO89" s="387" t="n"/>
      <c r="DP89" s="387" t="n"/>
      <c r="DQ89" s="387" t="n"/>
      <c r="DR89" s="388" t="n"/>
      <c r="DT89" s="253" t="inlineStr">
        <is>
          <t>時間外</t>
        </is>
      </c>
      <c r="DU89" s="384" t="n"/>
      <c r="DV89" s="384" t="n"/>
      <c r="DW89" s="385" t="n"/>
      <c r="DX89" s="386">
        <f>IF(Q87="作業者5",K90-K87,0)</f>
        <v/>
      </c>
      <c r="DY89" s="387" t="n"/>
      <c r="DZ89" s="387" t="n"/>
      <c r="EA89" s="387" t="n"/>
      <c r="EB89" s="388" t="n"/>
    </row>
    <row r="90" ht="9" customHeight="1" s="337">
      <c r="B90" s="389" t="n"/>
      <c r="C90" s="390" t="n"/>
      <c r="D90" s="391" t="n"/>
      <c r="E90" s="392" t="n"/>
      <c r="F90" s="390" t="n"/>
      <c r="G90" s="391" t="n"/>
      <c r="H90" s="392" t="n"/>
      <c r="I90" s="390" t="n"/>
      <c r="J90" s="391" t="n"/>
      <c r="K90" s="392" t="n"/>
      <c r="L90" s="390" t="n"/>
      <c r="M90" s="391" t="n"/>
      <c r="N90" s="392" t="n"/>
      <c r="O90" s="390" t="n"/>
      <c r="P90" s="391" t="n"/>
      <c r="Q90" s="393" t="n"/>
      <c r="R90" s="390" t="n"/>
      <c r="S90" s="391" t="n"/>
      <c r="T90" s="393" t="n"/>
      <c r="U90" s="390" t="n"/>
      <c r="V90" s="391" t="n"/>
      <c r="W90" s="393" t="n"/>
      <c r="X90" s="390" t="n"/>
      <c r="Y90" s="390" t="n"/>
      <c r="Z90" s="390" t="n"/>
      <c r="AA90" s="390" t="n"/>
      <c r="AB90" s="390" t="n"/>
      <c r="AC90" s="390" t="n"/>
      <c r="AD90" s="390" t="n"/>
      <c r="AE90" s="390" t="n"/>
      <c r="AF90" s="390" t="n"/>
      <c r="AG90" s="390" t="n"/>
      <c r="AH90" s="390" t="n"/>
      <c r="AI90" s="390" t="n"/>
      <c r="AJ90" s="390" t="n"/>
      <c r="AK90" s="390" t="n"/>
      <c r="AL90" s="390" t="n"/>
      <c r="AM90" s="390" t="n"/>
      <c r="AN90" s="390" t="n"/>
      <c r="AO90" s="390" t="n"/>
      <c r="AP90" s="390" t="n"/>
      <c r="AQ90" s="390" t="n"/>
      <c r="AR90" s="390" t="n"/>
      <c r="AS90" s="390" t="n"/>
      <c r="AT90" s="390" t="n"/>
      <c r="AU90" s="390" t="n"/>
      <c r="AV90" s="390" t="n"/>
      <c r="AW90" s="390" t="n"/>
      <c r="AX90" s="390" t="n"/>
      <c r="AY90" s="390" t="n"/>
      <c r="AZ90" s="390" t="n"/>
      <c r="BA90" s="390" t="n"/>
      <c r="BB90" s="390" t="n"/>
      <c r="BC90" s="390" t="n"/>
      <c r="BD90" s="390" t="n"/>
      <c r="BE90" s="390" t="n"/>
      <c r="BF90" s="390" t="n"/>
      <c r="BG90" s="390" t="n"/>
      <c r="BH90" s="390" t="n"/>
      <c r="BI90" s="390" t="n"/>
      <c r="BJ90" s="390" t="n"/>
      <c r="BK90" s="390" t="n"/>
      <c r="BL90" s="390" t="n"/>
      <c r="BM90" s="390" t="n"/>
      <c r="BN90" s="390" t="n"/>
      <c r="BO90" s="390" t="n"/>
      <c r="BP90" s="390" t="n"/>
      <c r="BQ90" s="390" t="n"/>
      <c r="BR90" s="390" t="n"/>
      <c r="BS90" s="390" t="n"/>
      <c r="BT90" s="390" t="n"/>
      <c r="BU90" s="390" t="n"/>
      <c r="BV90" s="390" t="n"/>
      <c r="BW90" s="390" t="n"/>
      <c r="BX90" s="390" t="n"/>
      <c r="BY90" s="390" t="n"/>
      <c r="BZ90" s="390" t="n"/>
      <c r="CA90" s="390" t="n"/>
      <c r="CB90" s="390" t="n"/>
      <c r="CC90" s="394" t="n"/>
      <c r="CF90" s="254" t="inlineStr">
        <is>
          <t>休日</t>
        </is>
      </c>
      <c r="CG90" s="395" t="n"/>
      <c r="CH90" s="395" t="n"/>
      <c r="CI90" s="396" t="n"/>
      <c r="CJ90" s="386">
        <f>IF(Q87="作業者1",N90-N87,0)</f>
        <v/>
      </c>
      <c r="CK90" s="387" t="n"/>
      <c r="CL90" s="387" t="n"/>
      <c r="CM90" s="387" t="n"/>
      <c r="CN90" s="388" t="n"/>
      <c r="CP90" s="253" t="inlineStr">
        <is>
          <t>休日</t>
        </is>
      </c>
      <c r="CQ90" s="384" t="n"/>
      <c r="CR90" s="384" t="n"/>
      <c r="CS90" s="385" t="n"/>
      <c r="CT90" s="386">
        <f>IF(Q87="作業者2",N90-N87,0)</f>
        <v/>
      </c>
      <c r="CU90" s="387" t="n"/>
      <c r="CV90" s="387" t="n"/>
      <c r="CW90" s="387" t="n"/>
      <c r="CX90" s="388" t="n"/>
      <c r="CZ90" s="254" t="inlineStr">
        <is>
          <t>休日</t>
        </is>
      </c>
      <c r="DA90" s="395" t="n"/>
      <c r="DB90" s="395" t="n"/>
      <c r="DC90" s="396" t="n"/>
      <c r="DD90" s="397">
        <f>IF(Q87="作業者3",N90-N87,0)</f>
        <v/>
      </c>
      <c r="DE90" s="395" t="n"/>
      <c r="DF90" s="395" t="n"/>
      <c r="DG90" s="395" t="n"/>
      <c r="DH90" s="396" t="n"/>
      <c r="DJ90" s="254" t="inlineStr">
        <is>
          <t>休日</t>
        </is>
      </c>
      <c r="DK90" s="395" t="n"/>
      <c r="DL90" s="395" t="n"/>
      <c r="DM90" s="396" t="n"/>
      <c r="DN90" s="397">
        <f>IF(Q87="作業者4",N90-N87,0)</f>
        <v/>
      </c>
      <c r="DO90" s="395" t="n"/>
      <c r="DP90" s="395" t="n"/>
      <c r="DQ90" s="395" t="n"/>
      <c r="DR90" s="396" t="n"/>
      <c r="DT90" s="254" t="inlineStr">
        <is>
          <t>休日</t>
        </is>
      </c>
      <c r="DU90" s="395" t="n"/>
      <c r="DV90" s="395" t="n"/>
      <c r="DW90" s="396" t="n"/>
      <c r="DX90" s="397">
        <f>IF(Q87="作業者5",N90-N87,0)</f>
        <v/>
      </c>
      <c r="DY90" s="395" t="n"/>
      <c r="DZ90" s="395" t="n"/>
      <c r="EA90" s="395" t="n"/>
      <c r="EB90" s="396" t="n"/>
    </row>
    <row r="91" ht="9" customHeight="1" s="337">
      <c r="B91" s="398" t="n"/>
      <c r="C91" s="372" t="n"/>
      <c r="D91" s="373" t="n"/>
      <c r="E91" s="399" t="n"/>
      <c r="F91" s="372" t="n"/>
      <c r="G91" s="373" t="n"/>
      <c r="H91" s="399" t="n"/>
      <c r="I91" s="372" t="n"/>
      <c r="J91" s="373" t="n"/>
      <c r="K91" s="399" t="n"/>
      <c r="L91" s="372" t="n"/>
      <c r="M91" s="373" t="n"/>
      <c r="N91" s="399" t="n"/>
      <c r="O91" s="372" t="n"/>
      <c r="P91" s="373" t="n"/>
      <c r="Q91" s="371" t="n"/>
      <c r="R91" s="372" t="n"/>
      <c r="S91" s="373" t="n"/>
      <c r="T91" s="371" t="n"/>
      <c r="U91" s="372" t="n"/>
      <c r="V91" s="373" t="n"/>
      <c r="W91" s="443" t="n"/>
      <c r="X91" s="372" t="n"/>
      <c r="Y91" s="372" t="n"/>
      <c r="Z91" s="372" t="n"/>
      <c r="AA91" s="372" t="n"/>
      <c r="AB91" s="372" t="n"/>
      <c r="AC91" s="372" t="n"/>
      <c r="AD91" s="372" t="n"/>
      <c r="AE91" s="372" t="n"/>
      <c r="AF91" s="372" t="n"/>
      <c r="AG91" s="372" t="n"/>
      <c r="AH91" s="372" t="n"/>
      <c r="AI91" s="372" t="n"/>
      <c r="AJ91" s="372" t="n"/>
      <c r="AK91" s="372" t="n"/>
      <c r="AL91" s="372" t="n"/>
      <c r="AM91" s="372" t="n"/>
      <c r="AN91" s="372" t="n"/>
      <c r="AO91" s="372" t="n"/>
      <c r="AP91" s="372" t="n"/>
      <c r="AQ91" s="372" t="n"/>
      <c r="AR91" s="372" t="n"/>
      <c r="AS91" s="372" t="n"/>
      <c r="AT91" s="372" t="n"/>
      <c r="AU91" s="372" t="n"/>
      <c r="AV91" s="372" t="n"/>
      <c r="AW91" s="372" t="n"/>
      <c r="AX91" s="372" t="n"/>
      <c r="AY91" s="372" t="n"/>
      <c r="AZ91" s="372" t="n"/>
      <c r="BA91" s="372" t="n"/>
      <c r="BB91" s="372" t="n"/>
      <c r="BC91" s="372" t="n"/>
      <c r="BD91" s="372" t="n"/>
      <c r="BE91" s="372" t="n"/>
      <c r="BF91" s="372" t="n"/>
      <c r="BG91" s="372" t="n"/>
      <c r="BH91" s="372" t="n"/>
      <c r="BI91" s="372" t="n"/>
      <c r="BJ91" s="372" t="n"/>
      <c r="BK91" s="372" t="n"/>
      <c r="BL91" s="372" t="n"/>
      <c r="BM91" s="372" t="n"/>
      <c r="BN91" s="372" t="n"/>
      <c r="BO91" s="372" t="n"/>
      <c r="BP91" s="372" t="n"/>
      <c r="BQ91" s="372" t="n"/>
      <c r="BR91" s="372" t="n"/>
      <c r="BS91" s="372" t="n"/>
      <c r="BT91" s="372" t="n"/>
      <c r="BU91" s="372" t="n"/>
      <c r="BV91" s="372" t="n"/>
      <c r="BW91" s="372" t="n"/>
      <c r="BX91" s="372" t="n"/>
      <c r="BY91" s="372" t="n"/>
      <c r="BZ91" s="372" t="n"/>
      <c r="CA91" s="372" t="n"/>
      <c r="CB91" s="372" t="n"/>
      <c r="CC91" s="402" t="n"/>
      <c r="CF91" s="259" t="inlineStr">
        <is>
          <t>移動</t>
        </is>
      </c>
      <c r="CG91" s="403" t="n"/>
      <c r="CH91" s="403" t="n"/>
      <c r="CI91" s="404" t="n"/>
      <c r="CJ91" s="379">
        <f>IF(Q91="作業者1",E94-E91,0)</f>
        <v/>
      </c>
      <c r="CK91" s="377" t="n"/>
      <c r="CL91" s="377" t="n"/>
      <c r="CM91" s="377" t="n"/>
      <c r="CN91" s="378" t="n"/>
      <c r="CP91" s="248" t="inlineStr">
        <is>
          <t>移動</t>
        </is>
      </c>
      <c r="CQ91" s="377" t="n"/>
      <c r="CR91" s="377" t="n"/>
      <c r="CS91" s="378" t="n"/>
      <c r="CT91" s="379">
        <f>IF(Q91="作業者2",E94-E91,0)</f>
        <v/>
      </c>
      <c r="CU91" s="377" t="n"/>
      <c r="CV91" s="377" t="n"/>
      <c r="CW91" s="377" t="n"/>
      <c r="CX91" s="378" t="n"/>
      <c r="CZ91" s="259" t="inlineStr">
        <is>
          <t>移動</t>
        </is>
      </c>
      <c r="DA91" s="403" t="n"/>
      <c r="DB91" s="403" t="n"/>
      <c r="DC91" s="404" t="n"/>
      <c r="DD91" s="405">
        <f>IF(Q91="作業者3",E94-E91,0)</f>
        <v/>
      </c>
      <c r="DE91" s="406" t="n"/>
      <c r="DF91" s="406" t="n"/>
      <c r="DG91" s="406" t="n"/>
      <c r="DH91" s="407" t="n"/>
      <c r="DJ91" s="259" t="inlineStr">
        <is>
          <t>移動</t>
        </is>
      </c>
      <c r="DK91" s="403" t="n"/>
      <c r="DL91" s="403" t="n"/>
      <c r="DM91" s="404" t="n"/>
      <c r="DN91" s="379">
        <f>IF(Q91="作業者4",E94-E91,0)</f>
        <v/>
      </c>
      <c r="DO91" s="377" t="n"/>
      <c r="DP91" s="377" t="n"/>
      <c r="DQ91" s="377" t="n"/>
      <c r="DR91" s="378" t="n"/>
      <c r="DT91" s="259" t="inlineStr">
        <is>
          <t>移動</t>
        </is>
      </c>
      <c r="DU91" s="403" t="n"/>
      <c r="DV91" s="403" t="n"/>
      <c r="DW91" s="404" t="n"/>
      <c r="DX91" s="379">
        <f>IF(Q91="作業者5",E94-E91,0)</f>
        <v/>
      </c>
      <c r="DY91" s="377" t="n"/>
      <c r="DZ91" s="377" t="n"/>
      <c r="EA91" s="377" t="n"/>
      <c r="EB91" s="378" t="n"/>
    </row>
    <row r="92" ht="9" customHeight="1" s="337">
      <c r="B92" s="350" t="n"/>
      <c r="C92" s="338" t="n"/>
      <c r="D92" s="380" t="n"/>
      <c r="E92" s="381" t="n"/>
      <c r="F92" s="122" t="inlineStr">
        <is>
          <t>～</t>
        </is>
      </c>
      <c r="G92" s="22" t="n"/>
      <c r="H92" s="381" t="n"/>
      <c r="I92" s="122" t="inlineStr">
        <is>
          <t>～</t>
        </is>
      </c>
      <c r="J92" s="22" t="n"/>
      <c r="K92" s="381" t="n"/>
      <c r="L92" s="122" t="inlineStr">
        <is>
          <t>～</t>
        </is>
      </c>
      <c r="M92" s="22" t="n"/>
      <c r="N92" s="381" t="n"/>
      <c r="O92" s="122" t="inlineStr">
        <is>
          <t>～</t>
        </is>
      </c>
      <c r="P92" s="22" t="n"/>
      <c r="Q92" s="382" t="n"/>
      <c r="R92" s="338" t="n"/>
      <c r="S92" s="380" t="n"/>
      <c r="T92" s="382" t="n"/>
      <c r="U92" s="338" t="n"/>
      <c r="V92" s="380" t="n"/>
      <c r="W92" s="382" t="n"/>
      <c r="X92" s="338" t="n"/>
      <c r="Y92" s="338" t="n"/>
      <c r="Z92" s="338" t="n"/>
      <c r="AA92" s="338" t="n"/>
      <c r="AB92" s="338" t="n"/>
      <c r="AC92" s="338" t="n"/>
      <c r="AD92" s="338" t="n"/>
      <c r="AE92" s="338" t="n"/>
      <c r="AF92" s="338" t="n"/>
      <c r="AG92" s="338" t="n"/>
      <c r="AH92" s="338" t="n"/>
      <c r="AI92" s="338" t="n"/>
      <c r="AJ92" s="338" t="n"/>
      <c r="AK92" s="338" t="n"/>
      <c r="AL92" s="338" t="n"/>
      <c r="AM92" s="338" t="n"/>
      <c r="AN92" s="338" t="n"/>
      <c r="AO92" s="338" t="n"/>
      <c r="AP92" s="338" t="n"/>
      <c r="AQ92" s="338" t="n"/>
      <c r="AR92" s="338" t="n"/>
      <c r="AS92" s="338" t="n"/>
      <c r="AT92" s="338" t="n"/>
      <c r="AU92" s="338" t="n"/>
      <c r="AV92" s="338" t="n"/>
      <c r="AW92" s="338" t="n"/>
      <c r="AX92" s="338" t="n"/>
      <c r="AY92" s="338" t="n"/>
      <c r="AZ92" s="338" t="n"/>
      <c r="BA92" s="338" t="n"/>
      <c r="BB92" s="338" t="n"/>
      <c r="BC92" s="338" t="n"/>
      <c r="BD92" s="338" t="n"/>
      <c r="BE92" s="338" t="n"/>
      <c r="BF92" s="338" t="n"/>
      <c r="BG92" s="338" t="n"/>
      <c r="BH92" s="338" t="n"/>
      <c r="BI92" s="338" t="n"/>
      <c r="BJ92" s="338" t="n"/>
      <c r="BK92" s="338" t="n"/>
      <c r="BL92" s="338" t="n"/>
      <c r="BM92" s="338" t="n"/>
      <c r="BN92" s="338" t="n"/>
      <c r="BO92" s="338" t="n"/>
      <c r="BP92" s="338" t="n"/>
      <c r="BQ92" s="338" t="n"/>
      <c r="BR92" s="338" t="n"/>
      <c r="BS92" s="338" t="n"/>
      <c r="BT92" s="338" t="n"/>
      <c r="BU92" s="338" t="n"/>
      <c r="BV92" s="338" t="n"/>
      <c r="BW92" s="338" t="n"/>
      <c r="BX92" s="338" t="n"/>
      <c r="BY92" s="338" t="n"/>
      <c r="BZ92" s="338" t="n"/>
      <c r="CA92" s="338" t="n"/>
      <c r="CB92" s="338" t="n"/>
      <c r="CC92" s="383" t="n"/>
      <c r="CF92" s="253" t="inlineStr">
        <is>
          <t>時間内</t>
        </is>
      </c>
      <c r="CG92" s="384" t="n"/>
      <c r="CH92" s="384" t="n"/>
      <c r="CI92" s="385" t="n"/>
      <c r="CJ92" s="386">
        <f>IF(Q91="作業者1",H94-H91,0)</f>
        <v/>
      </c>
      <c r="CK92" s="387" t="n"/>
      <c r="CL92" s="387" t="n"/>
      <c r="CM92" s="387" t="n"/>
      <c r="CN92" s="388" t="n"/>
      <c r="CP92" s="253" t="inlineStr">
        <is>
          <t>時間内</t>
        </is>
      </c>
      <c r="CQ92" s="384" t="n"/>
      <c r="CR92" s="384" t="n"/>
      <c r="CS92" s="385" t="n"/>
      <c r="CT92" s="386">
        <f>IF(Q91="作業者2",H94-H91,0)</f>
        <v/>
      </c>
      <c r="CU92" s="387" t="n"/>
      <c r="CV92" s="387" t="n"/>
      <c r="CW92" s="387" t="n"/>
      <c r="CX92" s="388" t="n"/>
      <c r="CZ92" s="253" t="inlineStr">
        <is>
          <t>時間内</t>
        </is>
      </c>
      <c r="DA92" s="384" t="n"/>
      <c r="DB92" s="384" t="n"/>
      <c r="DC92" s="385" t="n"/>
      <c r="DD92" s="386">
        <f>IF(Q91="作業者3",H94-H91,0)</f>
        <v/>
      </c>
      <c r="DE92" s="387" t="n"/>
      <c r="DF92" s="387" t="n"/>
      <c r="DG92" s="387" t="n"/>
      <c r="DH92" s="388" t="n"/>
      <c r="DJ92" s="253" t="inlineStr">
        <is>
          <t>時間内</t>
        </is>
      </c>
      <c r="DK92" s="384" t="n"/>
      <c r="DL92" s="384" t="n"/>
      <c r="DM92" s="385" t="n"/>
      <c r="DN92" s="386">
        <f>IF(Q91="作業者4",H94-H91,0)</f>
        <v/>
      </c>
      <c r="DO92" s="387" t="n"/>
      <c r="DP92" s="387" t="n"/>
      <c r="DQ92" s="387" t="n"/>
      <c r="DR92" s="388" t="n"/>
      <c r="DT92" s="253" t="inlineStr">
        <is>
          <t>時間内</t>
        </is>
      </c>
      <c r="DU92" s="384" t="n"/>
      <c r="DV92" s="384" t="n"/>
      <c r="DW92" s="385" t="n"/>
      <c r="DX92" s="386">
        <f>IF(Q91="作業者5",H94-H91,0)</f>
        <v/>
      </c>
      <c r="DY92" s="387" t="n"/>
      <c r="DZ92" s="387" t="n"/>
      <c r="EA92" s="387" t="n"/>
      <c r="EB92" s="388" t="n"/>
    </row>
    <row r="93" ht="9" customHeight="1" s="337">
      <c r="B93" s="350" t="n"/>
      <c r="C93" s="338" t="n"/>
      <c r="D93" s="380" t="n"/>
      <c r="E93" s="23" t="n"/>
      <c r="F93" s="338" t="n"/>
      <c r="G93" s="24" t="n"/>
      <c r="H93" s="23" t="n"/>
      <c r="I93" s="338" t="n"/>
      <c r="J93" s="24" t="n"/>
      <c r="K93" s="23" t="n"/>
      <c r="L93" s="338" t="n"/>
      <c r="M93" s="24" t="n"/>
      <c r="N93" s="23" t="n"/>
      <c r="O93" s="338" t="n"/>
      <c r="P93" s="24" t="n"/>
      <c r="Q93" s="382" t="n"/>
      <c r="R93" s="338" t="n"/>
      <c r="S93" s="380" t="n"/>
      <c r="T93" s="382" t="n"/>
      <c r="U93" s="338" t="n"/>
      <c r="V93" s="380" t="n"/>
      <c r="W93" s="382" t="n"/>
      <c r="X93" s="338" t="n"/>
      <c r="Y93" s="338" t="n"/>
      <c r="Z93" s="338" t="n"/>
      <c r="AA93" s="338" t="n"/>
      <c r="AB93" s="338" t="n"/>
      <c r="AC93" s="338" t="n"/>
      <c r="AD93" s="338" t="n"/>
      <c r="AE93" s="338" t="n"/>
      <c r="AF93" s="338" t="n"/>
      <c r="AG93" s="338" t="n"/>
      <c r="AH93" s="338" t="n"/>
      <c r="AI93" s="338" t="n"/>
      <c r="AJ93" s="338" t="n"/>
      <c r="AK93" s="338" t="n"/>
      <c r="AL93" s="338" t="n"/>
      <c r="AM93" s="338" t="n"/>
      <c r="AN93" s="338" t="n"/>
      <c r="AO93" s="338" t="n"/>
      <c r="AP93" s="338" t="n"/>
      <c r="AQ93" s="338" t="n"/>
      <c r="AR93" s="338" t="n"/>
      <c r="AS93" s="338" t="n"/>
      <c r="AT93" s="338" t="n"/>
      <c r="AU93" s="338" t="n"/>
      <c r="AV93" s="338" t="n"/>
      <c r="AW93" s="338" t="n"/>
      <c r="AX93" s="338" t="n"/>
      <c r="AY93" s="338" t="n"/>
      <c r="AZ93" s="338" t="n"/>
      <c r="BA93" s="338" t="n"/>
      <c r="BB93" s="338" t="n"/>
      <c r="BC93" s="338" t="n"/>
      <c r="BD93" s="338" t="n"/>
      <c r="BE93" s="338" t="n"/>
      <c r="BF93" s="338" t="n"/>
      <c r="BG93" s="338" t="n"/>
      <c r="BH93" s="338" t="n"/>
      <c r="BI93" s="338" t="n"/>
      <c r="BJ93" s="338" t="n"/>
      <c r="BK93" s="338" t="n"/>
      <c r="BL93" s="338" t="n"/>
      <c r="BM93" s="338" t="n"/>
      <c r="BN93" s="338" t="n"/>
      <c r="BO93" s="338" t="n"/>
      <c r="BP93" s="338" t="n"/>
      <c r="BQ93" s="338" t="n"/>
      <c r="BR93" s="338" t="n"/>
      <c r="BS93" s="338" t="n"/>
      <c r="BT93" s="338" t="n"/>
      <c r="BU93" s="338" t="n"/>
      <c r="BV93" s="338" t="n"/>
      <c r="BW93" s="338" t="n"/>
      <c r="BX93" s="338" t="n"/>
      <c r="BY93" s="338" t="n"/>
      <c r="BZ93" s="338" t="n"/>
      <c r="CA93" s="338" t="n"/>
      <c r="CB93" s="338" t="n"/>
      <c r="CC93" s="383" t="n"/>
      <c r="CF93" s="253" t="inlineStr">
        <is>
          <t>時間外</t>
        </is>
      </c>
      <c r="CG93" s="384" t="n"/>
      <c r="CH93" s="384" t="n"/>
      <c r="CI93" s="385" t="n"/>
      <c r="CJ93" s="386">
        <f>IF(Q91="作業者1",K94-K91,0)</f>
        <v/>
      </c>
      <c r="CK93" s="387" t="n"/>
      <c r="CL93" s="387" t="n"/>
      <c r="CM93" s="387" t="n"/>
      <c r="CN93" s="388" t="n"/>
      <c r="CP93" s="253" t="inlineStr">
        <is>
          <t>時間外</t>
        </is>
      </c>
      <c r="CQ93" s="384" t="n"/>
      <c r="CR93" s="384" t="n"/>
      <c r="CS93" s="385" t="n"/>
      <c r="CT93" s="386">
        <f>IF(Q91="作業者2",K94-K91,0)</f>
        <v/>
      </c>
      <c r="CU93" s="387" t="n"/>
      <c r="CV93" s="387" t="n"/>
      <c r="CW93" s="387" t="n"/>
      <c r="CX93" s="388" t="n"/>
      <c r="CZ93" s="253" t="inlineStr">
        <is>
          <t>時間外</t>
        </is>
      </c>
      <c r="DA93" s="384" t="n"/>
      <c r="DB93" s="384" t="n"/>
      <c r="DC93" s="385" t="n"/>
      <c r="DD93" s="386">
        <f>IF(Q91="作業者3",K94-K91,0)</f>
        <v/>
      </c>
      <c r="DE93" s="387" t="n"/>
      <c r="DF93" s="387" t="n"/>
      <c r="DG93" s="387" t="n"/>
      <c r="DH93" s="388" t="n"/>
      <c r="DJ93" s="253" t="inlineStr">
        <is>
          <t>時間外</t>
        </is>
      </c>
      <c r="DK93" s="384" t="n"/>
      <c r="DL93" s="384" t="n"/>
      <c r="DM93" s="385" t="n"/>
      <c r="DN93" s="386">
        <f>IF(Q91="作業者4",K94-K91,0)</f>
        <v/>
      </c>
      <c r="DO93" s="387" t="n"/>
      <c r="DP93" s="387" t="n"/>
      <c r="DQ93" s="387" t="n"/>
      <c r="DR93" s="388" t="n"/>
      <c r="DT93" s="253" t="inlineStr">
        <is>
          <t>時間外</t>
        </is>
      </c>
      <c r="DU93" s="384" t="n"/>
      <c r="DV93" s="384" t="n"/>
      <c r="DW93" s="385" t="n"/>
      <c r="DX93" s="386">
        <f>IF(Q91="作業者5",K94-K91,0)</f>
        <v/>
      </c>
      <c r="DY93" s="387" t="n"/>
      <c r="DZ93" s="387" t="n"/>
      <c r="EA93" s="387" t="n"/>
      <c r="EB93" s="388" t="n"/>
    </row>
    <row r="94" ht="9" customHeight="1" s="337">
      <c r="B94" s="389" t="n"/>
      <c r="C94" s="390" t="n"/>
      <c r="D94" s="391" t="n"/>
      <c r="E94" s="392" t="n"/>
      <c r="F94" s="390" t="n"/>
      <c r="G94" s="391" t="n"/>
      <c r="H94" s="392" t="n"/>
      <c r="I94" s="390" t="n"/>
      <c r="J94" s="391" t="n"/>
      <c r="K94" s="392" t="n"/>
      <c r="L94" s="390" t="n"/>
      <c r="M94" s="391" t="n"/>
      <c r="N94" s="392" t="n"/>
      <c r="O94" s="390" t="n"/>
      <c r="P94" s="391" t="n"/>
      <c r="Q94" s="393" t="n"/>
      <c r="R94" s="390" t="n"/>
      <c r="S94" s="391" t="n"/>
      <c r="T94" s="393" t="n"/>
      <c r="U94" s="390" t="n"/>
      <c r="V94" s="391" t="n"/>
      <c r="W94" s="393" t="n"/>
      <c r="X94" s="390" t="n"/>
      <c r="Y94" s="390" t="n"/>
      <c r="Z94" s="390" t="n"/>
      <c r="AA94" s="390" t="n"/>
      <c r="AB94" s="390" t="n"/>
      <c r="AC94" s="390" t="n"/>
      <c r="AD94" s="390" t="n"/>
      <c r="AE94" s="390" t="n"/>
      <c r="AF94" s="390" t="n"/>
      <c r="AG94" s="390" t="n"/>
      <c r="AH94" s="390" t="n"/>
      <c r="AI94" s="390" t="n"/>
      <c r="AJ94" s="390" t="n"/>
      <c r="AK94" s="390" t="n"/>
      <c r="AL94" s="390" t="n"/>
      <c r="AM94" s="390" t="n"/>
      <c r="AN94" s="390" t="n"/>
      <c r="AO94" s="390" t="n"/>
      <c r="AP94" s="390" t="n"/>
      <c r="AQ94" s="390" t="n"/>
      <c r="AR94" s="390" t="n"/>
      <c r="AS94" s="390" t="n"/>
      <c r="AT94" s="390" t="n"/>
      <c r="AU94" s="390" t="n"/>
      <c r="AV94" s="390" t="n"/>
      <c r="AW94" s="390" t="n"/>
      <c r="AX94" s="390" t="n"/>
      <c r="AY94" s="390" t="n"/>
      <c r="AZ94" s="390" t="n"/>
      <c r="BA94" s="390" t="n"/>
      <c r="BB94" s="390" t="n"/>
      <c r="BC94" s="390" t="n"/>
      <c r="BD94" s="390" t="n"/>
      <c r="BE94" s="390" t="n"/>
      <c r="BF94" s="390" t="n"/>
      <c r="BG94" s="390" t="n"/>
      <c r="BH94" s="390" t="n"/>
      <c r="BI94" s="390" t="n"/>
      <c r="BJ94" s="390" t="n"/>
      <c r="BK94" s="390" t="n"/>
      <c r="BL94" s="390" t="n"/>
      <c r="BM94" s="390" t="n"/>
      <c r="BN94" s="390" t="n"/>
      <c r="BO94" s="390" t="n"/>
      <c r="BP94" s="390" t="n"/>
      <c r="BQ94" s="390" t="n"/>
      <c r="BR94" s="390" t="n"/>
      <c r="BS94" s="390" t="n"/>
      <c r="BT94" s="390" t="n"/>
      <c r="BU94" s="390" t="n"/>
      <c r="BV94" s="390" t="n"/>
      <c r="BW94" s="390" t="n"/>
      <c r="BX94" s="390" t="n"/>
      <c r="BY94" s="390" t="n"/>
      <c r="BZ94" s="390" t="n"/>
      <c r="CA94" s="390" t="n"/>
      <c r="CB94" s="390" t="n"/>
      <c r="CC94" s="394" t="n"/>
      <c r="CF94" s="254" t="inlineStr">
        <is>
          <t>休日</t>
        </is>
      </c>
      <c r="CG94" s="395" t="n"/>
      <c r="CH94" s="395" t="n"/>
      <c r="CI94" s="396" t="n"/>
      <c r="CJ94" s="397">
        <f>IF(Q91="作業者1",N94-N91,0)</f>
        <v/>
      </c>
      <c r="CK94" s="395" t="n"/>
      <c r="CL94" s="395" t="n"/>
      <c r="CM94" s="395" t="n"/>
      <c r="CN94" s="396" t="n"/>
      <c r="CP94" s="254" t="inlineStr">
        <is>
          <t>休日</t>
        </is>
      </c>
      <c r="CQ94" s="395" t="n"/>
      <c r="CR94" s="395" t="n"/>
      <c r="CS94" s="396" t="n"/>
      <c r="CT94" s="397">
        <f>IF(Q91="作業者2",N94-N91,0)</f>
        <v/>
      </c>
      <c r="CU94" s="395" t="n"/>
      <c r="CV94" s="395" t="n"/>
      <c r="CW94" s="395" t="n"/>
      <c r="CX94" s="396" t="n"/>
      <c r="CZ94" s="254" t="inlineStr">
        <is>
          <t>休日</t>
        </is>
      </c>
      <c r="DA94" s="395" t="n"/>
      <c r="DB94" s="395" t="n"/>
      <c r="DC94" s="396" t="n"/>
      <c r="DD94" s="397">
        <f>IF(Q91="作業者3",N94-N91,0)</f>
        <v/>
      </c>
      <c r="DE94" s="395" t="n"/>
      <c r="DF94" s="395" t="n"/>
      <c r="DG94" s="395" t="n"/>
      <c r="DH94" s="396" t="n"/>
      <c r="DJ94" s="254" t="inlineStr">
        <is>
          <t>休日</t>
        </is>
      </c>
      <c r="DK94" s="395" t="n"/>
      <c r="DL94" s="395" t="n"/>
      <c r="DM94" s="396" t="n"/>
      <c r="DN94" s="397">
        <f>IF(Q91="作業者4",N94-N91,0)</f>
        <v/>
      </c>
      <c r="DO94" s="395" t="n"/>
      <c r="DP94" s="395" t="n"/>
      <c r="DQ94" s="395" t="n"/>
      <c r="DR94" s="396" t="n"/>
      <c r="DT94" s="254" t="inlineStr">
        <is>
          <t>休日</t>
        </is>
      </c>
      <c r="DU94" s="395" t="n"/>
      <c r="DV94" s="395" t="n"/>
      <c r="DW94" s="396" t="n"/>
      <c r="DX94" s="397">
        <f>IF(Q91="作業者5",N94-N91,0)</f>
        <v/>
      </c>
      <c r="DY94" s="395" t="n"/>
      <c r="DZ94" s="395" t="n"/>
      <c r="EA94" s="395" t="n"/>
      <c r="EB94" s="396" t="n"/>
    </row>
    <row r="95" ht="9" customHeight="1" s="337">
      <c r="B95" s="398" t="n"/>
      <c r="C95" s="372" t="n"/>
      <c r="D95" s="373" t="n"/>
      <c r="E95" s="399" t="n"/>
      <c r="F95" s="372" t="n"/>
      <c r="G95" s="373" t="n"/>
      <c r="H95" s="399" t="n"/>
      <c r="I95" s="372" t="n"/>
      <c r="J95" s="373" t="n"/>
      <c r="K95" s="399" t="n"/>
      <c r="L95" s="372" t="n"/>
      <c r="M95" s="373" t="n"/>
      <c r="N95" s="399" t="n"/>
      <c r="O95" s="372" t="n"/>
      <c r="P95" s="373" t="n"/>
      <c r="Q95" s="371" t="n"/>
      <c r="R95" s="372" t="n"/>
      <c r="S95" s="373" t="n"/>
      <c r="T95" s="371" t="n"/>
      <c r="U95" s="372" t="n"/>
      <c r="V95" s="373" t="n"/>
      <c r="W95" s="443" t="n"/>
      <c r="X95" s="372" t="n"/>
      <c r="Y95" s="372" t="n"/>
      <c r="Z95" s="372" t="n"/>
      <c r="AA95" s="372" t="n"/>
      <c r="AB95" s="372" t="n"/>
      <c r="AC95" s="372" t="n"/>
      <c r="AD95" s="372" t="n"/>
      <c r="AE95" s="372" t="n"/>
      <c r="AF95" s="372" t="n"/>
      <c r="AG95" s="372" t="n"/>
      <c r="AH95" s="372" t="n"/>
      <c r="AI95" s="372" t="n"/>
      <c r="AJ95" s="372" t="n"/>
      <c r="AK95" s="372" t="n"/>
      <c r="AL95" s="372" t="n"/>
      <c r="AM95" s="372" t="n"/>
      <c r="AN95" s="372" t="n"/>
      <c r="AO95" s="372" t="n"/>
      <c r="AP95" s="372" t="n"/>
      <c r="AQ95" s="372" t="n"/>
      <c r="AR95" s="372" t="n"/>
      <c r="AS95" s="372" t="n"/>
      <c r="AT95" s="372" t="n"/>
      <c r="AU95" s="372" t="n"/>
      <c r="AV95" s="372" t="n"/>
      <c r="AW95" s="372" t="n"/>
      <c r="AX95" s="372" t="n"/>
      <c r="AY95" s="372" t="n"/>
      <c r="AZ95" s="372" t="n"/>
      <c r="BA95" s="372" t="n"/>
      <c r="BB95" s="372" t="n"/>
      <c r="BC95" s="372" t="n"/>
      <c r="BD95" s="372" t="n"/>
      <c r="BE95" s="372" t="n"/>
      <c r="BF95" s="372" t="n"/>
      <c r="BG95" s="372" t="n"/>
      <c r="BH95" s="372" t="n"/>
      <c r="BI95" s="372" t="n"/>
      <c r="BJ95" s="372" t="n"/>
      <c r="BK95" s="372" t="n"/>
      <c r="BL95" s="372" t="n"/>
      <c r="BM95" s="372" t="n"/>
      <c r="BN95" s="372" t="n"/>
      <c r="BO95" s="372" t="n"/>
      <c r="BP95" s="372" t="n"/>
      <c r="BQ95" s="372" t="n"/>
      <c r="BR95" s="372" t="n"/>
      <c r="BS95" s="372" t="n"/>
      <c r="BT95" s="372" t="n"/>
      <c r="BU95" s="372" t="n"/>
      <c r="BV95" s="372" t="n"/>
      <c r="BW95" s="372" t="n"/>
      <c r="BX95" s="372" t="n"/>
      <c r="BY95" s="372" t="n"/>
      <c r="BZ95" s="372" t="n"/>
      <c r="CA95" s="372" t="n"/>
      <c r="CB95" s="372" t="n"/>
      <c r="CC95" s="402" t="n"/>
      <c r="CF95" s="248" t="inlineStr">
        <is>
          <t>移動</t>
        </is>
      </c>
      <c r="CG95" s="377" t="n"/>
      <c r="CH95" s="377" t="n"/>
      <c r="CI95" s="378" t="n"/>
      <c r="CJ95" s="379">
        <f>IF(Q95="作業者1",E98-E95,0)</f>
        <v/>
      </c>
      <c r="CK95" s="377" t="n"/>
      <c r="CL95" s="377" t="n"/>
      <c r="CM95" s="377" t="n"/>
      <c r="CN95" s="378" t="n"/>
      <c r="CP95" s="248" t="inlineStr">
        <is>
          <t>移動</t>
        </is>
      </c>
      <c r="CQ95" s="377" t="n"/>
      <c r="CR95" s="377" t="n"/>
      <c r="CS95" s="378" t="n"/>
      <c r="CT95" s="379">
        <f>IF(Q95="作業者2",E98-E95,0)</f>
        <v/>
      </c>
      <c r="CU95" s="377" t="n"/>
      <c r="CV95" s="377" t="n"/>
      <c r="CW95" s="377" t="n"/>
      <c r="CX95" s="378" t="n"/>
      <c r="CZ95" s="248" t="inlineStr">
        <is>
          <t>移動</t>
        </is>
      </c>
      <c r="DA95" s="377" t="n"/>
      <c r="DB95" s="377" t="n"/>
      <c r="DC95" s="378" t="n"/>
      <c r="DD95" s="379">
        <f>IF(Q95="作業者3",E98-E95,0)</f>
        <v/>
      </c>
      <c r="DE95" s="377" t="n"/>
      <c r="DF95" s="377" t="n"/>
      <c r="DG95" s="377" t="n"/>
      <c r="DH95" s="378" t="n"/>
      <c r="DJ95" s="248" t="inlineStr">
        <is>
          <t>移動</t>
        </is>
      </c>
      <c r="DK95" s="377" t="n"/>
      <c r="DL95" s="377" t="n"/>
      <c r="DM95" s="378" t="n"/>
      <c r="DN95" s="379">
        <f>IF(Q95="作業者4",E98-E95,0)</f>
        <v/>
      </c>
      <c r="DO95" s="377" t="n"/>
      <c r="DP95" s="377" t="n"/>
      <c r="DQ95" s="377" t="n"/>
      <c r="DR95" s="378" t="n"/>
      <c r="DT95" s="259" t="inlineStr">
        <is>
          <t>移動</t>
        </is>
      </c>
      <c r="DU95" s="403" t="n"/>
      <c r="DV95" s="403" t="n"/>
      <c r="DW95" s="404" t="n"/>
      <c r="DX95" s="379">
        <f>IF(Q95="作業者5",E98-E95,0)</f>
        <v/>
      </c>
      <c r="DY95" s="377" t="n"/>
      <c r="DZ95" s="377" t="n"/>
      <c r="EA95" s="377" t="n"/>
      <c r="EB95" s="378" t="n"/>
    </row>
    <row r="96" ht="9" customHeight="1" s="337">
      <c r="B96" s="350" t="n"/>
      <c r="C96" s="338" t="n"/>
      <c r="D96" s="380" t="n"/>
      <c r="E96" s="381" t="n"/>
      <c r="F96" s="122" t="inlineStr">
        <is>
          <t>～</t>
        </is>
      </c>
      <c r="G96" s="22" t="n"/>
      <c r="H96" s="381" t="n"/>
      <c r="I96" s="122" t="inlineStr">
        <is>
          <t>～</t>
        </is>
      </c>
      <c r="J96" s="22" t="n"/>
      <c r="K96" s="381" t="n"/>
      <c r="L96" s="122" t="inlineStr">
        <is>
          <t>～</t>
        </is>
      </c>
      <c r="M96" s="22" t="n"/>
      <c r="N96" s="381" t="n"/>
      <c r="O96" s="122" t="inlineStr">
        <is>
          <t>～</t>
        </is>
      </c>
      <c r="P96" s="22" t="n"/>
      <c r="Q96" s="382" t="n"/>
      <c r="R96" s="338" t="n"/>
      <c r="S96" s="380" t="n"/>
      <c r="T96" s="382" t="n"/>
      <c r="U96" s="338" t="n"/>
      <c r="V96" s="380" t="n"/>
      <c r="W96" s="382" t="n"/>
      <c r="X96" s="338" t="n"/>
      <c r="Y96" s="338" t="n"/>
      <c r="Z96" s="338" t="n"/>
      <c r="AA96" s="338" t="n"/>
      <c r="AB96" s="338" t="n"/>
      <c r="AC96" s="338" t="n"/>
      <c r="AD96" s="338" t="n"/>
      <c r="AE96" s="338" t="n"/>
      <c r="AF96" s="338" t="n"/>
      <c r="AG96" s="338" t="n"/>
      <c r="AH96" s="338" t="n"/>
      <c r="AI96" s="338" t="n"/>
      <c r="AJ96" s="338" t="n"/>
      <c r="AK96" s="338" t="n"/>
      <c r="AL96" s="338" t="n"/>
      <c r="AM96" s="338" t="n"/>
      <c r="AN96" s="338" t="n"/>
      <c r="AO96" s="338" t="n"/>
      <c r="AP96" s="338" t="n"/>
      <c r="AQ96" s="338" t="n"/>
      <c r="AR96" s="338" t="n"/>
      <c r="AS96" s="338" t="n"/>
      <c r="AT96" s="338" t="n"/>
      <c r="AU96" s="338" t="n"/>
      <c r="AV96" s="338" t="n"/>
      <c r="AW96" s="338" t="n"/>
      <c r="AX96" s="338" t="n"/>
      <c r="AY96" s="338" t="n"/>
      <c r="AZ96" s="338" t="n"/>
      <c r="BA96" s="338" t="n"/>
      <c r="BB96" s="338" t="n"/>
      <c r="BC96" s="338" t="n"/>
      <c r="BD96" s="338" t="n"/>
      <c r="BE96" s="338" t="n"/>
      <c r="BF96" s="338" t="n"/>
      <c r="BG96" s="338" t="n"/>
      <c r="BH96" s="338" t="n"/>
      <c r="BI96" s="338" t="n"/>
      <c r="BJ96" s="338" t="n"/>
      <c r="BK96" s="338" t="n"/>
      <c r="BL96" s="338" t="n"/>
      <c r="BM96" s="338" t="n"/>
      <c r="BN96" s="338" t="n"/>
      <c r="BO96" s="338" t="n"/>
      <c r="BP96" s="338" t="n"/>
      <c r="BQ96" s="338" t="n"/>
      <c r="BR96" s="338" t="n"/>
      <c r="BS96" s="338" t="n"/>
      <c r="BT96" s="338" t="n"/>
      <c r="BU96" s="338" t="n"/>
      <c r="BV96" s="338" t="n"/>
      <c r="BW96" s="338" t="n"/>
      <c r="BX96" s="338" t="n"/>
      <c r="BY96" s="338" t="n"/>
      <c r="BZ96" s="338" t="n"/>
      <c r="CA96" s="338" t="n"/>
      <c r="CB96" s="338" t="n"/>
      <c r="CC96" s="383" t="n"/>
      <c r="CF96" s="253" t="inlineStr">
        <is>
          <t>時間内</t>
        </is>
      </c>
      <c r="CG96" s="384" t="n"/>
      <c r="CH96" s="384" t="n"/>
      <c r="CI96" s="385" t="n"/>
      <c r="CJ96" s="386">
        <f>IF(Q95="作業者1",H98-H95,0)</f>
        <v/>
      </c>
      <c r="CK96" s="387" t="n"/>
      <c r="CL96" s="387" t="n"/>
      <c r="CM96" s="387" t="n"/>
      <c r="CN96" s="388" t="n"/>
      <c r="CP96" s="253" t="inlineStr">
        <is>
          <t>時間内</t>
        </is>
      </c>
      <c r="CQ96" s="384" t="n"/>
      <c r="CR96" s="384" t="n"/>
      <c r="CS96" s="385" t="n"/>
      <c r="CT96" s="386">
        <f>IF(Q95="作業者2",H98-H95,0)</f>
        <v/>
      </c>
      <c r="CU96" s="387" t="n"/>
      <c r="CV96" s="387" t="n"/>
      <c r="CW96" s="387" t="n"/>
      <c r="CX96" s="388" t="n"/>
      <c r="CZ96" s="253" t="inlineStr">
        <is>
          <t>時間内</t>
        </is>
      </c>
      <c r="DA96" s="384" t="n"/>
      <c r="DB96" s="384" t="n"/>
      <c r="DC96" s="385" t="n"/>
      <c r="DD96" s="386">
        <f>IF(Q95="作業者3",H98-H95,0)</f>
        <v/>
      </c>
      <c r="DE96" s="387" t="n"/>
      <c r="DF96" s="387" t="n"/>
      <c r="DG96" s="387" t="n"/>
      <c r="DH96" s="388" t="n"/>
      <c r="DJ96" s="253" t="inlineStr">
        <is>
          <t>時間内</t>
        </is>
      </c>
      <c r="DK96" s="384" t="n"/>
      <c r="DL96" s="384" t="n"/>
      <c r="DM96" s="385" t="n"/>
      <c r="DN96" s="386">
        <f>IF(Q95="作業者4",H98-H95,0)</f>
        <v/>
      </c>
      <c r="DO96" s="387" t="n"/>
      <c r="DP96" s="387" t="n"/>
      <c r="DQ96" s="387" t="n"/>
      <c r="DR96" s="388" t="n"/>
      <c r="DT96" s="253" t="inlineStr">
        <is>
          <t>時間内</t>
        </is>
      </c>
      <c r="DU96" s="384" t="n"/>
      <c r="DV96" s="384" t="n"/>
      <c r="DW96" s="385" t="n"/>
      <c r="DX96" s="386">
        <f>IF(Q95="作業者5",H98-H95,0)</f>
        <v/>
      </c>
      <c r="DY96" s="387" t="n"/>
      <c r="DZ96" s="387" t="n"/>
      <c r="EA96" s="387" t="n"/>
      <c r="EB96" s="388" t="n"/>
    </row>
    <row r="97" ht="9" customHeight="1" s="337">
      <c r="B97" s="350" t="n"/>
      <c r="C97" s="338" t="n"/>
      <c r="D97" s="380" t="n"/>
      <c r="E97" s="23" t="n"/>
      <c r="F97" s="338" t="n"/>
      <c r="G97" s="24" t="n"/>
      <c r="H97" s="23" t="n"/>
      <c r="I97" s="338" t="n"/>
      <c r="J97" s="24" t="n"/>
      <c r="K97" s="23" t="n"/>
      <c r="L97" s="338" t="n"/>
      <c r="M97" s="24" t="n"/>
      <c r="N97" s="23" t="n"/>
      <c r="O97" s="338" t="n"/>
      <c r="P97" s="24" t="n"/>
      <c r="Q97" s="382" t="n"/>
      <c r="R97" s="338" t="n"/>
      <c r="S97" s="380" t="n"/>
      <c r="T97" s="382" t="n"/>
      <c r="U97" s="338" t="n"/>
      <c r="V97" s="380" t="n"/>
      <c r="W97" s="382" t="n"/>
      <c r="X97" s="338" t="n"/>
      <c r="Y97" s="338" t="n"/>
      <c r="Z97" s="338" t="n"/>
      <c r="AA97" s="338" t="n"/>
      <c r="AB97" s="338" t="n"/>
      <c r="AC97" s="338" t="n"/>
      <c r="AD97" s="338" t="n"/>
      <c r="AE97" s="338" t="n"/>
      <c r="AF97" s="338" t="n"/>
      <c r="AG97" s="338" t="n"/>
      <c r="AH97" s="338" t="n"/>
      <c r="AI97" s="338" t="n"/>
      <c r="AJ97" s="338" t="n"/>
      <c r="AK97" s="338" t="n"/>
      <c r="AL97" s="338" t="n"/>
      <c r="AM97" s="338" t="n"/>
      <c r="AN97" s="338" t="n"/>
      <c r="AO97" s="338" t="n"/>
      <c r="AP97" s="338" t="n"/>
      <c r="AQ97" s="338" t="n"/>
      <c r="AR97" s="338" t="n"/>
      <c r="AS97" s="338" t="n"/>
      <c r="AT97" s="338" t="n"/>
      <c r="AU97" s="338" t="n"/>
      <c r="AV97" s="338" t="n"/>
      <c r="AW97" s="338" t="n"/>
      <c r="AX97" s="338" t="n"/>
      <c r="AY97" s="338" t="n"/>
      <c r="AZ97" s="338" t="n"/>
      <c r="BA97" s="338" t="n"/>
      <c r="BB97" s="338" t="n"/>
      <c r="BC97" s="338" t="n"/>
      <c r="BD97" s="338" t="n"/>
      <c r="BE97" s="338" t="n"/>
      <c r="BF97" s="338" t="n"/>
      <c r="BG97" s="338" t="n"/>
      <c r="BH97" s="338" t="n"/>
      <c r="BI97" s="338" t="n"/>
      <c r="BJ97" s="338" t="n"/>
      <c r="BK97" s="338" t="n"/>
      <c r="BL97" s="338" t="n"/>
      <c r="BM97" s="338" t="n"/>
      <c r="BN97" s="338" t="n"/>
      <c r="BO97" s="338" t="n"/>
      <c r="BP97" s="338" t="n"/>
      <c r="BQ97" s="338" t="n"/>
      <c r="BR97" s="338" t="n"/>
      <c r="BS97" s="338" t="n"/>
      <c r="BT97" s="338" t="n"/>
      <c r="BU97" s="338" t="n"/>
      <c r="BV97" s="338" t="n"/>
      <c r="BW97" s="338" t="n"/>
      <c r="BX97" s="338" t="n"/>
      <c r="BY97" s="338" t="n"/>
      <c r="BZ97" s="338" t="n"/>
      <c r="CA97" s="338" t="n"/>
      <c r="CB97" s="338" t="n"/>
      <c r="CC97" s="383" t="n"/>
      <c r="CF97" s="253" t="inlineStr">
        <is>
          <t>時間外</t>
        </is>
      </c>
      <c r="CG97" s="384" t="n"/>
      <c r="CH97" s="384" t="n"/>
      <c r="CI97" s="385" t="n"/>
      <c r="CJ97" s="386">
        <f>IF(Q95="作業者1",K98-K95,0)</f>
        <v/>
      </c>
      <c r="CK97" s="387" t="n"/>
      <c r="CL97" s="387" t="n"/>
      <c r="CM97" s="387" t="n"/>
      <c r="CN97" s="388" t="n"/>
      <c r="CP97" s="253" t="inlineStr">
        <is>
          <t>時間外</t>
        </is>
      </c>
      <c r="CQ97" s="384" t="n"/>
      <c r="CR97" s="384" t="n"/>
      <c r="CS97" s="385" t="n"/>
      <c r="CT97" s="386">
        <f>IF(Q95="作業者2",K98-K95,0)</f>
        <v/>
      </c>
      <c r="CU97" s="387" t="n"/>
      <c r="CV97" s="387" t="n"/>
      <c r="CW97" s="387" t="n"/>
      <c r="CX97" s="388" t="n"/>
      <c r="CZ97" s="253" t="inlineStr">
        <is>
          <t>時間外</t>
        </is>
      </c>
      <c r="DA97" s="384" t="n"/>
      <c r="DB97" s="384" t="n"/>
      <c r="DC97" s="385" t="n"/>
      <c r="DD97" s="386">
        <f>IF(Q95="作業者3",K98-K95,0)</f>
        <v/>
      </c>
      <c r="DE97" s="387" t="n"/>
      <c r="DF97" s="387" t="n"/>
      <c r="DG97" s="387" t="n"/>
      <c r="DH97" s="388" t="n"/>
      <c r="DJ97" s="253" t="inlineStr">
        <is>
          <t>時間外</t>
        </is>
      </c>
      <c r="DK97" s="384" t="n"/>
      <c r="DL97" s="384" t="n"/>
      <c r="DM97" s="385" t="n"/>
      <c r="DN97" s="386">
        <f>IF(Q95="作業者4",K98-K95,0)</f>
        <v/>
      </c>
      <c r="DO97" s="387" t="n"/>
      <c r="DP97" s="387" t="n"/>
      <c r="DQ97" s="387" t="n"/>
      <c r="DR97" s="388" t="n"/>
      <c r="DT97" s="253" t="inlineStr">
        <is>
          <t>時間外</t>
        </is>
      </c>
      <c r="DU97" s="384" t="n"/>
      <c r="DV97" s="384" t="n"/>
      <c r="DW97" s="385" t="n"/>
      <c r="DX97" s="386">
        <f>IF(Q95="作業者5",K98-K95,0)</f>
        <v/>
      </c>
      <c r="DY97" s="387" t="n"/>
      <c r="DZ97" s="387" t="n"/>
      <c r="EA97" s="387" t="n"/>
      <c r="EB97" s="388" t="n"/>
    </row>
    <row r="98" ht="9" customHeight="1" s="337">
      <c r="B98" s="389" t="n"/>
      <c r="C98" s="390" t="n"/>
      <c r="D98" s="391" t="n"/>
      <c r="E98" s="392" t="n"/>
      <c r="F98" s="390" t="n"/>
      <c r="G98" s="391" t="n"/>
      <c r="H98" s="392" t="n"/>
      <c r="I98" s="390" t="n"/>
      <c r="J98" s="391" t="n"/>
      <c r="K98" s="392" t="n"/>
      <c r="L98" s="390" t="n"/>
      <c r="M98" s="391" t="n"/>
      <c r="N98" s="392" t="n"/>
      <c r="O98" s="390" t="n"/>
      <c r="P98" s="391" t="n"/>
      <c r="Q98" s="393" t="n"/>
      <c r="R98" s="390" t="n"/>
      <c r="S98" s="391" t="n"/>
      <c r="T98" s="393" t="n"/>
      <c r="U98" s="390" t="n"/>
      <c r="V98" s="391" t="n"/>
      <c r="W98" s="393" t="n"/>
      <c r="X98" s="390" t="n"/>
      <c r="Y98" s="390" t="n"/>
      <c r="Z98" s="390" t="n"/>
      <c r="AA98" s="390" t="n"/>
      <c r="AB98" s="390" t="n"/>
      <c r="AC98" s="390" t="n"/>
      <c r="AD98" s="390" t="n"/>
      <c r="AE98" s="390" t="n"/>
      <c r="AF98" s="390" t="n"/>
      <c r="AG98" s="390" t="n"/>
      <c r="AH98" s="390" t="n"/>
      <c r="AI98" s="390" t="n"/>
      <c r="AJ98" s="390" t="n"/>
      <c r="AK98" s="390" t="n"/>
      <c r="AL98" s="390" t="n"/>
      <c r="AM98" s="390" t="n"/>
      <c r="AN98" s="390" t="n"/>
      <c r="AO98" s="390" t="n"/>
      <c r="AP98" s="390" t="n"/>
      <c r="AQ98" s="390" t="n"/>
      <c r="AR98" s="390" t="n"/>
      <c r="AS98" s="390" t="n"/>
      <c r="AT98" s="390" t="n"/>
      <c r="AU98" s="390" t="n"/>
      <c r="AV98" s="390" t="n"/>
      <c r="AW98" s="390" t="n"/>
      <c r="AX98" s="390" t="n"/>
      <c r="AY98" s="390" t="n"/>
      <c r="AZ98" s="390" t="n"/>
      <c r="BA98" s="390" t="n"/>
      <c r="BB98" s="390" t="n"/>
      <c r="BC98" s="390" t="n"/>
      <c r="BD98" s="390" t="n"/>
      <c r="BE98" s="390" t="n"/>
      <c r="BF98" s="390" t="n"/>
      <c r="BG98" s="390" t="n"/>
      <c r="BH98" s="390" t="n"/>
      <c r="BI98" s="390" t="n"/>
      <c r="BJ98" s="390" t="n"/>
      <c r="BK98" s="390" t="n"/>
      <c r="BL98" s="390" t="n"/>
      <c r="BM98" s="390" t="n"/>
      <c r="BN98" s="390" t="n"/>
      <c r="BO98" s="390" t="n"/>
      <c r="BP98" s="390" t="n"/>
      <c r="BQ98" s="390" t="n"/>
      <c r="BR98" s="390" t="n"/>
      <c r="BS98" s="390" t="n"/>
      <c r="BT98" s="390" t="n"/>
      <c r="BU98" s="390" t="n"/>
      <c r="BV98" s="390" t="n"/>
      <c r="BW98" s="390" t="n"/>
      <c r="BX98" s="390" t="n"/>
      <c r="BY98" s="390" t="n"/>
      <c r="BZ98" s="390" t="n"/>
      <c r="CA98" s="390" t="n"/>
      <c r="CB98" s="390" t="n"/>
      <c r="CC98" s="394" t="n"/>
      <c r="CF98" s="254" t="inlineStr">
        <is>
          <t>休日</t>
        </is>
      </c>
      <c r="CG98" s="395" t="n"/>
      <c r="CH98" s="395" t="n"/>
      <c r="CI98" s="396" t="n"/>
      <c r="CJ98" s="386">
        <f>IF(Q95="作業者1",N98-N95,0)</f>
        <v/>
      </c>
      <c r="CK98" s="387" t="n"/>
      <c r="CL98" s="387" t="n"/>
      <c r="CM98" s="387" t="n"/>
      <c r="CN98" s="388" t="n"/>
      <c r="CP98" s="253" t="inlineStr">
        <is>
          <t>休日</t>
        </is>
      </c>
      <c r="CQ98" s="384" t="n"/>
      <c r="CR98" s="384" t="n"/>
      <c r="CS98" s="385" t="n"/>
      <c r="CT98" s="386">
        <f>IF(Q95="作業者2",N98-N95,0)</f>
        <v/>
      </c>
      <c r="CU98" s="387" t="n"/>
      <c r="CV98" s="387" t="n"/>
      <c r="CW98" s="387" t="n"/>
      <c r="CX98" s="388" t="n"/>
      <c r="CZ98" s="254" t="inlineStr">
        <is>
          <t>休日</t>
        </is>
      </c>
      <c r="DA98" s="395" t="n"/>
      <c r="DB98" s="395" t="n"/>
      <c r="DC98" s="396" t="n"/>
      <c r="DD98" s="397">
        <f>IF(Q95="作業者3",N98-N95,0)</f>
        <v/>
      </c>
      <c r="DE98" s="395" t="n"/>
      <c r="DF98" s="395" t="n"/>
      <c r="DG98" s="395" t="n"/>
      <c r="DH98" s="396" t="n"/>
      <c r="DJ98" s="254" t="inlineStr">
        <is>
          <t>休日</t>
        </is>
      </c>
      <c r="DK98" s="395" t="n"/>
      <c r="DL98" s="395" t="n"/>
      <c r="DM98" s="396" t="n"/>
      <c r="DN98" s="397">
        <f>IF(Q95="作業者4",N98-N95,0)</f>
        <v/>
      </c>
      <c r="DO98" s="395" t="n"/>
      <c r="DP98" s="395" t="n"/>
      <c r="DQ98" s="395" t="n"/>
      <c r="DR98" s="396" t="n"/>
      <c r="DT98" s="254" t="inlineStr">
        <is>
          <t>休日</t>
        </is>
      </c>
      <c r="DU98" s="395" t="n"/>
      <c r="DV98" s="395" t="n"/>
      <c r="DW98" s="396" t="n"/>
      <c r="DX98" s="397">
        <f>IF(Q95="作業者5",N98-N95,0)</f>
        <v/>
      </c>
      <c r="DY98" s="395" t="n"/>
      <c r="DZ98" s="395" t="n"/>
      <c r="EA98" s="395" t="n"/>
      <c r="EB98" s="396" t="n"/>
    </row>
    <row r="99" ht="9" customHeight="1" s="337">
      <c r="B99" s="398" t="n"/>
      <c r="C99" s="372" t="n"/>
      <c r="D99" s="373" t="n"/>
      <c r="E99" s="399" t="n"/>
      <c r="F99" s="372" t="n"/>
      <c r="G99" s="373" t="n"/>
      <c r="H99" s="399" t="n"/>
      <c r="I99" s="372" t="n"/>
      <c r="J99" s="373" t="n"/>
      <c r="K99" s="399" t="n"/>
      <c r="L99" s="372" t="n"/>
      <c r="M99" s="373" t="n"/>
      <c r="N99" s="399" t="n"/>
      <c r="O99" s="372" t="n"/>
      <c r="P99" s="373" t="n"/>
      <c r="Q99" s="371" t="n"/>
      <c r="R99" s="372" t="n"/>
      <c r="S99" s="373" t="n"/>
      <c r="T99" s="371" t="n"/>
      <c r="U99" s="372" t="n"/>
      <c r="V99" s="373" t="n"/>
      <c r="W99" s="443" t="n"/>
      <c r="X99" s="372" t="n"/>
      <c r="Y99" s="372" t="n"/>
      <c r="Z99" s="372" t="n"/>
      <c r="AA99" s="372" t="n"/>
      <c r="AB99" s="372" t="n"/>
      <c r="AC99" s="372" t="n"/>
      <c r="AD99" s="372" t="n"/>
      <c r="AE99" s="372" t="n"/>
      <c r="AF99" s="372" t="n"/>
      <c r="AG99" s="372" t="n"/>
      <c r="AH99" s="372" t="n"/>
      <c r="AI99" s="372" t="n"/>
      <c r="AJ99" s="372" t="n"/>
      <c r="AK99" s="372" t="n"/>
      <c r="AL99" s="372" t="n"/>
      <c r="AM99" s="372" t="n"/>
      <c r="AN99" s="372" t="n"/>
      <c r="AO99" s="372" t="n"/>
      <c r="AP99" s="372" t="n"/>
      <c r="AQ99" s="372" t="n"/>
      <c r="AR99" s="372" t="n"/>
      <c r="AS99" s="372" t="n"/>
      <c r="AT99" s="372" t="n"/>
      <c r="AU99" s="372" t="n"/>
      <c r="AV99" s="372" t="n"/>
      <c r="AW99" s="372" t="n"/>
      <c r="AX99" s="372" t="n"/>
      <c r="AY99" s="372" t="n"/>
      <c r="AZ99" s="372" t="n"/>
      <c r="BA99" s="372" t="n"/>
      <c r="BB99" s="372" t="n"/>
      <c r="BC99" s="372" t="n"/>
      <c r="BD99" s="372" t="n"/>
      <c r="BE99" s="372" t="n"/>
      <c r="BF99" s="372" t="n"/>
      <c r="BG99" s="372" t="n"/>
      <c r="BH99" s="372" t="n"/>
      <c r="BI99" s="372" t="n"/>
      <c r="BJ99" s="372" t="n"/>
      <c r="BK99" s="372" t="n"/>
      <c r="BL99" s="372" t="n"/>
      <c r="BM99" s="372" t="n"/>
      <c r="BN99" s="372" t="n"/>
      <c r="BO99" s="372" t="n"/>
      <c r="BP99" s="372" t="n"/>
      <c r="BQ99" s="372" t="n"/>
      <c r="BR99" s="372" t="n"/>
      <c r="BS99" s="372" t="n"/>
      <c r="BT99" s="372" t="n"/>
      <c r="BU99" s="372" t="n"/>
      <c r="BV99" s="372" t="n"/>
      <c r="BW99" s="372" t="n"/>
      <c r="BX99" s="372" t="n"/>
      <c r="BY99" s="372" t="n"/>
      <c r="BZ99" s="372" t="n"/>
      <c r="CA99" s="372" t="n"/>
      <c r="CB99" s="372" t="n"/>
      <c r="CC99" s="402" t="n"/>
      <c r="CF99" s="259" t="inlineStr">
        <is>
          <t>移動</t>
        </is>
      </c>
      <c r="CG99" s="403" t="n"/>
      <c r="CH99" s="403" t="n"/>
      <c r="CI99" s="404" t="n"/>
      <c r="CJ99" s="379">
        <f>IF(Q99="作業者1",E102-E99,0)</f>
        <v/>
      </c>
      <c r="CK99" s="377" t="n"/>
      <c r="CL99" s="377" t="n"/>
      <c r="CM99" s="377" t="n"/>
      <c r="CN99" s="378" t="n"/>
      <c r="CP99" s="248" t="inlineStr">
        <is>
          <t>移動</t>
        </is>
      </c>
      <c r="CQ99" s="377" t="n"/>
      <c r="CR99" s="377" t="n"/>
      <c r="CS99" s="378" t="n"/>
      <c r="CT99" s="379">
        <f>IF(Q99="作業者2",E102-E99,0)</f>
        <v/>
      </c>
      <c r="CU99" s="377" t="n"/>
      <c r="CV99" s="377" t="n"/>
      <c r="CW99" s="377" t="n"/>
      <c r="CX99" s="378" t="n"/>
      <c r="CZ99" s="259" t="inlineStr">
        <is>
          <t>移動</t>
        </is>
      </c>
      <c r="DA99" s="403" t="n"/>
      <c r="DB99" s="403" t="n"/>
      <c r="DC99" s="404" t="n"/>
      <c r="DD99" s="405">
        <f>IF(Q99="作業者3",E102-E99,0)</f>
        <v/>
      </c>
      <c r="DE99" s="406" t="n"/>
      <c r="DF99" s="406" t="n"/>
      <c r="DG99" s="406" t="n"/>
      <c r="DH99" s="407" t="n"/>
      <c r="DJ99" s="259" t="inlineStr">
        <is>
          <t>移動</t>
        </is>
      </c>
      <c r="DK99" s="403" t="n"/>
      <c r="DL99" s="403" t="n"/>
      <c r="DM99" s="404" t="n"/>
      <c r="DN99" s="379">
        <f>IF(Q99="作業者4",E102-E99,0)</f>
        <v/>
      </c>
      <c r="DO99" s="377" t="n"/>
      <c r="DP99" s="377" t="n"/>
      <c r="DQ99" s="377" t="n"/>
      <c r="DR99" s="378" t="n"/>
      <c r="DT99" s="259" t="inlineStr">
        <is>
          <t>移動</t>
        </is>
      </c>
      <c r="DU99" s="403" t="n"/>
      <c r="DV99" s="403" t="n"/>
      <c r="DW99" s="404" t="n"/>
      <c r="DX99" s="379">
        <f>IF(Q99="作業者5",E102-E99,0)</f>
        <v/>
      </c>
      <c r="DY99" s="377" t="n"/>
      <c r="DZ99" s="377" t="n"/>
      <c r="EA99" s="377" t="n"/>
      <c r="EB99" s="378" t="n"/>
    </row>
    <row r="100" ht="9" customHeight="1" s="337">
      <c r="B100" s="350" t="n"/>
      <c r="C100" s="338" t="n"/>
      <c r="D100" s="380" t="n"/>
      <c r="E100" s="381" t="n"/>
      <c r="F100" s="122" t="inlineStr">
        <is>
          <t>～</t>
        </is>
      </c>
      <c r="G100" s="22" t="n"/>
      <c r="H100" s="381" t="n"/>
      <c r="I100" s="122" t="inlineStr">
        <is>
          <t>～</t>
        </is>
      </c>
      <c r="J100" s="22" t="n"/>
      <c r="K100" s="381" t="n"/>
      <c r="L100" s="122" t="inlineStr">
        <is>
          <t>～</t>
        </is>
      </c>
      <c r="M100" s="22" t="n"/>
      <c r="N100" s="381" t="n"/>
      <c r="O100" s="122" t="inlineStr">
        <is>
          <t>～</t>
        </is>
      </c>
      <c r="P100" s="22" t="n"/>
      <c r="Q100" s="382" t="n"/>
      <c r="R100" s="338" t="n"/>
      <c r="S100" s="380" t="n"/>
      <c r="T100" s="382" t="n"/>
      <c r="U100" s="338" t="n"/>
      <c r="V100" s="380" t="n"/>
      <c r="W100" s="382" t="n"/>
      <c r="X100" s="338" t="n"/>
      <c r="Y100" s="338" t="n"/>
      <c r="Z100" s="338" t="n"/>
      <c r="AA100" s="338" t="n"/>
      <c r="AB100" s="338" t="n"/>
      <c r="AC100" s="338" t="n"/>
      <c r="AD100" s="338" t="n"/>
      <c r="AE100" s="338" t="n"/>
      <c r="AF100" s="338" t="n"/>
      <c r="AG100" s="338" t="n"/>
      <c r="AH100" s="338" t="n"/>
      <c r="AI100" s="338" t="n"/>
      <c r="AJ100" s="338" t="n"/>
      <c r="AK100" s="338" t="n"/>
      <c r="AL100" s="338" t="n"/>
      <c r="AM100" s="338" t="n"/>
      <c r="AN100" s="338" t="n"/>
      <c r="AO100" s="338" t="n"/>
      <c r="AP100" s="338" t="n"/>
      <c r="AQ100" s="338" t="n"/>
      <c r="AR100" s="338" t="n"/>
      <c r="AS100" s="338" t="n"/>
      <c r="AT100" s="338" t="n"/>
      <c r="AU100" s="338" t="n"/>
      <c r="AV100" s="338" t="n"/>
      <c r="AW100" s="338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83" t="n"/>
      <c r="CF100" s="253" t="inlineStr">
        <is>
          <t>時間内</t>
        </is>
      </c>
      <c r="CG100" s="384" t="n"/>
      <c r="CH100" s="384" t="n"/>
      <c r="CI100" s="385" t="n"/>
      <c r="CJ100" s="386">
        <f>IF(Q99="作業者1",H102-H99,0)</f>
        <v/>
      </c>
      <c r="CK100" s="387" t="n"/>
      <c r="CL100" s="387" t="n"/>
      <c r="CM100" s="387" t="n"/>
      <c r="CN100" s="388" t="n"/>
      <c r="CP100" s="253" t="inlineStr">
        <is>
          <t>時間内</t>
        </is>
      </c>
      <c r="CQ100" s="384" t="n"/>
      <c r="CR100" s="384" t="n"/>
      <c r="CS100" s="385" t="n"/>
      <c r="CT100" s="386">
        <f>IF(Q99="作業者2",H102-H99,0)</f>
        <v/>
      </c>
      <c r="CU100" s="387" t="n"/>
      <c r="CV100" s="387" t="n"/>
      <c r="CW100" s="387" t="n"/>
      <c r="CX100" s="388" t="n"/>
      <c r="CZ100" s="253" t="inlineStr">
        <is>
          <t>時間内</t>
        </is>
      </c>
      <c r="DA100" s="384" t="n"/>
      <c r="DB100" s="384" t="n"/>
      <c r="DC100" s="385" t="n"/>
      <c r="DD100" s="386">
        <f>IF(Q99="作業者3",H102-H99,0)</f>
        <v/>
      </c>
      <c r="DE100" s="387" t="n"/>
      <c r="DF100" s="387" t="n"/>
      <c r="DG100" s="387" t="n"/>
      <c r="DH100" s="388" t="n"/>
      <c r="DJ100" s="253" t="inlineStr">
        <is>
          <t>時間内</t>
        </is>
      </c>
      <c r="DK100" s="384" t="n"/>
      <c r="DL100" s="384" t="n"/>
      <c r="DM100" s="385" t="n"/>
      <c r="DN100" s="386">
        <f>IF(Q99="作業者4",H102-H99,0)</f>
        <v/>
      </c>
      <c r="DO100" s="387" t="n"/>
      <c r="DP100" s="387" t="n"/>
      <c r="DQ100" s="387" t="n"/>
      <c r="DR100" s="388" t="n"/>
      <c r="DT100" s="253" t="inlineStr">
        <is>
          <t>時間内</t>
        </is>
      </c>
      <c r="DU100" s="384" t="n"/>
      <c r="DV100" s="384" t="n"/>
      <c r="DW100" s="385" t="n"/>
      <c r="DX100" s="386">
        <f>IF(Q99="作業者5",H102-H99,0)</f>
        <v/>
      </c>
      <c r="DY100" s="387" t="n"/>
      <c r="DZ100" s="387" t="n"/>
      <c r="EA100" s="387" t="n"/>
      <c r="EB100" s="388" t="n"/>
    </row>
    <row r="101" ht="9" customHeight="1" s="337">
      <c r="B101" s="350" t="n"/>
      <c r="C101" s="338" t="n"/>
      <c r="D101" s="380" t="n"/>
      <c r="E101" s="23" t="n"/>
      <c r="F101" s="338" t="n"/>
      <c r="G101" s="24" t="n"/>
      <c r="H101" s="23" t="n"/>
      <c r="I101" s="338" t="n"/>
      <c r="J101" s="24" t="n"/>
      <c r="K101" s="23" t="n"/>
      <c r="L101" s="338" t="n"/>
      <c r="M101" s="24" t="n"/>
      <c r="N101" s="23" t="n"/>
      <c r="O101" s="338" t="n"/>
      <c r="P101" s="24" t="n"/>
      <c r="Q101" s="382" t="n"/>
      <c r="R101" s="338" t="n"/>
      <c r="S101" s="380" t="n"/>
      <c r="T101" s="382" t="n"/>
      <c r="U101" s="338" t="n"/>
      <c r="V101" s="380" t="n"/>
      <c r="W101" s="382" t="n"/>
      <c r="X101" s="338" t="n"/>
      <c r="Y101" s="338" t="n"/>
      <c r="Z101" s="338" t="n"/>
      <c r="AA101" s="338" t="n"/>
      <c r="AB101" s="338" t="n"/>
      <c r="AC101" s="338" t="n"/>
      <c r="AD101" s="338" t="n"/>
      <c r="AE101" s="338" t="n"/>
      <c r="AF101" s="338" t="n"/>
      <c r="AG101" s="338" t="n"/>
      <c r="AH101" s="338" t="n"/>
      <c r="AI101" s="338" t="n"/>
      <c r="AJ101" s="338" t="n"/>
      <c r="AK101" s="338" t="n"/>
      <c r="AL101" s="338" t="n"/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38" t="n"/>
      <c r="AW101" s="338" t="n"/>
      <c r="AX101" s="338" t="n"/>
      <c r="AY101" s="338" t="n"/>
      <c r="AZ101" s="338" t="n"/>
      <c r="BA101" s="338" t="n"/>
      <c r="BB101" s="338" t="n"/>
      <c r="BC101" s="338" t="n"/>
      <c r="BD101" s="338" t="n"/>
      <c r="BE101" s="338" t="n"/>
      <c r="BF101" s="338" t="n"/>
      <c r="BG101" s="338" t="n"/>
      <c r="BH101" s="338" t="n"/>
      <c r="BI101" s="338" t="n"/>
      <c r="BJ101" s="338" t="n"/>
      <c r="BK101" s="338" t="n"/>
      <c r="BL101" s="338" t="n"/>
      <c r="BM101" s="338" t="n"/>
      <c r="BN101" s="338" t="n"/>
      <c r="BO101" s="338" t="n"/>
      <c r="BP101" s="338" t="n"/>
      <c r="BQ101" s="338" t="n"/>
      <c r="BR101" s="338" t="n"/>
      <c r="BS101" s="338" t="n"/>
      <c r="BT101" s="338" t="n"/>
      <c r="BU101" s="338" t="n"/>
      <c r="BV101" s="338" t="n"/>
      <c r="BW101" s="338" t="n"/>
      <c r="BX101" s="338" t="n"/>
      <c r="BY101" s="338" t="n"/>
      <c r="BZ101" s="338" t="n"/>
      <c r="CA101" s="338" t="n"/>
      <c r="CB101" s="338" t="n"/>
      <c r="CC101" s="383" t="n"/>
      <c r="CF101" s="253" t="inlineStr">
        <is>
          <t>時間外</t>
        </is>
      </c>
      <c r="CG101" s="384" t="n"/>
      <c r="CH101" s="384" t="n"/>
      <c r="CI101" s="385" t="n"/>
      <c r="CJ101" s="386">
        <f>IF(Q99="作業者1",K102-K99,0)</f>
        <v/>
      </c>
      <c r="CK101" s="387" t="n"/>
      <c r="CL101" s="387" t="n"/>
      <c r="CM101" s="387" t="n"/>
      <c r="CN101" s="388" t="n"/>
      <c r="CP101" s="253" t="inlineStr">
        <is>
          <t>時間外</t>
        </is>
      </c>
      <c r="CQ101" s="384" t="n"/>
      <c r="CR101" s="384" t="n"/>
      <c r="CS101" s="385" t="n"/>
      <c r="CT101" s="386">
        <f>IF(Q99="作業者2",K102-K99,0)</f>
        <v/>
      </c>
      <c r="CU101" s="387" t="n"/>
      <c r="CV101" s="387" t="n"/>
      <c r="CW101" s="387" t="n"/>
      <c r="CX101" s="388" t="n"/>
      <c r="CZ101" s="253" t="inlineStr">
        <is>
          <t>時間外</t>
        </is>
      </c>
      <c r="DA101" s="384" t="n"/>
      <c r="DB101" s="384" t="n"/>
      <c r="DC101" s="385" t="n"/>
      <c r="DD101" s="386">
        <f>IF(Q99="作業者3",K102-K99,0)</f>
        <v/>
      </c>
      <c r="DE101" s="387" t="n"/>
      <c r="DF101" s="387" t="n"/>
      <c r="DG101" s="387" t="n"/>
      <c r="DH101" s="388" t="n"/>
      <c r="DJ101" s="253" t="inlineStr">
        <is>
          <t>時間外</t>
        </is>
      </c>
      <c r="DK101" s="384" t="n"/>
      <c r="DL101" s="384" t="n"/>
      <c r="DM101" s="385" t="n"/>
      <c r="DN101" s="386">
        <f>IF(Q99="作業者4",K102-K99,0)</f>
        <v/>
      </c>
      <c r="DO101" s="387" t="n"/>
      <c r="DP101" s="387" t="n"/>
      <c r="DQ101" s="387" t="n"/>
      <c r="DR101" s="388" t="n"/>
      <c r="DT101" s="253" t="inlineStr">
        <is>
          <t>時間外</t>
        </is>
      </c>
      <c r="DU101" s="384" t="n"/>
      <c r="DV101" s="384" t="n"/>
      <c r="DW101" s="385" t="n"/>
      <c r="DX101" s="386">
        <f>IF(Q99="作業者5",K102-K99,0)</f>
        <v/>
      </c>
      <c r="DY101" s="387" t="n"/>
      <c r="DZ101" s="387" t="n"/>
      <c r="EA101" s="387" t="n"/>
      <c r="EB101" s="388" t="n"/>
    </row>
    <row r="102" ht="9" customHeight="1" s="337">
      <c r="B102" s="389" t="n"/>
      <c r="C102" s="390" t="n"/>
      <c r="D102" s="391" t="n"/>
      <c r="E102" s="392" t="n"/>
      <c r="F102" s="390" t="n"/>
      <c r="G102" s="391" t="n"/>
      <c r="H102" s="392" t="n"/>
      <c r="I102" s="390" t="n"/>
      <c r="J102" s="391" t="n"/>
      <c r="K102" s="392" t="n"/>
      <c r="L102" s="390" t="n"/>
      <c r="M102" s="391" t="n"/>
      <c r="N102" s="392" t="n"/>
      <c r="O102" s="390" t="n"/>
      <c r="P102" s="391" t="n"/>
      <c r="Q102" s="393" t="n"/>
      <c r="R102" s="390" t="n"/>
      <c r="S102" s="391" t="n"/>
      <c r="T102" s="393" t="n"/>
      <c r="U102" s="390" t="n"/>
      <c r="V102" s="391" t="n"/>
      <c r="W102" s="393" t="n"/>
      <c r="X102" s="390" t="n"/>
      <c r="Y102" s="390" t="n"/>
      <c r="Z102" s="390" t="n"/>
      <c r="AA102" s="390" t="n"/>
      <c r="AB102" s="390" t="n"/>
      <c r="AC102" s="390" t="n"/>
      <c r="AD102" s="390" t="n"/>
      <c r="AE102" s="390" t="n"/>
      <c r="AF102" s="390" t="n"/>
      <c r="AG102" s="390" t="n"/>
      <c r="AH102" s="390" t="n"/>
      <c r="AI102" s="390" t="n"/>
      <c r="AJ102" s="390" t="n"/>
      <c r="AK102" s="390" t="n"/>
      <c r="AL102" s="390" t="n"/>
      <c r="AM102" s="390" t="n"/>
      <c r="AN102" s="390" t="n"/>
      <c r="AO102" s="390" t="n"/>
      <c r="AP102" s="390" t="n"/>
      <c r="AQ102" s="390" t="n"/>
      <c r="AR102" s="390" t="n"/>
      <c r="AS102" s="390" t="n"/>
      <c r="AT102" s="390" t="n"/>
      <c r="AU102" s="390" t="n"/>
      <c r="AV102" s="390" t="n"/>
      <c r="AW102" s="390" t="n"/>
      <c r="AX102" s="390" t="n"/>
      <c r="AY102" s="390" t="n"/>
      <c r="AZ102" s="390" t="n"/>
      <c r="BA102" s="390" t="n"/>
      <c r="BB102" s="390" t="n"/>
      <c r="BC102" s="390" t="n"/>
      <c r="BD102" s="390" t="n"/>
      <c r="BE102" s="390" t="n"/>
      <c r="BF102" s="390" t="n"/>
      <c r="BG102" s="390" t="n"/>
      <c r="BH102" s="390" t="n"/>
      <c r="BI102" s="390" t="n"/>
      <c r="BJ102" s="390" t="n"/>
      <c r="BK102" s="390" t="n"/>
      <c r="BL102" s="390" t="n"/>
      <c r="BM102" s="390" t="n"/>
      <c r="BN102" s="390" t="n"/>
      <c r="BO102" s="390" t="n"/>
      <c r="BP102" s="390" t="n"/>
      <c r="BQ102" s="390" t="n"/>
      <c r="BR102" s="390" t="n"/>
      <c r="BS102" s="390" t="n"/>
      <c r="BT102" s="390" t="n"/>
      <c r="BU102" s="390" t="n"/>
      <c r="BV102" s="390" t="n"/>
      <c r="BW102" s="390" t="n"/>
      <c r="BX102" s="390" t="n"/>
      <c r="BY102" s="390" t="n"/>
      <c r="BZ102" s="390" t="n"/>
      <c r="CA102" s="390" t="n"/>
      <c r="CB102" s="390" t="n"/>
      <c r="CC102" s="394" t="n"/>
      <c r="CF102" s="254" t="inlineStr">
        <is>
          <t>休日</t>
        </is>
      </c>
      <c r="CG102" s="395" t="n"/>
      <c r="CH102" s="395" t="n"/>
      <c r="CI102" s="396" t="n"/>
      <c r="CJ102" s="397">
        <f>IF(Q99="作業者1",N102-N99,0)</f>
        <v/>
      </c>
      <c r="CK102" s="395" t="n"/>
      <c r="CL102" s="395" t="n"/>
      <c r="CM102" s="395" t="n"/>
      <c r="CN102" s="396" t="n"/>
      <c r="CP102" s="254" t="inlineStr">
        <is>
          <t>休日</t>
        </is>
      </c>
      <c r="CQ102" s="395" t="n"/>
      <c r="CR102" s="395" t="n"/>
      <c r="CS102" s="396" t="n"/>
      <c r="CT102" s="397">
        <f>IF(Q99="作業者2",N102-N99,0)</f>
        <v/>
      </c>
      <c r="CU102" s="395" t="n"/>
      <c r="CV102" s="395" t="n"/>
      <c r="CW102" s="395" t="n"/>
      <c r="CX102" s="396" t="n"/>
      <c r="CZ102" s="254" t="inlineStr">
        <is>
          <t>休日</t>
        </is>
      </c>
      <c r="DA102" s="395" t="n"/>
      <c r="DB102" s="395" t="n"/>
      <c r="DC102" s="396" t="n"/>
      <c r="DD102" s="397">
        <f>IF(Q99="作業者3",N102-N99,0)</f>
        <v/>
      </c>
      <c r="DE102" s="395" t="n"/>
      <c r="DF102" s="395" t="n"/>
      <c r="DG102" s="395" t="n"/>
      <c r="DH102" s="396" t="n"/>
      <c r="DJ102" s="254" t="inlineStr">
        <is>
          <t>休日</t>
        </is>
      </c>
      <c r="DK102" s="395" t="n"/>
      <c r="DL102" s="395" t="n"/>
      <c r="DM102" s="396" t="n"/>
      <c r="DN102" s="397">
        <f>IF(Q99="作業者4",N102-N99,0)</f>
        <v/>
      </c>
      <c r="DO102" s="395" t="n"/>
      <c r="DP102" s="395" t="n"/>
      <c r="DQ102" s="395" t="n"/>
      <c r="DR102" s="396" t="n"/>
      <c r="DT102" s="254" t="inlineStr">
        <is>
          <t>休日</t>
        </is>
      </c>
      <c r="DU102" s="395" t="n"/>
      <c r="DV102" s="395" t="n"/>
      <c r="DW102" s="396" t="n"/>
      <c r="DX102" s="397">
        <f>IF(Q99="作業者5",N102-N99,0)</f>
        <v/>
      </c>
      <c r="DY102" s="395" t="n"/>
      <c r="DZ102" s="395" t="n"/>
      <c r="EA102" s="395" t="n"/>
      <c r="EB102" s="396" t="n"/>
    </row>
    <row r="103" ht="9" customHeight="1" s="337">
      <c r="B103" s="398" t="n"/>
      <c r="C103" s="372" t="n"/>
      <c r="D103" s="373" t="n"/>
      <c r="E103" s="399" t="n"/>
      <c r="F103" s="372" t="n"/>
      <c r="G103" s="373" t="n"/>
      <c r="H103" s="399" t="n"/>
      <c r="I103" s="372" t="n"/>
      <c r="J103" s="373" t="n"/>
      <c r="K103" s="399" t="n"/>
      <c r="L103" s="372" t="n"/>
      <c r="M103" s="373" t="n"/>
      <c r="N103" s="399" t="n"/>
      <c r="O103" s="372" t="n"/>
      <c r="P103" s="373" t="n"/>
      <c r="Q103" s="371" t="n"/>
      <c r="R103" s="372" t="n"/>
      <c r="S103" s="373" t="n"/>
      <c r="T103" s="371" t="n"/>
      <c r="U103" s="372" t="n"/>
      <c r="V103" s="373" t="n"/>
      <c r="W103" s="443" t="n"/>
      <c r="X103" s="372" t="n"/>
      <c r="Y103" s="372" t="n"/>
      <c r="Z103" s="372" t="n"/>
      <c r="AA103" s="372" t="n"/>
      <c r="AB103" s="372" t="n"/>
      <c r="AC103" s="372" t="n"/>
      <c r="AD103" s="372" t="n"/>
      <c r="AE103" s="372" t="n"/>
      <c r="AF103" s="372" t="n"/>
      <c r="AG103" s="372" t="n"/>
      <c r="AH103" s="372" t="n"/>
      <c r="AI103" s="372" t="n"/>
      <c r="AJ103" s="372" t="n"/>
      <c r="AK103" s="372" t="n"/>
      <c r="AL103" s="372" t="n"/>
      <c r="AM103" s="372" t="n"/>
      <c r="AN103" s="372" t="n"/>
      <c r="AO103" s="372" t="n"/>
      <c r="AP103" s="372" t="n"/>
      <c r="AQ103" s="372" t="n"/>
      <c r="AR103" s="372" t="n"/>
      <c r="AS103" s="372" t="n"/>
      <c r="AT103" s="372" t="n"/>
      <c r="AU103" s="372" t="n"/>
      <c r="AV103" s="372" t="n"/>
      <c r="AW103" s="372" t="n"/>
      <c r="AX103" s="372" t="n"/>
      <c r="AY103" s="372" t="n"/>
      <c r="AZ103" s="372" t="n"/>
      <c r="BA103" s="372" t="n"/>
      <c r="BB103" s="372" t="n"/>
      <c r="BC103" s="372" t="n"/>
      <c r="BD103" s="372" t="n"/>
      <c r="BE103" s="372" t="n"/>
      <c r="BF103" s="372" t="n"/>
      <c r="BG103" s="372" t="n"/>
      <c r="BH103" s="372" t="n"/>
      <c r="BI103" s="372" t="n"/>
      <c r="BJ103" s="372" t="n"/>
      <c r="BK103" s="372" t="n"/>
      <c r="BL103" s="372" t="n"/>
      <c r="BM103" s="372" t="n"/>
      <c r="BN103" s="372" t="n"/>
      <c r="BO103" s="372" t="n"/>
      <c r="BP103" s="372" t="n"/>
      <c r="BQ103" s="372" t="n"/>
      <c r="BR103" s="372" t="n"/>
      <c r="BS103" s="372" t="n"/>
      <c r="BT103" s="372" t="n"/>
      <c r="BU103" s="372" t="n"/>
      <c r="BV103" s="372" t="n"/>
      <c r="BW103" s="372" t="n"/>
      <c r="BX103" s="372" t="n"/>
      <c r="BY103" s="372" t="n"/>
      <c r="BZ103" s="372" t="n"/>
      <c r="CA103" s="372" t="n"/>
      <c r="CB103" s="372" t="n"/>
      <c r="CC103" s="402" t="n"/>
      <c r="CF103" s="248" t="inlineStr">
        <is>
          <t>移動</t>
        </is>
      </c>
      <c r="CG103" s="377" t="n"/>
      <c r="CH103" s="377" t="n"/>
      <c r="CI103" s="378" t="n"/>
      <c r="CJ103" s="379">
        <f>IF(Q103="作業者1",E106-E103,0)</f>
        <v/>
      </c>
      <c r="CK103" s="377" t="n"/>
      <c r="CL103" s="377" t="n"/>
      <c r="CM103" s="377" t="n"/>
      <c r="CN103" s="378" t="n"/>
      <c r="CP103" s="248" t="inlineStr">
        <is>
          <t>移動</t>
        </is>
      </c>
      <c r="CQ103" s="377" t="n"/>
      <c r="CR103" s="377" t="n"/>
      <c r="CS103" s="378" t="n"/>
      <c r="CT103" s="379">
        <f>IF(Q103="作業者2",E106-E103,0)</f>
        <v/>
      </c>
      <c r="CU103" s="377" t="n"/>
      <c r="CV103" s="377" t="n"/>
      <c r="CW103" s="377" t="n"/>
      <c r="CX103" s="378" t="n"/>
      <c r="CZ103" s="248" t="inlineStr">
        <is>
          <t>移動</t>
        </is>
      </c>
      <c r="DA103" s="377" t="n"/>
      <c r="DB103" s="377" t="n"/>
      <c r="DC103" s="378" t="n"/>
      <c r="DD103" s="379">
        <f>IF(Q103="作業者3",E106-E103,0)</f>
        <v/>
      </c>
      <c r="DE103" s="377" t="n"/>
      <c r="DF103" s="377" t="n"/>
      <c r="DG103" s="377" t="n"/>
      <c r="DH103" s="378" t="n"/>
      <c r="DJ103" s="248" t="inlineStr">
        <is>
          <t>移動</t>
        </is>
      </c>
      <c r="DK103" s="377" t="n"/>
      <c r="DL103" s="377" t="n"/>
      <c r="DM103" s="378" t="n"/>
      <c r="DN103" s="379">
        <f>IF(Q103="作業者4",E106-E103,0)</f>
        <v/>
      </c>
      <c r="DO103" s="377" t="n"/>
      <c r="DP103" s="377" t="n"/>
      <c r="DQ103" s="377" t="n"/>
      <c r="DR103" s="378" t="n"/>
      <c r="DT103" s="259" t="inlineStr">
        <is>
          <t>移動</t>
        </is>
      </c>
      <c r="DU103" s="403" t="n"/>
      <c r="DV103" s="403" t="n"/>
      <c r="DW103" s="404" t="n"/>
      <c r="DX103" s="379">
        <f>IF(Q103="作業者5",E106-E103,0)</f>
        <v/>
      </c>
      <c r="DY103" s="377" t="n"/>
      <c r="DZ103" s="377" t="n"/>
      <c r="EA103" s="377" t="n"/>
      <c r="EB103" s="378" t="n"/>
    </row>
    <row r="104" ht="9" customHeight="1" s="337">
      <c r="B104" s="350" t="n"/>
      <c r="C104" s="338" t="n"/>
      <c r="D104" s="380" t="n"/>
      <c r="E104" s="381" t="n"/>
      <c r="F104" s="122" t="inlineStr">
        <is>
          <t>～</t>
        </is>
      </c>
      <c r="G104" s="22" t="n"/>
      <c r="H104" s="381" t="n"/>
      <c r="I104" s="122" t="inlineStr">
        <is>
          <t>～</t>
        </is>
      </c>
      <c r="J104" s="22" t="n"/>
      <c r="K104" s="381" t="n"/>
      <c r="L104" s="122" t="inlineStr">
        <is>
          <t>～</t>
        </is>
      </c>
      <c r="M104" s="22" t="n"/>
      <c r="N104" s="381" t="n"/>
      <c r="O104" s="122" t="inlineStr">
        <is>
          <t>～</t>
        </is>
      </c>
      <c r="P104" s="22" t="n"/>
      <c r="Q104" s="382" t="n"/>
      <c r="R104" s="338" t="n"/>
      <c r="S104" s="380" t="n"/>
      <c r="T104" s="382" t="n"/>
      <c r="U104" s="338" t="n"/>
      <c r="V104" s="380" t="n"/>
      <c r="W104" s="382" t="n"/>
      <c r="X104" s="338" t="n"/>
      <c r="Y104" s="338" t="n"/>
      <c r="Z104" s="338" t="n"/>
      <c r="AA104" s="338" t="n"/>
      <c r="AB104" s="338" t="n"/>
      <c r="AC104" s="338" t="n"/>
      <c r="AD104" s="338" t="n"/>
      <c r="AE104" s="338" t="n"/>
      <c r="AF104" s="338" t="n"/>
      <c r="AG104" s="338" t="n"/>
      <c r="AH104" s="338" t="n"/>
      <c r="AI104" s="338" t="n"/>
      <c r="AJ104" s="338" t="n"/>
      <c r="AK104" s="338" t="n"/>
      <c r="AL104" s="338" t="n"/>
      <c r="AM104" s="338" t="n"/>
      <c r="AN104" s="338" t="n"/>
      <c r="AO104" s="338" t="n"/>
      <c r="AP104" s="338" t="n"/>
      <c r="AQ104" s="338" t="n"/>
      <c r="AR104" s="338" t="n"/>
      <c r="AS104" s="338" t="n"/>
      <c r="AT104" s="338" t="n"/>
      <c r="AU104" s="338" t="n"/>
      <c r="AV104" s="338" t="n"/>
      <c r="AW104" s="338" t="n"/>
      <c r="AX104" s="338" t="n"/>
      <c r="AY104" s="338" t="n"/>
      <c r="AZ104" s="338" t="n"/>
      <c r="BA104" s="338" t="n"/>
      <c r="BB104" s="338" t="n"/>
      <c r="BC104" s="338" t="n"/>
      <c r="BD104" s="338" t="n"/>
      <c r="BE104" s="338" t="n"/>
      <c r="BF104" s="338" t="n"/>
      <c r="BG104" s="338" t="n"/>
      <c r="BH104" s="338" t="n"/>
      <c r="BI104" s="338" t="n"/>
      <c r="BJ104" s="338" t="n"/>
      <c r="BK104" s="338" t="n"/>
      <c r="BL104" s="338" t="n"/>
      <c r="BM104" s="338" t="n"/>
      <c r="BN104" s="338" t="n"/>
      <c r="BO104" s="338" t="n"/>
      <c r="BP104" s="338" t="n"/>
      <c r="BQ104" s="338" t="n"/>
      <c r="BR104" s="338" t="n"/>
      <c r="BS104" s="338" t="n"/>
      <c r="BT104" s="338" t="n"/>
      <c r="BU104" s="338" t="n"/>
      <c r="BV104" s="338" t="n"/>
      <c r="BW104" s="338" t="n"/>
      <c r="BX104" s="338" t="n"/>
      <c r="BY104" s="338" t="n"/>
      <c r="BZ104" s="338" t="n"/>
      <c r="CA104" s="338" t="n"/>
      <c r="CB104" s="338" t="n"/>
      <c r="CC104" s="383" t="n"/>
      <c r="CF104" s="253" t="inlineStr">
        <is>
          <t>時間内</t>
        </is>
      </c>
      <c r="CG104" s="384" t="n"/>
      <c r="CH104" s="384" t="n"/>
      <c r="CI104" s="385" t="n"/>
      <c r="CJ104" s="386">
        <f>IF(Q103="作業者1",H106-H103,0)</f>
        <v/>
      </c>
      <c r="CK104" s="387" t="n"/>
      <c r="CL104" s="387" t="n"/>
      <c r="CM104" s="387" t="n"/>
      <c r="CN104" s="388" t="n"/>
      <c r="CP104" s="253" t="inlineStr">
        <is>
          <t>時間内</t>
        </is>
      </c>
      <c r="CQ104" s="384" t="n"/>
      <c r="CR104" s="384" t="n"/>
      <c r="CS104" s="385" t="n"/>
      <c r="CT104" s="386">
        <f>IF(Q103="作業者2",H106-H103,0)</f>
        <v/>
      </c>
      <c r="CU104" s="387" t="n"/>
      <c r="CV104" s="387" t="n"/>
      <c r="CW104" s="387" t="n"/>
      <c r="CX104" s="388" t="n"/>
      <c r="CZ104" s="253" t="inlineStr">
        <is>
          <t>時間内</t>
        </is>
      </c>
      <c r="DA104" s="384" t="n"/>
      <c r="DB104" s="384" t="n"/>
      <c r="DC104" s="385" t="n"/>
      <c r="DD104" s="386">
        <f>IF(Q103="作業者3",H106-H103,0)</f>
        <v/>
      </c>
      <c r="DE104" s="387" t="n"/>
      <c r="DF104" s="387" t="n"/>
      <c r="DG104" s="387" t="n"/>
      <c r="DH104" s="388" t="n"/>
      <c r="DJ104" s="253" t="inlineStr">
        <is>
          <t>時間内</t>
        </is>
      </c>
      <c r="DK104" s="384" t="n"/>
      <c r="DL104" s="384" t="n"/>
      <c r="DM104" s="385" t="n"/>
      <c r="DN104" s="386">
        <f>IF(Q103="作業者4",H106-H103,0)</f>
        <v/>
      </c>
      <c r="DO104" s="387" t="n"/>
      <c r="DP104" s="387" t="n"/>
      <c r="DQ104" s="387" t="n"/>
      <c r="DR104" s="388" t="n"/>
      <c r="DT104" s="253" t="inlineStr">
        <is>
          <t>時間内</t>
        </is>
      </c>
      <c r="DU104" s="384" t="n"/>
      <c r="DV104" s="384" t="n"/>
      <c r="DW104" s="385" t="n"/>
      <c r="DX104" s="386">
        <f>IF(Q103="作業者5",H106-H103,0)</f>
        <v/>
      </c>
      <c r="DY104" s="387" t="n"/>
      <c r="DZ104" s="387" t="n"/>
      <c r="EA104" s="387" t="n"/>
      <c r="EB104" s="388" t="n"/>
    </row>
    <row r="105" ht="9" customHeight="1" s="337">
      <c r="B105" s="350" t="n"/>
      <c r="C105" s="338" t="n"/>
      <c r="D105" s="380" t="n"/>
      <c r="E105" s="23" t="n"/>
      <c r="F105" s="338" t="n"/>
      <c r="G105" s="24" t="n"/>
      <c r="H105" s="23" t="n"/>
      <c r="I105" s="338" t="n"/>
      <c r="J105" s="24" t="n"/>
      <c r="K105" s="23" t="n"/>
      <c r="L105" s="338" t="n"/>
      <c r="M105" s="24" t="n"/>
      <c r="N105" s="23" t="n"/>
      <c r="O105" s="338" t="n"/>
      <c r="P105" s="24" t="n"/>
      <c r="Q105" s="382" t="n"/>
      <c r="R105" s="338" t="n"/>
      <c r="S105" s="380" t="n"/>
      <c r="T105" s="382" t="n"/>
      <c r="U105" s="338" t="n"/>
      <c r="V105" s="380" t="n"/>
      <c r="W105" s="382" t="n"/>
      <c r="X105" s="338" t="n"/>
      <c r="Y105" s="338" t="n"/>
      <c r="Z105" s="338" t="n"/>
      <c r="AA105" s="338" t="n"/>
      <c r="AB105" s="338" t="n"/>
      <c r="AC105" s="338" t="n"/>
      <c r="AD105" s="338" t="n"/>
      <c r="AE105" s="338" t="n"/>
      <c r="AF105" s="338" t="n"/>
      <c r="AG105" s="338" t="n"/>
      <c r="AH105" s="338" t="n"/>
      <c r="AI105" s="338" t="n"/>
      <c r="AJ105" s="338" t="n"/>
      <c r="AK105" s="338" t="n"/>
      <c r="AL105" s="338" t="n"/>
      <c r="AM105" s="338" t="n"/>
      <c r="AN105" s="338" t="n"/>
      <c r="AO105" s="338" t="n"/>
      <c r="AP105" s="338" t="n"/>
      <c r="AQ105" s="338" t="n"/>
      <c r="AR105" s="338" t="n"/>
      <c r="AS105" s="338" t="n"/>
      <c r="AT105" s="338" t="n"/>
      <c r="AU105" s="338" t="n"/>
      <c r="AV105" s="338" t="n"/>
      <c r="AW105" s="338" t="n"/>
      <c r="AX105" s="338" t="n"/>
      <c r="AY105" s="338" t="n"/>
      <c r="AZ105" s="338" t="n"/>
      <c r="BA105" s="338" t="n"/>
      <c r="BB105" s="338" t="n"/>
      <c r="BC105" s="338" t="n"/>
      <c r="BD105" s="338" t="n"/>
      <c r="BE105" s="338" t="n"/>
      <c r="BF105" s="338" t="n"/>
      <c r="BG105" s="338" t="n"/>
      <c r="BH105" s="338" t="n"/>
      <c r="BI105" s="338" t="n"/>
      <c r="BJ105" s="338" t="n"/>
      <c r="BK105" s="338" t="n"/>
      <c r="BL105" s="338" t="n"/>
      <c r="BM105" s="338" t="n"/>
      <c r="BN105" s="338" t="n"/>
      <c r="BO105" s="338" t="n"/>
      <c r="BP105" s="338" t="n"/>
      <c r="BQ105" s="338" t="n"/>
      <c r="BR105" s="338" t="n"/>
      <c r="BS105" s="338" t="n"/>
      <c r="BT105" s="338" t="n"/>
      <c r="BU105" s="338" t="n"/>
      <c r="BV105" s="338" t="n"/>
      <c r="BW105" s="338" t="n"/>
      <c r="BX105" s="338" t="n"/>
      <c r="BY105" s="338" t="n"/>
      <c r="BZ105" s="338" t="n"/>
      <c r="CA105" s="338" t="n"/>
      <c r="CB105" s="338" t="n"/>
      <c r="CC105" s="383" t="n"/>
      <c r="CF105" s="253" t="inlineStr">
        <is>
          <t>時間外</t>
        </is>
      </c>
      <c r="CG105" s="384" t="n"/>
      <c r="CH105" s="384" t="n"/>
      <c r="CI105" s="385" t="n"/>
      <c r="CJ105" s="386">
        <f>IF(Q103="作業者1",K106-K103,0)</f>
        <v/>
      </c>
      <c r="CK105" s="387" t="n"/>
      <c r="CL105" s="387" t="n"/>
      <c r="CM105" s="387" t="n"/>
      <c r="CN105" s="388" t="n"/>
      <c r="CP105" s="253" t="inlineStr">
        <is>
          <t>時間外</t>
        </is>
      </c>
      <c r="CQ105" s="384" t="n"/>
      <c r="CR105" s="384" t="n"/>
      <c r="CS105" s="385" t="n"/>
      <c r="CT105" s="386">
        <f>IF(Q103="作業者2",K106-K103,0)</f>
        <v/>
      </c>
      <c r="CU105" s="387" t="n"/>
      <c r="CV105" s="387" t="n"/>
      <c r="CW105" s="387" t="n"/>
      <c r="CX105" s="388" t="n"/>
      <c r="CZ105" s="253" t="inlineStr">
        <is>
          <t>時間外</t>
        </is>
      </c>
      <c r="DA105" s="384" t="n"/>
      <c r="DB105" s="384" t="n"/>
      <c r="DC105" s="385" t="n"/>
      <c r="DD105" s="386">
        <f>IF(Q103="作業者3",K106-K103,0)</f>
        <v/>
      </c>
      <c r="DE105" s="387" t="n"/>
      <c r="DF105" s="387" t="n"/>
      <c r="DG105" s="387" t="n"/>
      <c r="DH105" s="388" t="n"/>
      <c r="DJ105" s="253" t="inlineStr">
        <is>
          <t>時間外</t>
        </is>
      </c>
      <c r="DK105" s="384" t="n"/>
      <c r="DL105" s="384" t="n"/>
      <c r="DM105" s="385" t="n"/>
      <c r="DN105" s="386">
        <f>IF(Q103="作業者4",K106-K103,0)</f>
        <v/>
      </c>
      <c r="DO105" s="387" t="n"/>
      <c r="DP105" s="387" t="n"/>
      <c r="DQ105" s="387" t="n"/>
      <c r="DR105" s="388" t="n"/>
      <c r="DT105" s="253" t="inlineStr">
        <is>
          <t>時間外</t>
        </is>
      </c>
      <c r="DU105" s="384" t="n"/>
      <c r="DV105" s="384" t="n"/>
      <c r="DW105" s="385" t="n"/>
      <c r="DX105" s="386">
        <f>IF(Q103="作業者5",K106-K103,0)</f>
        <v/>
      </c>
      <c r="DY105" s="387" t="n"/>
      <c r="DZ105" s="387" t="n"/>
      <c r="EA105" s="387" t="n"/>
      <c r="EB105" s="388" t="n"/>
    </row>
    <row r="106" ht="9" customHeight="1" s="337">
      <c r="B106" s="389" t="n"/>
      <c r="C106" s="390" t="n"/>
      <c r="D106" s="391" t="n"/>
      <c r="E106" s="392" t="n"/>
      <c r="F106" s="390" t="n"/>
      <c r="G106" s="391" t="n"/>
      <c r="H106" s="392" t="n"/>
      <c r="I106" s="390" t="n"/>
      <c r="J106" s="391" t="n"/>
      <c r="K106" s="392" t="n"/>
      <c r="L106" s="390" t="n"/>
      <c r="M106" s="391" t="n"/>
      <c r="N106" s="392" t="n"/>
      <c r="O106" s="390" t="n"/>
      <c r="P106" s="391" t="n"/>
      <c r="Q106" s="393" t="n"/>
      <c r="R106" s="390" t="n"/>
      <c r="S106" s="391" t="n"/>
      <c r="T106" s="393" t="n"/>
      <c r="U106" s="390" t="n"/>
      <c r="V106" s="391" t="n"/>
      <c r="W106" s="393" t="n"/>
      <c r="X106" s="390" t="n"/>
      <c r="Y106" s="390" t="n"/>
      <c r="Z106" s="390" t="n"/>
      <c r="AA106" s="390" t="n"/>
      <c r="AB106" s="390" t="n"/>
      <c r="AC106" s="390" t="n"/>
      <c r="AD106" s="390" t="n"/>
      <c r="AE106" s="390" t="n"/>
      <c r="AF106" s="390" t="n"/>
      <c r="AG106" s="390" t="n"/>
      <c r="AH106" s="390" t="n"/>
      <c r="AI106" s="390" t="n"/>
      <c r="AJ106" s="390" t="n"/>
      <c r="AK106" s="390" t="n"/>
      <c r="AL106" s="390" t="n"/>
      <c r="AM106" s="390" t="n"/>
      <c r="AN106" s="390" t="n"/>
      <c r="AO106" s="390" t="n"/>
      <c r="AP106" s="390" t="n"/>
      <c r="AQ106" s="390" t="n"/>
      <c r="AR106" s="390" t="n"/>
      <c r="AS106" s="390" t="n"/>
      <c r="AT106" s="390" t="n"/>
      <c r="AU106" s="390" t="n"/>
      <c r="AV106" s="390" t="n"/>
      <c r="AW106" s="390" t="n"/>
      <c r="AX106" s="390" t="n"/>
      <c r="AY106" s="390" t="n"/>
      <c r="AZ106" s="390" t="n"/>
      <c r="BA106" s="390" t="n"/>
      <c r="BB106" s="390" t="n"/>
      <c r="BC106" s="390" t="n"/>
      <c r="BD106" s="390" t="n"/>
      <c r="BE106" s="390" t="n"/>
      <c r="BF106" s="390" t="n"/>
      <c r="BG106" s="390" t="n"/>
      <c r="BH106" s="390" t="n"/>
      <c r="BI106" s="390" t="n"/>
      <c r="BJ106" s="390" t="n"/>
      <c r="BK106" s="390" t="n"/>
      <c r="BL106" s="390" t="n"/>
      <c r="BM106" s="390" t="n"/>
      <c r="BN106" s="390" t="n"/>
      <c r="BO106" s="390" t="n"/>
      <c r="BP106" s="390" t="n"/>
      <c r="BQ106" s="390" t="n"/>
      <c r="BR106" s="390" t="n"/>
      <c r="BS106" s="390" t="n"/>
      <c r="BT106" s="390" t="n"/>
      <c r="BU106" s="390" t="n"/>
      <c r="BV106" s="390" t="n"/>
      <c r="BW106" s="390" t="n"/>
      <c r="BX106" s="390" t="n"/>
      <c r="BY106" s="390" t="n"/>
      <c r="BZ106" s="390" t="n"/>
      <c r="CA106" s="390" t="n"/>
      <c r="CB106" s="390" t="n"/>
      <c r="CC106" s="394" t="n"/>
      <c r="CF106" s="254" t="inlineStr">
        <is>
          <t>休日</t>
        </is>
      </c>
      <c r="CG106" s="395" t="n"/>
      <c r="CH106" s="395" t="n"/>
      <c r="CI106" s="396" t="n"/>
      <c r="CJ106" s="386">
        <f>IF(Q103="作業者1",N106-N103,0)</f>
        <v/>
      </c>
      <c r="CK106" s="387" t="n"/>
      <c r="CL106" s="387" t="n"/>
      <c r="CM106" s="387" t="n"/>
      <c r="CN106" s="388" t="n"/>
      <c r="CP106" s="253" t="inlineStr">
        <is>
          <t>休日</t>
        </is>
      </c>
      <c r="CQ106" s="384" t="n"/>
      <c r="CR106" s="384" t="n"/>
      <c r="CS106" s="385" t="n"/>
      <c r="CT106" s="386">
        <f>IF(Q103="作業者2",N106-N103,0)</f>
        <v/>
      </c>
      <c r="CU106" s="387" t="n"/>
      <c r="CV106" s="387" t="n"/>
      <c r="CW106" s="387" t="n"/>
      <c r="CX106" s="388" t="n"/>
      <c r="CZ106" s="254" t="inlineStr">
        <is>
          <t>休日</t>
        </is>
      </c>
      <c r="DA106" s="395" t="n"/>
      <c r="DB106" s="395" t="n"/>
      <c r="DC106" s="396" t="n"/>
      <c r="DD106" s="397">
        <f>IF(Q103="作業者3",N106-N103,0)</f>
        <v/>
      </c>
      <c r="DE106" s="395" t="n"/>
      <c r="DF106" s="395" t="n"/>
      <c r="DG106" s="395" t="n"/>
      <c r="DH106" s="396" t="n"/>
      <c r="DJ106" s="254" t="inlineStr">
        <is>
          <t>休日</t>
        </is>
      </c>
      <c r="DK106" s="395" t="n"/>
      <c r="DL106" s="395" t="n"/>
      <c r="DM106" s="396" t="n"/>
      <c r="DN106" s="397">
        <f>IF(Q103="作業者4",N106-N103,0)</f>
        <v/>
      </c>
      <c r="DO106" s="395" t="n"/>
      <c r="DP106" s="395" t="n"/>
      <c r="DQ106" s="395" t="n"/>
      <c r="DR106" s="396" t="n"/>
      <c r="DT106" s="254" t="inlineStr">
        <is>
          <t>休日</t>
        </is>
      </c>
      <c r="DU106" s="395" t="n"/>
      <c r="DV106" s="395" t="n"/>
      <c r="DW106" s="396" t="n"/>
      <c r="DX106" s="397">
        <f>IF(Q103="作業者5",N106-N103,0)</f>
        <v/>
      </c>
      <c r="DY106" s="395" t="n"/>
      <c r="DZ106" s="395" t="n"/>
      <c r="EA106" s="395" t="n"/>
      <c r="EB106" s="396" t="n"/>
    </row>
    <row r="107" ht="9" customHeight="1" s="337">
      <c r="B107" s="398" t="n"/>
      <c r="C107" s="372" t="n"/>
      <c r="D107" s="373" t="n"/>
      <c r="E107" s="399" t="n"/>
      <c r="F107" s="372" t="n"/>
      <c r="G107" s="373" t="n"/>
      <c r="H107" s="399" t="n"/>
      <c r="I107" s="372" t="n"/>
      <c r="J107" s="373" t="n"/>
      <c r="K107" s="399" t="n"/>
      <c r="L107" s="372" t="n"/>
      <c r="M107" s="373" t="n"/>
      <c r="N107" s="399" t="n"/>
      <c r="O107" s="372" t="n"/>
      <c r="P107" s="373" t="n"/>
      <c r="Q107" s="371" t="n"/>
      <c r="R107" s="372" t="n"/>
      <c r="S107" s="373" t="n"/>
      <c r="T107" s="371" t="n"/>
      <c r="U107" s="372" t="n"/>
      <c r="V107" s="373" t="n"/>
      <c r="W107" s="443" t="n"/>
      <c r="X107" s="372" t="n"/>
      <c r="Y107" s="372" t="n"/>
      <c r="Z107" s="372" t="n"/>
      <c r="AA107" s="372" t="n"/>
      <c r="AB107" s="372" t="n"/>
      <c r="AC107" s="372" t="n"/>
      <c r="AD107" s="372" t="n"/>
      <c r="AE107" s="372" t="n"/>
      <c r="AF107" s="372" t="n"/>
      <c r="AG107" s="372" t="n"/>
      <c r="AH107" s="372" t="n"/>
      <c r="AI107" s="372" t="n"/>
      <c r="AJ107" s="372" t="n"/>
      <c r="AK107" s="372" t="n"/>
      <c r="AL107" s="372" t="n"/>
      <c r="AM107" s="372" t="n"/>
      <c r="AN107" s="372" t="n"/>
      <c r="AO107" s="372" t="n"/>
      <c r="AP107" s="372" t="n"/>
      <c r="AQ107" s="372" t="n"/>
      <c r="AR107" s="372" t="n"/>
      <c r="AS107" s="372" t="n"/>
      <c r="AT107" s="372" t="n"/>
      <c r="AU107" s="372" t="n"/>
      <c r="AV107" s="372" t="n"/>
      <c r="AW107" s="372" t="n"/>
      <c r="AX107" s="372" t="n"/>
      <c r="AY107" s="372" t="n"/>
      <c r="AZ107" s="372" t="n"/>
      <c r="BA107" s="372" t="n"/>
      <c r="BB107" s="372" t="n"/>
      <c r="BC107" s="372" t="n"/>
      <c r="BD107" s="372" t="n"/>
      <c r="BE107" s="372" t="n"/>
      <c r="BF107" s="372" t="n"/>
      <c r="BG107" s="372" t="n"/>
      <c r="BH107" s="372" t="n"/>
      <c r="BI107" s="372" t="n"/>
      <c r="BJ107" s="372" t="n"/>
      <c r="BK107" s="372" t="n"/>
      <c r="BL107" s="372" t="n"/>
      <c r="BM107" s="372" t="n"/>
      <c r="BN107" s="372" t="n"/>
      <c r="BO107" s="372" t="n"/>
      <c r="BP107" s="372" t="n"/>
      <c r="BQ107" s="372" t="n"/>
      <c r="BR107" s="372" t="n"/>
      <c r="BS107" s="372" t="n"/>
      <c r="BT107" s="372" t="n"/>
      <c r="BU107" s="372" t="n"/>
      <c r="BV107" s="372" t="n"/>
      <c r="BW107" s="372" t="n"/>
      <c r="BX107" s="372" t="n"/>
      <c r="BY107" s="372" t="n"/>
      <c r="BZ107" s="372" t="n"/>
      <c r="CA107" s="372" t="n"/>
      <c r="CB107" s="372" t="n"/>
      <c r="CC107" s="402" t="n"/>
      <c r="CF107" s="259" t="inlineStr">
        <is>
          <t>移動</t>
        </is>
      </c>
      <c r="CG107" s="403" t="n"/>
      <c r="CH107" s="403" t="n"/>
      <c r="CI107" s="404" t="n"/>
      <c r="CJ107" s="379">
        <f>IF(Q107="作業者1",E110-E107,0)</f>
        <v/>
      </c>
      <c r="CK107" s="377" t="n"/>
      <c r="CL107" s="377" t="n"/>
      <c r="CM107" s="377" t="n"/>
      <c r="CN107" s="378" t="n"/>
      <c r="CP107" s="248" t="inlineStr">
        <is>
          <t>移動</t>
        </is>
      </c>
      <c r="CQ107" s="377" t="n"/>
      <c r="CR107" s="377" t="n"/>
      <c r="CS107" s="378" t="n"/>
      <c r="CT107" s="379">
        <f>IF(Q107="作業者2",E110-E107,0)</f>
        <v/>
      </c>
      <c r="CU107" s="377" t="n"/>
      <c r="CV107" s="377" t="n"/>
      <c r="CW107" s="377" t="n"/>
      <c r="CX107" s="378" t="n"/>
      <c r="CZ107" s="259" t="inlineStr">
        <is>
          <t>移動</t>
        </is>
      </c>
      <c r="DA107" s="403" t="n"/>
      <c r="DB107" s="403" t="n"/>
      <c r="DC107" s="404" t="n"/>
      <c r="DD107" s="405">
        <f>IF(Q107="作業者3",E110-E107,0)</f>
        <v/>
      </c>
      <c r="DE107" s="406" t="n"/>
      <c r="DF107" s="406" t="n"/>
      <c r="DG107" s="406" t="n"/>
      <c r="DH107" s="407" t="n"/>
      <c r="DJ107" s="259" t="inlineStr">
        <is>
          <t>移動</t>
        </is>
      </c>
      <c r="DK107" s="403" t="n"/>
      <c r="DL107" s="403" t="n"/>
      <c r="DM107" s="404" t="n"/>
      <c r="DN107" s="379">
        <f>IF(Q107="作業者4",E110-E107,0)</f>
        <v/>
      </c>
      <c r="DO107" s="377" t="n"/>
      <c r="DP107" s="377" t="n"/>
      <c r="DQ107" s="377" t="n"/>
      <c r="DR107" s="378" t="n"/>
      <c r="DT107" s="259" t="inlineStr">
        <is>
          <t>移動</t>
        </is>
      </c>
      <c r="DU107" s="403" t="n"/>
      <c r="DV107" s="403" t="n"/>
      <c r="DW107" s="404" t="n"/>
      <c r="DX107" s="379">
        <f>IF(Q107="作業者5",E110-E107,0)</f>
        <v/>
      </c>
      <c r="DY107" s="377" t="n"/>
      <c r="DZ107" s="377" t="n"/>
      <c r="EA107" s="377" t="n"/>
      <c r="EB107" s="378" t="n"/>
    </row>
    <row r="108" ht="9" customHeight="1" s="337">
      <c r="B108" s="350" t="n"/>
      <c r="C108" s="338" t="n"/>
      <c r="D108" s="380" t="n"/>
      <c r="E108" s="381" t="n"/>
      <c r="F108" s="122" t="inlineStr">
        <is>
          <t>～</t>
        </is>
      </c>
      <c r="G108" s="22" t="n"/>
      <c r="H108" s="381" t="n"/>
      <c r="I108" s="122" t="inlineStr">
        <is>
          <t>～</t>
        </is>
      </c>
      <c r="J108" s="22" t="n"/>
      <c r="K108" s="381" t="n"/>
      <c r="L108" s="122" t="inlineStr">
        <is>
          <t>～</t>
        </is>
      </c>
      <c r="M108" s="22" t="n"/>
      <c r="N108" s="381" t="n"/>
      <c r="O108" s="122" t="inlineStr">
        <is>
          <t>～</t>
        </is>
      </c>
      <c r="P108" s="22" t="n"/>
      <c r="Q108" s="382" t="n"/>
      <c r="R108" s="338" t="n"/>
      <c r="S108" s="380" t="n"/>
      <c r="T108" s="382" t="n"/>
      <c r="U108" s="338" t="n"/>
      <c r="V108" s="380" t="n"/>
      <c r="W108" s="382" t="n"/>
      <c r="X108" s="338" t="n"/>
      <c r="Y108" s="338" t="n"/>
      <c r="Z108" s="338" t="n"/>
      <c r="AA108" s="338" t="n"/>
      <c r="AB108" s="338" t="n"/>
      <c r="AC108" s="338" t="n"/>
      <c r="AD108" s="338" t="n"/>
      <c r="AE108" s="338" t="n"/>
      <c r="AF108" s="338" t="n"/>
      <c r="AG108" s="338" t="n"/>
      <c r="AH108" s="338" t="n"/>
      <c r="AI108" s="338" t="n"/>
      <c r="AJ108" s="338" t="n"/>
      <c r="AK108" s="338" t="n"/>
      <c r="AL108" s="338" t="n"/>
      <c r="AM108" s="338" t="n"/>
      <c r="AN108" s="338" t="n"/>
      <c r="AO108" s="338" t="n"/>
      <c r="AP108" s="338" t="n"/>
      <c r="AQ108" s="338" t="n"/>
      <c r="AR108" s="338" t="n"/>
      <c r="AS108" s="338" t="n"/>
      <c r="AT108" s="338" t="n"/>
      <c r="AU108" s="338" t="n"/>
      <c r="AV108" s="338" t="n"/>
      <c r="AW108" s="338" t="n"/>
      <c r="AX108" s="338" t="n"/>
      <c r="AY108" s="338" t="n"/>
      <c r="AZ108" s="338" t="n"/>
      <c r="BA108" s="338" t="n"/>
      <c r="BB108" s="338" t="n"/>
      <c r="BC108" s="338" t="n"/>
      <c r="BD108" s="338" t="n"/>
      <c r="BE108" s="338" t="n"/>
      <c r="BF108" s="338" t="n"/>
      <c r="BG108" s="338" t="n"/>
      <c r="BH108" s="338" t="n"/>
      <c r="BI108" s="338" t="n"/>
      <c r="BJ108" s="338" t="n"/>
      <c r="BK108" s="338" t="n"/>
      <c r="BL108" s="338" t="n"/>
      <c r="BM108" s="338" t="n"/>
      <c r="BN108" s="338" t="n"/>
      <c r="BO108" s="338" t="n"/>
      <c r="BP108" s="338" t="n"/>
      <c r="BQ108" s="338" t="n"/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83" t="n"/>
      <c r="CF108" s="253" t="inlineStr">
        <is>
          <t>時間内</t>
        </is>
      </c>
      <c r="CG108" s="384" t="n"/>
      <c r="CH108" s="384" t="n"/>
      <c r="CI108" s="385" t="n"/>
      <c r="CJ108" s="386">
        <f>IF(Q107="作業者1",H110-H107,0)</f>
        <v/>
      </c>
      <c r="CK108" s="387" t="n"/>
      <c r="CL108" s="387" t="n"/>
      <c r="CM108" s="387" t="n"/>
      <c r="CN108" s="388" t="n"/>
      <c r="CP108" s="253" t="inlineStr">
        <is>
          <t>時間内</t>
        </is>
      </c>
      <c r="CQ108" s="384" t="n"/>
      <c r="CR108" s="384" t="n"/>
      <c r="CS108" s="385" t="n"/>
      <c r="CT108" s="386">
        <f>IF(Q107="作業者2",H110-H107,0)</f>
        <v/>
      </c>
      <c r="CU108" s="387" t="n"/>
      <c r="CV108" s="387" t="n"/>
      <c r="CW108" s="387" t="n"/>
      <c r="CX108" s="388" t="n"/>
      <c r="CZ108" s="253" t="inlineStr">
        <is>
          <t>時間内</t>
        </is>
      </c>
      <c r="DA108" s="384" t="n"/>
      <c r="DB108" s="384" t="n"/>
      <c r="DC108" s="385" t="n"/>
      <c r="DD108" s="386">
        <f>IF(Q107="作業者3",H110-H107,0)</f>
        <v/>
      </c>
      <c r="DE108" s="387" t="n"/>
      <c r="DF108" s="387" t="n"/>
      <c r="DG108" s="387" t="n"/>
      <c r="DH108" s="388" t="n"/>
      <c r="DJ108" s="253" t="inlineStr">
        <is>
          <t>時間内</t>
        </is>
      </c>
      <c r="DK108" s="384" t="n"/>
      <c r="DL108" s="384" t="n"/>
      <c r="DM108" s="385" t="n"/>
      <c r="DN108" s="386">
        <f>IF(Q107="作業者4",H110-H107,0)</f>
        <v/>
      </c>
      <c r="DO108" s="387" t="n"/>
      <c r="DP108" s="387" t="n"/>
      <c r="DQ108" s="387" t="n"/>
      <c r="DR108" s="388" t="n"/>
      <c r="DT108" s="253" t="inlineStr">
        <is>
          <t>時間内</t>
        </is>
      </c>
      <c r="DU108" s="384" t="n"/>
      <c r="DV108" s="384" t="n"/>
      <c r="DW108" s="385" t="n"/>
      <c r="DX108" s="386">
        <f>IF(Q107="作業者5",H110-H107,0)</f>
        <v/>
      </c>
      <c r="DY108" s="387" t="n"/>
      <c r="DZ108" s="387" t="n"/>
      <c r="EA108" s="387" t="n"/>
      <c r="EB108" s="388" t="n"/>
    </row>
    <row r="109" ht="9" customHeight="1" s="337">
      <c r="B109" s="350" t="n"/>
      <c r="C109" s="338" t="n"/>
      <c r="D109" s="380" t="n"/>
      <c r="E109" s="23" t="n"/>
      <c r="F109" s="338" t="n"/>
      <c r="G109" s="24" t="n"/>
      <c r="H109" s="23" t="n"/>
      <c r="I109" s="338" t="n"/>
      <c r="J109" s="24" t="n"/>
      <c r="K109" s="23" t="n"/>
      <c r="L109" s="338" t="n"/>
      <c r="M109" s="24" t="n"/>
      <c r="N109" s="23" t="n"/>
      <c r="O109" s="338" t="n"/>
      <c r="P109" s="24" t="n"/>
      <c r="Q109" s="382" t="n"/>
      <c r="R109" s="338" t="n"/>
      <c r="S109" s="380" t="n"/>
      <c r="T109" s="382" t="n"/>
      <c r="U109" s="338" t="n"/>
      <c r="V109" s="380" t="n"/>
      <c r="W109" s="382" t="n"/>
      <c r="X109" s="338" t="n"/>
      <c r="Y109" s="338" t="n"/>
      <c r="Z109" s="338" t="n"/>
      <c r="AA109" s="338" t="n"/>
      <c r="AB109" s="338" t="n"/>
      <c r="AC109" s="338" t="n"/>
      <c r="AD109" s="338" t="n"/>
      <c r="AE109" s="338" t="n"/>
      <c r="AF109" s="338" t="n"/>
      <c r="AG109" s="338" t="n"/>
      <c r="AH109" s="338" t="n"/>
      <c r="AI109" s="338" t="n"/>
      <c r="AJ109" s="338" t="n"/>
      <c r="AK109" s="338" t="n"/>
      <c r="AL109" s="338" t="n"/>
      <c r="AM109" s="338" t="n"/>
      <c r="AN109" s="338" t="n"/>
      <c r="AO109" s="338" t="n"/>
      <c r="AP109" s="338" t="n"/>
      <c r="AQ109" s="338" t="n"/>
      <c r="AR109" s="338" t="n"/>
      <c r="AS109" s="338" t="n"/>
      <c r="AT109" s="338" t="n"/>
      <c r="AU109" s="338" t="n"/>
      <c r="AV109" s="338" t="n"/>
      <c r="AW109" s="338" t="n"/>
      <c r="AX109" s="338" t="n"/>
      <c r="AY109" s="338" t="n"/>
      <c r="AZ109" s="338" t="n"/>
      <c r="BA109" s="338" t="n"/>
      <c r="BB109" s="338" t="n"/>
      <c r="BC109" s="338" t="n"/>
      <c r="BD109" s="338" t="n"/>
      <c r="BE109" s="338" t="n"/>
      <c r="BF109" s="338" t="n"/>
      <c r="BG109" s="338" t="n"/>
      <c r="BH109" s="338" t="n"/>
      <c r="BI109" s="338" t="n"/>
      <c r="BJ109" s="338" t="n"/>
      <c r="BK109" s="338" t="n"/>
      <c r="BL109" s="338" t="n"/>
      <c r="BM109" s="338" t="n"/>
      <c r="BN109" s="338" t="n"/>
      <c r="BO109" s="338" t="n"/>
      <c r="BP109" s="338" t="n"/>
      <c r="BQ109" s="338" t="n"/>
      <c r="BR109" s="338" t="n"/>
      <c r="BS109" s="338" t="n"/>
      <c r="BT109" s="338" t="n"/>
      <c r="BU109" s="338" t="n"/>
      <c r="BV109" s="338" t="n"/>
      <c r="BW109" s="338" t="n"/>
      <c r="BX109" s="338" t="n"/>
      <c r="BY109" s="338" t="n"/>
      <c r="BZ109" s="338" t="n"/>
      <c r="CA109" s="338" t="n"/>
      <c r="CB109" s="338" t="n"/>
      <c r="CC109" s="383" t="n"/>
      <c r="CF109" s="253" t="inlineStr">
        <is>
          <t>時間外</t>
        </is>
      </c>
      <c r="CG109" s="384" t="n"/>
      <c r="CH109" s="384" t="n"/>
      <c r="CI109" s="385" t="n"/>
      <c r="CJ109" s="386">
        <f>IF(Q107="作業者1",K110-K107,0)</f>
        <v/>
      </c>
      <c r="CK109" s="387" t="n"/>
      <c r="CL109" s="387" t="n"/>
      <c r="CM109" s="387" t="n"/>
      <c r="CN109" s="388" t="n"/>
      <c r="CP109" s="253" t="inlineStr">
        <is>
          <t>時間外</t>
        </is>
      </c>
      <c r="CQ109" s="384" t="n"/>
      <c r="CR109" s="384" t="n"/>
      <c r="CS109" s="385" t="n"/>
      <c r="CT109" s="386">
        <f>IF(Q107="作業者2",K110-K107,0)</f>
        <v/>
      </c>
      <c r="CU109" s="387" t="n"/>
      <c r="CV109" s="387" t="n"/>
      <c r="CW109" s="387" t="n"/>
      <c r="CX109" s="388" t="n"/>
      <c r="CZ109" s="253" t="inlineStr">
        <is>
          <t>時間外</t>
        </is>
      </c>
      <c r="DA109" s="384" t="n"/>
      <c r="DB109" s="384" t="n"/>
      <c r="DC109" s="385" t="n"/>
      <c r="DD109" s="386">
        <f>IF(Q107="作業者3",K110-K107,0)</f>
        <v/>
      </c>
      <c r="DE109" s="387" t="n"/>
      <c r="DF109" s="387" t="n"/>
      <c r="DG109" s="387" t="n"/>
      <c r="DH109" s="388" t="n"/>
      <c r="DJ109" s="253" t="inlineStr">
        <is>
          <t>時間外</t>
        </is>
      </c>
      <c r="DK109" s="384" t="n"/>
      <c r="DL109" s="384" t="n"/>
      <c r="DM109" s="385" t="n"/>
      <c r="DN109" s="386">
        <f>IF(Q107="作業者4",K110-K107,0)</f>
        <v/>
      </c>
      <c r="DO109" s="387" t="n"/>
      <c r="DP109" s="387" t="n"/>
      <c r="DQ109" s="387" t="n"/>
      <c r="DR109" s="388" t="n"/>
      <c r="DT109" s="253" t="inlineStr">
        <is>
          <t>時間外</t>
        </is>
      </c>
      <c r="DU109" s="384" t="n"/>
      <c r="DV109" s="384" t="n"/>
      <c r="DW109" s="385" t="n"/>
      <c r="DX109" s="386">
        <f>IF(Q107="作業者5",K110-K107,0)</f>
        <v/>
      </c>
      <c r="DY109" s="387" t="n"/>
      <c r="DZ109" s="387" t="n"/>
      <c r="EA109" s="387" t="n"/>
      <c r="EB109" s="388" t="n"/>
    </row>
    <row r="110" ht="9" customHeight="1" s="337">
      <c r="B110" s="389" t="n"/>
      <c r="C110" s="390" t="n"/>
      <c r="D110" s="391" t="n"/>
      <c r="E110" s="392" t="n"/>
      <c r="F110" s="390" t="n"/>
      <c r="G110" s="391" t="n"/>
      <c r="H110" s="392" t="n"/>
      <c r="I110" s="390" t="n"/>
      <c r="J110" s="391" t="n"/>
      <c r="K110" s="392" t="n"/>
      <c r="L110" s="390" t="n"/>
      <c r="M110" s="391" t="n"/>
      <c r="N110" s="392" t="n"/>
      <c r="O110" s="390" t="n"/>
      <c r="P110" s="391" t="n"/>
      <c r="Q110" s="393" t="n"/>
      <c r="R110" s="390" t="n"/>
      <c r="S110" s="391" t="n"/>
      <c r="T110" s="393" t="n"/>
      <c r="U110" s="390" t="n"/>
      <c r="V110" s="391" t="n"/>
      <c r="W110" s="393" t="n"/>
      <c r="X110" s="390" t="n"/>
      <c r="Y110" s="390" t="n"/>
      <c r="Z110" s="390" t="n"/>
      <c r="AA110" s="390" t="n"/>
      <c r="AB110" s="390" t="n"/>
      <c r="AC110" s="390" t="n"/>
      <c r="AD110" s="390" t="n"/>
      <c r="AE110" s="390" t="n"/>
      <c r="AF110" s="390" t="n"/>
      <c r="AG110" s="390" t="n"/>
      <c r="AH110" s="390" t="n"/>
      <c r="AI110" s="390" t="n"/>
      <c r="AJ110" s="390" t="n"/>
      <c r="AK110" s="390" t="n"/>
      <c r="AL110" s="390" t="n"/>
      <c r="AM110" s="390" t="n"/>
      <c r="AN110" s="390" t="n"/>
      <c r="AO110" s="390" t="n"/>
      <c r="AP110" s="390" t="n"/>
      <c r="AQ110" s="390" t="n"/>
      <c r="AR110" s="390" t="n"/>
      <c r="AS110" s="390" t="n"/>
      <c r="AT110" s="390" t="n"/>
      <c r="AU110" s="390" t="n"/>
      <c r="AV110" s="390" t="n"/>
      <c r="AW110" s="390" t="n"/>
      <c r="AX110" s="390" t="n"/>
      <c r="AY110" s="390" t="n"/>
      <c r="AZ110" s="390" t="n"/>
      <c r="BA110" s="390" t="n"/>
      <c r="BB110" s="390" t="n"/>
      <c r="BC110" s="390" t="n"/>
      <c r="BD110" s="390" t="n"/>
      <c r="BE110" s="390" t="n"/>
      <c r="BF110" s="390" t="n"/>
      <c r="BG110" s="390" t="n"/>
      <c r="BH110" s="390" t="n"/>
      <c r="BI110" s="390" t="n"/>
      <c r="BJ110" s="390" t="n"/>
      <c r="BK110" s="390" t="n"/>
      <c r="BL110" s="390" t="n"/>
      <c r="BM110" s="390" t="n"/>
      <c r="BN110" s="390" t="n"/>
      <c r="BO110" s="390" t="n"/>
      <c r="BP110" s="390" t="n"/>
      <c r="BQ110" s="390" t="n"/>
      <c r="BR110" s="390" t="n"/>
      <c r="BS110" s="390" t="n"/>
      <c r="BT110" s="390" t="n"/>
      <c r="BU110" s="390" t="n"/>
      <c r="BV110" s="390" t="n"/>
      <c r="BW110" s="390" t="n"/>
      <c r="BX110" s="390" t="n"/>
      <c r="BY110" s="390" t="n"/>
      <c r="BZ110" s="390" t="n"/>
      <c r="CA110" s="390" t="n"/>
      <c r="CB110" s="390" t="n"/>
      <c r="CC110" s="394" t="n"/>
      <c r="CF110" s="254" t="inlineStr">
        <is>
          <t>休日</t>
        </is>
      </c>
      <c r="CG110" s="395" t="n"/>
      <c r="CH110" s="395" t="n"/>
      <c r="CI110" s="396" t="n"/>
      <c r="CJ110" s="397">
        <f>IF(Q107="作業者1",N110-N107,0)</f>
        <v/>
      </c>
      <c r="CK110" s="395" t="n"/>
      <c r="CL110" s="395" t="n"/>
      <c r="CM110" s="395" t="n"/>
      <c r="CN110" s="396" t="n"/>
      <c r="CP110" s="254" t="inlineStr">
        <is>
          <t>休日</t>
        </is>
      </c>
      <c r="CQ110" s="395" t="n"/>
      <c r="CR110" s="395" t="n"/>
      <c r="CS110" s="396" t="n"/>
      <c r="CT110" s="397">
        <f>IF(Q107="作業者2",N110-N107,0)</f>
        <v/>
      </c>
      <c r="CU110" s="395" t="n"/>
      <c r="CV110" s="395" t="n"/>
      <c r="CW110" s="395" t="n"/>
      <c r="CX110" s="396" t="n"/>
      <c r="CZ110" s="254" t="inlineStr">
        <is>
          <t>休日</t>
        </is>
      </c>
      <c r="DA110" s="395" t="n"/>
      <c r="DB110" s="395" t="n"/>
      <c r="DC110" s="396" t="n"/>
      <c r="DD110" s="397">
        <f>IF(Q107="作業者3",N110-N107,0)</f>
        <v/>
      </c>
      <c r="DE110" s="395" t="n"/>
      <c r="DF110" s="395" t="n"/>
      <c r="DG110" s="395" t="n"/>
      <c r="DH110" s="396" t="n"/>
      <c r="DJ110" s="254" t="inlineStr">
        <is>
          <t>休日</t>
        </is>
      </c>
      <c r="DK110" s="395" t="n"/>
      <c r="DL110" s="395" t="n"/>
      <c r="DM110" s="396" t="n"/>
      <c r="DN110" s="397">
        <f>IF(Q107="作業者4",N110-N107,0)</f>
        <v/>
      </c>
      <c r="DO110" s="395" t="n"/>
      <c r="DP110" s="395" t="n"/>
      <c r="DQ110" s="395" t="n"/>
      <c r="DR110" s="396" t="n"/>
      <c r="DT110" s="254" t="inlineStr">
        <is>
          <t>休日</t>
        </is>
      </c>
      <c r="DU110" s="395" t="n"/>
      <c r="DV110" s="395" t="n"/>
      <c r="DW110" s="396" t="n"/>
      <c r="DX110" s="397">
        <f>IF(Q107="作業者5",N110-N107,0)</f>
        <v/>
      </c>
      <c r="DY110" s="395" t="n"/>
      <c r="DZ110" s="395" t="n"/>
      <c r="EA110" s="395" t="n"/>
      <c r="EB110" s="396" t="n"/>
    </row>
    <row r="111" ht="9" customHeight="1" s="337">
      <c r="B111" s="398" t="n"/>
      <c r="C111" s="372" t="n"/>
      <c r="D111" s="373" t="n"/>
      <c r="E111" s="399" t="n"/>
      <c r="F111" s="372" t="n"/>
      <c r="G111" s="373" t="n"/>
      <c r="H111" s="399" t="n"/>
      <c r="I111" s="372" t="n"/>
      <c r="J111" s="373" t="n"/>
      <c r="K111" s="399" t="n"/>
      <c r="L111" s="372" t="n"/>
      <c r="M111" s="373" t="n"/>
      <c r="N111" s="399" t="n"/>
      <c r="O111" s="372" t="n"/>
      <c r="P111" s="373" t="n"/>
      <c r="Q111" s="371" t="n"/>
      <c r="R111" s="372" t="n"/>
      <c r="S111" s="373" t="n"/>
      <c r="T111" s="371" t="n"/>
      <c r="U111" s="372" t="n"/>
      <c r="V111" s="373" t="n"/>
      <c r="W111" s="443" t="n"/>
      <c r="X111" s="372" t="n"/>
      <c r="Y111" s="372" t="n"/>
      <c r="Z111" s="372" t="n"/>
      <c r="AA111" s="372" t="n"/>
      <c r="AB111" s="372" t="n"/>
      <c r="AC111" s="372" t="n"/>
      <c r="AD111" s="372" t="n"/>
      <c r="AE111" s="372" t="n"/>
      <c r="AF111" s="372" t="n"/>
      <c r="AG111" s="372" t="n"/>
      <c r="AH111" s="372" t="n"/>
      <c r="AI111" s="372" t="n"/>
      <c r="AJ111" s="372" t="n"/>
      <c r="AK111" s="372" t="n"/>
      <c r="AL111" s="372" t="n"/>
      <c r="AM111" s="372" t="n"/>
      <c r="AN111" s="372" t="n"/>
      <c r="AO111" s="372" t="n"/>
      <c r="AP111" s="372" t="n"/>
      <c r="AQ111" s="372" t="n"/>
      <c r="AR111" s="372" t="n"/>
      <c r="AS111" s="372" t="n"/>
      <c r="AT111" s="372" t="n"/>
      <c r="AU111" s="372" t="n"/>
      <c r="AV111" s="372" t="n"/>
      <c r="AW111" s="372" t="n"/>
      <c r="AX111" s="372" t="n"/>
      <c r="AY111" s="372" t="n"/>
      <c r="AZ111" s="372" t="n"/>
      <c r="BA111" s="372" t="n"/>
      <c r="BB111" s="372" t="n"/>
      <c r="BC111" s="372" t="n"/>
      <c r="BD111" s="372" t="n"/>
      <c r="BE111" s="372" t="n"/>
      <c r="BF111" s="372" t="n"/>
      <c r="BG111" s="372" t="n"/>
      <c r="BH111" s="372" t="n"/>
      <c r="BI111" s="372" t="n"/>
      <c r="BJ111" s="372" t="n"/>
      <c r="BK111" s="372" t="n"/>
      <c r="BL111" s="372" t="n"/>
      <c r="BM111" s="372" t="n"/>
      <c r="BN111" s="372" t="n"/>
      <c r="BO111" s="372" t="n"/>
      <c r="BP111" s="372" t="n"/>
      <c r="BQ111" s="372" t="n"/>
      <c r="BR111" s="372" t="n"/>
      <c r="BS111" s="372" t="n"/>
      <c r="BT111" s="372" t="n"/>
      <c r="BU111" s="372" t="n"/>
      <c r="BV111" s="372" t="n"/>
      <c r="BW111" s="372" t="n"/>
      <c r="BX111" s="372" t="n"/>
      <c r="BY111" s="372" t="n"/>
      <c r="BZ111" s="372" t="n"/>
      <c r="CA111" s="372" t="n"/>
      <c r="CB111" s="372" t="n"/>
      <c r="CC111" s="402" t="n"/>
      <c r="CF111" s="248" t="inlineStr">
        <is>
          <t>移動</t>
        </is>
      </c>
      <c r="CG111" s="377" t="n"/>
      <c r="CH111" s="377" t="n"/>
      <c r="CI111" s="378" t="n"/>
      <c r="CJ111" s="379">
        <f>IF(Q111="作業者1",E114-E111,0)</f>
        <v/>
      </c>
      <c r="CK111" s="377" t="n"/>
      <c r="CL111" s="377" t="n"/>
      <c r="CM111" s="377" t="n"/>
      <c r="CN111" s="378" t="n"/>
      <c r="CP111" s="248" t="inlineStr">
        <is>
          <t>移動</t>
        </is>
      </c>
      <c r="CQ111" s="377" t="n"/>
      <c r="CR111" s="377" t="n"/>
      <c r="CS111" s="378" t="n"/>
      <c r="CT111" s="379">
        <f>IF(Q111="作業者2",E114-E111,0)</f>
        <v/>
      </c>
      <c r="CU111" s="377" t="n"/>
      <c r="CV111" s="377" t="n"/>
      <c r="CW111" s="377" t="n"/>
      <c r="CX111" s="378" t="n"/>
      <c r="CZ111" s="248" t="inlineStr">
        <is>
          <t>移動</t>
        </is>
      </c>
      <c r="DA111" s="377" t="n"/>
      <c r="DB111" s="377" t="n"/>
      <c r="DC111" s="378" t="n"/>
      <c r="DD111" s="379">
        <f>IF(Q111="作業者3",E114-E111,0)</f>
        <v/>
      </c>
      <c r="DE111" s="377" t="n"/>
      <c r="DF111" s="377" t="n"/>
      <c r="DG111" s="377" t="n"/>
      <c r="DH111" s="378" t="n"/>
      <c r="DJ111" s="248" t="inlineStr">
        <is>
          <t>移動</t>
        </is>
      </c>
      <c r="DK111" s="377" t="n"/>
      <c r="DL111" s="377" t="n"/>
      <c r="DM111" s="378" t="n"/>
      <c r="DN111" s="379">
        <f>IF(Q111="作業者4",E114-E111,0)</f>
        <v/>
      </c>
      <c r="DO111" s="377" t="n"/>
      <c r="DP111" s="377" t="n"/>
      <c r="DQ111" s="377" t="n"/>
      <c r="DR111" s="378" t="n"/>
      <c r="DT111" s="259" t="inlineStr">
        <is>
          <t>移動</t>
        </is>
      </c>
      <c r="DU111" s="403" t="n"/>
      <c r="DV111" s="403" t="n"/>
      <c r="DW111" s="404" t="n"/>
      <c r="DX111" s="379">
        <f>IF(Q111="作業者5",E114-E111,0)</f>
        <v/>
      </c>
      <c r="DY111" s="377" t="n"/>
      <c r="DZ111" s="377" t="n"/>
      <c r="EA111" s="377" t="n"/>
      <c r="EB111" s="378" t="n"/>
    </row>
    <row r="112" ht="9" customHeight="1" s="337">
      <c r="B112" s="350" t="n"/>
      <c r="C112" s="338" t="n"/>
      <c r="D112" s="380" t="n"/>
      <c r="E112" s="381" t="n"/>
      <c r="F112" s="122" t="inlineStr">
        <is>
          <t>～</t>
        </is>
      </c>
      <c r="G112" s="22" t="n"/>
      <c r="H112" s="381" t="n"/>
      <c r="I112" s="122" t="inlineStr">
        <is>
          <t>～</t>
        </is>
      </c>
      <c r="J112" s="22" t="n"/>
      <c r="K112" s="381" t="n"/>
      <c r="L112" s="122" t="inlineStr">
        <is>
          <t>～</t>
        </is>
      </c>
      <c r="M112" s="22" t="n"/>
      <c r="N112" s="381" t="n"/>
      <c r="O112" s="122" t="inlineStr">
        <is>
          <t>～</t>
        </is>
      </c>
      <c r="P112" s="22" t="n"/>
      <c r="Q112" s="382" t="n"/>
      <c r="R112" s="338" t="n"/>
      <c r="S112" s="380" t="n"/>
      <c r="T112" s="382" t="n"/>
      <c r="U112" s="338" t="n"/>
      <c r="V112" s="380" t="n"/>
      <c r="W112" s="382" t="n"/>
      <c r="X112" s="338" t="n"/>
      <c r="Y112" s="338" t="n"/>
      <c r="Z112" s="338" t="n"/>
      <c r="AA112" s="338" t="n"/>
      <c r="AB112" s="338" t="n"/>
      <c r="AC112" s="338" t="n"/>
      <c r="AD112" s="338" t="n"/>
      <c r="AE112" s="338" t="n"/>
      <c r="AF112" s="338" t="n"/>
      <c r="AG112" s="338" t="n"/>
      <c r="AH112" s="338" t="n"/>
      <c r="AI112" s="338" t="n"/>
      <c r="AJ112" s="338" t="n"/>
      <c r="AK112" s="338" t="n"/>
      <c r="AL112" s="338" t="n"/>
      <c r="AM112" s="338" t="n"/>
      <c r="AN112" s="338" t="n"/>
      <c r="AO112" s="338" t="n"/>
      <c r="AP112" s="338" t="n"/>
      <c r="AQ112" s="338" t="n"/>
      <c r="AR112" s="338" t="n"/>
      <c r="AS112" s="338" t="n"/>
      <c r="AT112" s="338" t="n"/>
      <c r="AU112" s="338" t="n"/>
      <c r="AV112" s="338" t="n"/>
      <c r="AW112" s="338" t="n"/>
      <c r="AX112" s="338" t="n"/>
      <c r="AY112" s="338" t="n"/>
      <c r="AZ112" s="338" t="n"/>
      <c r="BA112" s="338" t="n"/>
      <c r="BB112" s="338" t="n"/>
      <c r="BC112" s="338" t="n"/>
      <c r="BD112" s="338" t="n"/>
      <c r="BE112" s="338" t="n"/>
      <c r="BF112" s="338" t="n"/>
      <c r="BG112" s="338" t="n"/>
      <c r="BH112" s="338" t="n"/>
      <c r="BI112" s="338" t="n"/>
      <c r="BJ112" s="338" t="n"/>
      <c r="BK112" s="338" t="n"/>
      <c r="BL112" s="338" t="n"/>
      <c r="BM112" s="338" t="n"/>
      <c r="BN112" s="338" t="n"/>
      <c r="BO112" s="338" t="n"/>
      <c r="BP112" s="338" t="n"/>
      <c r="BQ112" s="338" t="n"/>
      <c r="BR112" s="338" t="n"/>
      <c r="BS112" s="338" t="n"/>
      <c r="BT112" s="338" t="n"/>
      <c r="BU112" s="338" t="n"/>
      <c r="BV112" s="338" t="n"/>
      <c r="BW112" s="338" t="n"/>
      <c r="BX112" s="338" t="n"/>
      <c r="BY112" s="338" t="n"/>
      <c r="BZ112" s="338" t="n"/>
      <c r="CA112" s="338" t="n"/>
      <c r="CB112" s="338" t="n"/>
      <c r="CC112" s="383" t="n"/>
      <c r="CF112" s="253" t="inlineStr">
        <is>
          <t>時間内</t>
        </is>
      </c>
      <c r="CG112" s="384" t="n"/>
      <c r="CH112" s="384" t="n"/>
      <c r="CI112" s="385" t="n"/>
      <c r="CJ112" s="386">
        <f>IF(Q111="作業者1",H114-H111,0)</f>
        <v/>
      </c>
      <c r="CK112" s="387" t="n"/>
      <c r="CL112" s="387" t="n"/>
      <c r="CM112" s="387" t="n"/>
      <c r="CN112" s="388" t="n"/>
      <c r="CP112" s="253" t="inlineStr">
        <is>
          <t>時間内</t>
        </is>
      </c>
      <c r="CQ112" s="384" t="n"/>
      <c r="CR112" s="384" t="n"/>
      <c r="CS112" s="385" t="n"/>
      <c r="CT112" s="386">
        <f>IF(Q111="作業者2",H114-H111,0)</f>
        <v/>
      </c>
      <c r="CU112" s="387" t="n"/>
      <c r="CV112" s="387" t="n"/>
      <c r="CW112" s="387" t="n"/>
      <c r="CX112" s="388" t="n"/>
      <c r="CZ112" s="253" t="inlineStr">
        <is>
          <t>時間内</t>
        </is>
      </c>
      <c r="DA112" s="384" t="n"/>
      <c r="DB112" s="384" t="n"/>
      <c r="DC112" s="385" t="n"/>
      <c r="DD112" s="386">
        <f>IF(Q111="作業者3",H114-H111,0)</f>
        <v/>
      </c>
      <c r="DE112" s="387" t="n"/>
      <c r="DF112" s="387" t="n"/>
      <c r="DG112" s="387" t="n"/>
      <c r="DH112" s="388" t="n"/>
      <c r="DJ112" s="253" t="inlineStr">
        <is>
          <t>時間内</t>
        </is>
      </c>
      <c r="DK112" s="384" t="n"/>
      <c r="DL112" s="384" t="n"/>
      <c r="DM112" s="385" t="n"/>
      <c r="DN112" s="386">
        <f>IF(Q111="作業者4",H114-H111,0)</f>
        <v/>
      </c>
      <c r="DO112" s="387" t="n"/>
      <c r="DP112" s="387" t="n"/>
      <c r="DQ112" s="387" t="n"/>
      <c r="DR112" s="388" t="n"/>
      <c r="DT112" s="253" t="inlineStr">
        <is>
          <t>時間内</t>
        </is>
      </c>
      <c r="DU112" s="384" t="n"/>
      <c r="DV112" s="384" t="n"/>
      <c r="DW112" s="385" t="n"/>
      <c r="DX112" s="386">
        <f>IF(Q111="作業者5",H114-H111,0)</f>
        <v/>
      </c>
      <c r="DY112" s="387" t="n"/>
      <c r="DZ112" s="387" t="n"/>
      <c r="EA112" s="387" t="n"/>
      <c r="EB112" s="388" t="n"/>
    </row>
    <row r="113" ht="9" customHeight="1" s="337">
      <c r="B113" s="350" t="n"/>
      <c r="C113" s="338" t="n"/>
      <c r="D113" s="380" t="n"/>
      <c r="E113" s="23" t="n"/>
      <c r="F113" s="338" t="n"/>
      <c r="G113" s="24" t="n"/>
      <c r="H113" s="23" t="n"/>
      <c r="I113" s="338" t="n"/>
      <c r="J113" s="24" t="n"/>
      <c r="K113" s="23" t="n"/>
      <c r="L113" s="338" t="n"/>
      <c r="M113" s="24" t="n"/>
      <c r="N113" s="23" t="n"/>
      <c r="O113" s="338" t="n"/>
      <c r="P113" s="24" t="n"/>
      <c r="Q113" s="382" t="n"/>
      <c r="R113" s="338" t="n"/>
      <c r="S113" s="380" t="n"/>
      <c r="T113" s="382" t="n"/>
      <c r="U113" s="338" t="n"/>
      <c r="V113" s="380" t="n"/>
      <c r="W113" s="382" t="n"/>
      <c r="X113" s="338" t="n"/>
      <c r="Y113" s="338" t="n"/>
      <c r="Z113" s="338" t="n"/>
      <c r="AA113" s="338" t="n"/>
      <c r="AB113" s="338" t="n"/>
      <c r="AC113" s="338" t="n"/>
      <c r="AD113" s="338" t="n"/>
      <c r="AE113" s="338" t="n"/>
      <c r="AF113" s="338" t="n"/>
      <c r="AG113" s="338" t="n"/>
      <c r="AH113" s="338" t="n"/>
      <c r="AI113" s="338" t="n"/>
      <c r="AJ113" s="338" t="n"/>
      <c r="AK113" s="338" t="n"/>
      <c r="AL113" s="338" t="n"/>
      <c r="AM113" s="338" t="n"/>
      <c r="AN113" s="338" t="n"/>
      <c r="AO113" s="338" t="n"/>
      <c r="AP113" s="338" t="n"/>
      <c r="AQ113" s="338" t="n"/>
      <c r="AR113" s="338" t="n"/>
      <c r="AS113" s="338" t="n"/>
      <c r="AT113" s="338" t="n"/>
      <c r="AU113" s="338" t="n"/>
      <c r="AV113" s="338" t="n"/>
      <c r="AW113" s="338" t="n"/>
      <c r="AX113" s="338" t="n"/>
      <c r="AY113" s="338" t="n"/>
      <c r="AZ113" s="338" t="n"/>
      <c r="BA113" s="338" t="n"/>
      <c r="BB113" s="338" t="n"/>
      <c r="BC113" s="338" t="n"/>
      <c r="BD113" s="338" t="n"/>
      <c r="BE113" s="338" t="n"/>
      <c r="BF113" s="338" t="n"/>
      <c r="BG113" s="338" t="n"/>
      <c r="BH113" s="338" t="n"/>
      <c r="BI113" s="338" t="n"/>
      <c r="BJ113" s="338" t="n"/>
      <c r="BK113" s="338" t="n"/>
      <c r="BL113" s="338" t="n"/>
      <c r="BM113" s="338" t="n"/>
      <c r="BN113" s="338" t="n"/>
      <c r="BO113" s="338" t="n"/>
      <c r="BP113" s="338" t="n"/>
      <c r="BQ113" s="338" t="n"/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83" t="n"/>
      <c r="CF113" s="253" t="inlineStr">
        <is>
          <t>時間外</t>
        </is>
      </c>
      <c r="CG113" s="384" t="n"/>
      <c r="CH113" s="384" t="n"/>
      <c r="CI113" s="385" t="n"/>
      <c r="CJ113" s="386">
        <f>IF(Q111="作業者1",K114-K111,0)</f>
        <v/>
      </c>
      <c r="CK113" s="387" t="n"/>
      <c r="CL113" s="387" t="n"/>
      <c r="CM113" s="387" t="n"/>
      <c r="CN113" s="388" t="n"/>
      <c r="CP113" s="253" t="inlineStr">
        <is>
          <t>時間外</t>
        </is>
      </c>
      <c r="CQ113" s="384" t="n"/>
      <c r="CR113" s="384" t="n"/>
      <c r="CS113" s="385" t="n"/>
      <c r="CT113" s="386">
        <f>IF(Q111="作業者2",K114-K111,0)</f>
        <v/>
      </c>
      <c r="CU113" s="387" t="n"/>
      <c r="CV113" s="387" t="n"/>
      <c r="CW113" s="387" t="n"/>
      <c r="CX113" s="388" t="n"/>
      <c r="CZ113" s="253" t="inlineStr">
        <is>
          <t>時間外</t>
        </is>
      </c>
      <c r="DA113" s="384" t="n"/>
      <c r="DB113" s="384" t="n"/>
      <c r="DC113" s="385" t="n"/>
      <c r="DD113" s="386">
        <f>IF(Q111="作業者3",K114-K111,0)</f>
        <v/>
      </c>
      <c r="DE113" s="387" t="n"/>
      <c r="DF113" s="387" t="n"/>
      <c r="DG113" s="387" t="n"/>
      <c r="DH113" s="388" t="n"/>
      <c r="DJ113" s="253" t="inlineStr">
        <is>
          <t>時間外</t>
        </is>
      </c>
      <c r="DK113" s="384" t="n"/>
      <c r="DL113" s="384" t="n"/>
      <c r="DM113" s="385" t="n"/>
      <c r="DN113" s="386">
        <f>IF(Q111="作業者4",K114-K111,0)</f>
        <v/>
      </c>
      <c r="DO113" s="387" t="n"/>
      <c r="DP113" s="387" t="n"/>
      <c r="DQ113" s="387" t="n"/>
      <c r="DR113" s="388" t="n"/>
      <c r="DT113" s="253" t="inlineStr">
        <is>
          <t>時間外</t>
        </is>
      </c>
      <c r="DU113" s="384" t="n"/>
      <c r="DV113" s="384" t="n"/>
      <c r="DW113" s="385" t="n"/>
      <c r="DX113" s="386">
        <f>IF(Q111="作業者5",K114-K111,0)</f>
        <v/>
      </c>
      <c r="DY113" s="387" t="n"/>
      <c r="DZ113" s="387" t="n"/>
      <c r="EA113" s="387" t="n"/>
      <c r="EB113" s="388" t="n"/>
    </row>
    <row r="114" ht="9" customHeight="1" s="337">
      <c r="B114" s="389" t="n"/>
      <c r="C114" s="390" t="n"/>
      <c r="D114" s="391" t="n"/>
      <c r="E114" s="392" t="n"/>
      <c r="F114" s="390" t="n"/>
      <c r="G114" s="391" t="n"/>
      <c r="H114" s="392" t="n"/>
      <c r="I114" s="390" t="n"/>
      <c r="J114" s="391" t="n"/>
      <c r="K114" s="392" t="n"/>
      <c r="L114" s="390" t="n"/>
      <c r="M114" s="391" t="n"/>
      <c r="N114" s="392" t="n"/>
      <c r="O114" s="390" t="n"/>
      <c r="P114" s="391" t="n"/>
      <c r="Q114" s="393" t="n"/>
      <c r="R114" s="390" t="n"/>
      <c r="S114" s="391" t="n"/>
      <c r="T114" s="393" t="n"/>
      <c r="U114" s="390" t="n"/>
      <c r="V114" s="391" t="n"/>
      <c r="W114" s="393" t="n"/>
      <c r="X114" s="390" t="n"/>
      <c r="Y114" s="390" t="n"/>
      <c r="Z114" s="390" t="n"/>
      <c r="AA114" s="390" t="n"/>
      <c r="AB114" s="390" t="n"/>
      <c r="AC114" s="390" t="n"/>
      <c r="AD114" s="390" t="n"/>
      <c r="AE114" s="390" t="n"/>
      <c r="AF114" s="390" t="n"/>
      <c r="AG114" s="390" t="n"/>
      <c r="AH114" s="390" t="n"/>
      <c r="AI114" s="390" t="n"/>
      <c r="AJ114" s="390" t="n"/>
      <c r="AK114" s="390" t="n"/>
      <c r="AL114" s="390" t="n"/>
      <c r="AM114" s="390" t="n"/>
      <c r="AN114" s="390" t="n"/>
      <c r="AO114" s="390" t="n"/>
      <c r="AP114" s="390" t="n"/>
      <c r="AQ114" s="390" t="n"/>
      <c r="AR114" s="390" t="n"/>
      <c r="AS114" s="390" t="n"/>
      <c r="AT114" s="390" t="n"/>
      <c r="AU114" s="390" t="n"/>
      <c r="AV114" s="390" t="n"/>
      <c r="AW114" s="390" t="n"/>
      <c r="AX114" s="390" t="n"/>
      <c r="AY114" s="390" t="n"/>
      <c r="AZ114" s="390" t="n"/>
      <c r="BA114" s="390" t="n"/>
      <c r="BB114" s="390" t="n"/>
      <c r="BC114" s="390" t="n"/>
      <c r="BD114" s="390" t="n"/>
      <c r="BE114" s="390" t="n"/>
      <c r="BF114" s="390" t="n"/>
      <c r="BG114" s="390" t="n"/>
      <c r="BH114" s="390" t="n"/>
      <c r="BI114" s="390" t="n"/>
      <c r="BJ114" s="390" t="n"/>
      <c r="BK114" s="390" t="n"/>
      <c r="BL114" s="390" t="n"/>
      <c r="BM114" s="390" t="n"/>
      <c r="BN114" s="390" t="n"/>
      <c r="BO114" s="390" t="n"/>
      <c r="BP114" s="390" t="n"/>
      <c r="BQ114" s="390" t="n"/>
      <c r="BR114" s="390" t="n"/>
      <c r="BS114" s="390" t="n"/>
      <c r="BT114" s="390" t="n"/>
      <c r="BU114" s="390" t="n"/>
      <c r="BV114" s="390" t="n"/>
      <c r="BW114" s="390" t="n"/>
      <c r="BX114" s="390" t="n"/>
      <c r="BY114" s="390" t="n"/>
      <c r="BZ114" s="390" t="n"/>
      <c r="CA114" s="390" t="n"/>
      <c r="CB114" s="390" t="n"/>
      <c r="CC114" s="394" t="n"/>
      <c r="CF114" s="254" t="inlineStr">
        <is>
          <t>休日</t>
        </is>
      </c>
      <c r="CG114" s="395" t="n"/>
      <c r="CH114" s="395" t="n"/>
      <c r="CI114" s="396" t="n"/>
      <c r="CJ114" s="386">
        <f>IF(Q111="作業者1",N114-N111,0)</f>
        <v/>
      </c>
      <c r="CK114" s="387" t="n"/>
      <c r="CL114" s="387" t="n"/>
      <c r="CM114" s="387" t="n"/>
      <c r="CN114" s="388" t="n"/>
      <c r="CP114" s="253" t="inlineStr">
        <is>
          <t>休日</t>
        </is>
      </c>
      <c r="CQ114" s="384" t="n"/>
      <c r="CR114" s="384" t="n"/>
      <c r="CS114" s="385" t="n"/>
      <c r="CT114" s="386">
        <f>IF(Q111="作業者2",N114-N111,0)</f>
        <v/>
      </c>
      <c r="CU114" s="387" t="n"/>
      <c r="CV114" s="387" t="n"/>
      <c r="CW114" s="387" t="n"/>
      <c r="CX114" s="388" t="n"/>
      <c r="CZ114" s="254" t="inlineStr">
        <is>
          <t>休日</t>
        </is>
      </c>
      <c r="DA114" s="395" t="n"/>
      <c r="DB114" s="395" t="n"/>
      <c r="DC114" s="396" t="n"/>
      <c r="DD114" s="397">
        <f>IF(Q111="作業者3",N114-N111,0)</f>
        <v/>
      </c>
      <c r="DE114" s="395" t="n"/>
      <c r="DF114" s="395" t="n"/>
      <c r="DG114" s="395" t="n"/>
      <c r="DH114" s="396" t="n"/>
      <c r="DJ114" s="254" t="inlineStr">
        <is>
          <t>休日</t>
        </is>
      </c>
      <c r="DK114" s="395" t="n"/>
      <c r="DL114" s="395" t="n"/>
      <c r="DM114" s="396" t="n"/>
      <c r="DN114" s="397">
        <f>IF(Q111="作業者4",N114-N111,0)</f>
        <v/>
      </c>
      <c r="DO114" s="395" t="n"/>
      <c r="DP114" s="395" t="n"/>
      <c r="DQ114" s="395" t="n"/>
      <c r="DR114" s="396" t="n"/>
      <c r="DT114" s="254" t="inlineStr">
        <is>
          <t>休日</t>
        </is>
      </c>
      <c r="DU114" s="395" t="n"/>
      <c r="DV114" s="395" t="n"/>
      <c r="DW114" s="396" t="n"/>
      <c r="DX114" s="397">
        <f>IF(Q111="作業者5",N114-N111,0)</f>
        <v/>
      </c>
      <c r="DY114" s="395" t="n"/>
      <c r="DZ114" s="395" t="n"/>
      <c r="EA114" s="395" t="n"/>
      <c r="EB114" s="396" t="n"/>
    </row>
    <row r="115" ht="9" customHeight="1" s="337">
      <c r="B115" s="398" t="n"/>
      <c r="C115" s="372" t="n"/>
      <c r="D115" s="373" t="n"/>
      <c r="E115" s="399" t="n"/>
      <c r="F115" s="372" t="n"/>
      <c r="G115" s="373" t="n"/>
      <c r="H115" s="399" t="n"/>
      <c r="I115" s="372" t="n"/>
      <c r="J115" s="373" t="n"/>
      <c r="K115" s="399" t="n"/>
      <c r="L115" s="372" t="n"/>
      <c r="M115" s="373" t="n"/>
      <c r="N115" s="399" t="n"/>
      <c r="O115" s="372" t="n"/>
      <c r="P115" s="373" t="n"/>
      <c r="Q115" s="371" t="n"/>
      <c r="R115" s="372" t="n"/>
      <c r="S115" s="373" t="n"/>
      <c r="T115" s="371" t="n"/>
      <c r="U115" s="372" t="n"/>
      <c r="V115" s="373" t="n"/>
      <c r="W115" s="443" t="n"/>
      <c r="X115" s="372" t="n"/>
      <c r="Y115" s="372" t="n"/>
      <c r="Z115" s="372" t="n"/>
      <c r="AA115" s="372" t="n"/>
      <c r="AB115" s="372" t="n"/>
      <c r="AC115" s="372" t="n"/>
      <c r="AD115" s="372" t="n"/>
      <c r="AE115" s="372" t="n"/>
      <c r="AF115" s="372" t="n"/>
      <c r="AG115" s="372" t="n"/>
      <c r="AH115" s="372" t="n"/>
      <c r="AI115" s="372" t="n"/>
      <c r="AJ115" s="372" t="n"/>
      <c r="AK115" s="372" t="n"/>
      <c r="AL115" s="372" t="n"/>
      <c r="AM115" s="372" t="n"/>
      <c r="AN115" s="372" t="n"/>
      <c r="AO115" s="372" t="n"/>
      <c r="AP115" s="372" t="n"/>
      <c r="AQ115" s="372" t="n"/>
      <c r="AR115" s="372" t="n"/>
      <c r="AS115" s="372" t="n"/>
      <c r="AT115" s="372" t="n"/>
      <c r="AU115" s="372" t="n"/>
      <c r="AV115" s="372" t="n"/>
      <c r="AW115" s="372" t="n"/>
      <c r="AX115" s="372" t="n"/>
      <c r="AY115" s="372" t="n"/>
      <c r="AZ115" s="372" t="n"/>
      <c r="BA115" s="372" t="n"/>
      <c r="BB115" s="372" t="n"/>
      <c r="BC115" s="372" t="n"/>
      <c r="BD115" s="372" t="n"/>
      <c r="BE115" s="372" t="n"/>
      <c r="BF115" s="372" t="n"/>
      <c r="BG115" s="372" t="n"/>
      <c r="BH115" s="372" t="n"/>
      <c r="BI115" s="372" t="n"/>
      <c r="BJ115" s="372" t="n"/>
      <c r="BK115" s="372" t="n"/>
      <c r="BL115" s="372" t="n"/>
      <c r="BM115" s="372" t="n"/>
      <c r="BN115" s="372" t="n"/>
      <c r="BO115" s="372" t="n"/>
      <c r="BP115" s="372" t="n"/>
      <c r="BQ115" s="372" t="n"/>
      <c r="BR115" s="372" t="n"/>
      <c r="BS115" s="372" t="n"/>
      <c r="BT115" s="372" t="n"/>
      <c r="BU115" s="372" t="n"/>
      <c r="BV115" s="372" t="n"/>
      <c r="BW115" s="372" t="n"/>
      <c r="BX115" s="372" t="n"/>
      <c r="BY115" s="372" t="n"/>
      <c r="BZ115" s="372" t="n"/>
      <c r="CA115" s="372" t="n"/>
      <c r="CB115" s="372" t="n"/>
      <c r="CC115" s="402" t="n"/>
      <c r="CF115" s="259" t="inlineStr">
        <is>
          <t>移動</t>
        </is>
      </c>
      <c r="CG115" s="403" t="n"/>
      <c r="CH115" s="403" t="n"/>
      <c r="CI115" s="404" t="n"/>
      <c r="CJ115" s="379">
        <f>IF(Q115="作業者1",E118-E115,0)</f>
        <v/>
      </c>
      <c r="CK115" s="377" t="n"/>
      <c r="CL115" s="377" t="n"/>
      <c r="CM115" s="377" t="n"/>
      <c r="CN115" s="378" t="n"/>
      <c r="CP115" s="248" t="inlineStr">
        <is>
          <t>移動</t>
        </is>
      </c>
      <c r="CQ115" s="377" t="n"/>
      <c r="CR115" s="377" t="n"/>
      <c r="CS115" s="378" t="n"/>
      <c r="CT115" s="379">
        <f>IF(Q115="作業者2",E118-E115,0)</f>
        <v/>
      </c>
      <c r="CU115" s="377" t="n"/>
      <c r="CV115" s="377" t="n"/>
      <c r="CW115" s="377" t="n"/>
      <c r="CX115" s="378" t="n"/>
      <c r="CZ115" s="259" t="inlineStr">
        <is>
          <t>移動</t>
        </is>
      </c>
      <c r="DA115" s="403" t="n"/>
      <c r="DB115" s="403" t="n"/>
      <c r="DC115" s="404" t="n"/>
      <c r="DD115" s="405">
        <f>IF(Q115="作業者3",E118-E115,0)</f>
        <v/>
      </c>
      <c r="DE115" s="406" t="n"/>
      <c r="DF115" s="406" t="n"/>
      <c r="DG115" s="406" t="n"/>
      <c r="DH115" s="407" t="n"/>
      <c r="DJ115" s="259" t="inlineStr">
        <is>
          <t>移動</t>
        </is>
      </c>
      <c r="DK115" s="403" t="n"/>
      <c r="DL115" s="403" t="n"/>
      <c r="DM115" s="404" t="n"/>
      <c r="DN115" s="379">
        <f>IF(Q115="作業者4",E118-E115,0)</f>
        <v/>
      </c>
      <c r="DO115" s="377" t="n"/>
      <c r="DP115" s="377" t="n"/>
      <c r="DQ115" s="377" t="n"/>
      <c r="DR115" s="378" t="n"/>
      <c r="DT115" s="259" t="inlineStr">
        <is>
          <t>移動</t>
        </is>
      </c>
      <c r="DU115" s="403" t="n"/>
      <c r="DV115" s="403" t="n"/>
      <c r="DW115" s="404" t="n"/>
      <c r="DX115" s="379">
        <f>IF(Q115="作業者5",E118-E115,0)</f>
        <v/>
      </c>
      <c r="DY115" s="377" t="n"/>
      <c r="DZ115" s="377" t="n"/>
      <c r="EA115" s="377" t="n"/>
      <c r="EB115" s="378" t="n"/>
    </row>
    <row r="116" ht="9" customHeight="1" s="337">
      <c r="B116" s="350" t="n"/>
      <c r="C116" s="338" t="n"/>
      <c r="D116" s="380" t="n"/>
      <c r="E116" s="381" t="n"/>
      <c r="F116" s="122" t="inlineStr">
        <is>
          <t>～</t>
        </is>
      </c>
      <c r="G116" s="22" t="n"/>
      <c r="H116" s="381" t="n"/>
      <c r="I116" s="122" t="inlineStr">
        <is>
          <t>～</t>
        </is>
      </c>
      <c r="J116" s="22" t="n"/>
      <c r="K116" s="381" t="n"/>
      <c r="L116" s="122" t="inlineStr">
        <is>
          <t>～</t>
        </is>
      </c>
      <c r="M116" s="22" t="n"/>
      <c r="N116" s="381" t="n"/>
      <c r="O116" s="122" t="inlineStr">
        <is>
          <t>～</t>
        </is>
      </c>
      <c r="P116" s="22" t="n"/>
      <c r="Q116" s="382" t="n"/>
      <c r="R116" s="338" t="n"/>
      <c r="S116" s="380" t="n"/>
      <c r="T116" s="382" t="n"/>
      <c r="U116" s="338" t="n"/>
      <c r="V116" s="380" t="n"/>
      <c r="W116" s="382" t="n"/>
      <c r="X116" s="338" t="n"/>
      <c r="Y116" s="338" t="n"/>
      <c r="Z116" s="338" t="n"/>
      <c r="AA116" s="338" t="n"/>
      <c r="AB116" s="338" t="n"/>
      <c r="AC116" s="338" t="n"/>
      <c r="AD116" s="338" t="n"/>
      <c r="AE116" s="338" t="n"/>
      <c r="AF116" s="338" t="n"/>
      <c r="AG116" s="338" t="n"/>
      <c r="AH116" s="338" t="n"/>
      <c r="AI116" s="338" t="n"/>
      <c r="AJ116" s="338" t="n"/>
      <c r="AK116" s="338" t="n"/>
      <c r="AL116" s="338" t="n"/>
      <c r="AM116" s="338" t="n"/>
      <c r="AN116" s="338" t="n"/>
      <c r="AO116" s="338" t="n"/>
      <c r="AP116" s="338" t="n"/>
      <c r="AQ116" s="338" t="n"/>
      <c r="AR116" s="338" t="n"/>
      <c r="AS116" s="338" t="n"/>
      <c r="AT116" s="338" t="n"/>
      <c r="AU116" s="338" t="n"/>
      <c r="AV116" s="338" t="n"/>
      <c r="AW116" s="338" t="n"/>
      <c r="AX116" s="338" t="n"/>
      <c r="AY116" s="338" t="n"/>
      <c r="AZ116" s="338" t="n"/>
      <c r="BA116" s="338" t="n"/>
      <c r="BB116" s="338" t="n"/>
      <c r="BC116" s="338" t="n"/>
      <c r="BD116" s="338" t="n"/>
      <c r="BE116" s="338" t="n"/>
      <c r="BF116" s="338" t="n"/>
      <c r="BG116" s="338" t="n"/>
      <c r="BH116" s="338" t="n"/>
      <c r="BI116" s="338" t="n"/>
      <c r="BJ116" s="338" t="n"/>
      <c r="BK116" s="338" t="n"/>
      <c r="BL116" s="338" t="n"/>
      <c r="BM116" s="338" t="n"/>
      <c r="BN116" s="338" t="n"/>
      <c r="BO116" s="338" t="n"/>
      <c r="BP116" s="338" t="n"/>
      <c r="BQ116" s="338" t="n"/>
      <c r="BR116" s="338" t="n"/>
      <c r="BS116" s="338" t="n"/>
      <c r="BT116" s="338" t="n"/>
      <c r="BU116" s="338" t="n"/>
      <c r="BV116" s="338" t="n"/>
      <c r="BW116" s="338" t="n"/>
      <c r="BX116" s="338" t="n"/>
      <c r="BY116" s="338" t="n"/>
      <c r="BZ116" s="338" t="n"/>
      <c r="CA116" s="338" t="n"/>
      <c r="CB116" s="338" t="n"/>
      <c r="CC116" s="383" t="n"/>
      <c r="CF116" s="253" t="inlineStr">
        <is>
          <t>時間内</t>
        </is>
      </c>
      <c r="CG116" s="384" t="n"/>
      <c r="CH116" s="384" t="n"/>
      <c r="CI116" s="385" t="n"/>
      <c r="CJ116" s="386">
        <f>IF(Q115="作業者1",H118-H115,0)</f>
        <v/>
      </c>
      <c r="CK116" s="387" t="n"/>
      <c r="CL116" s="387" t="n"/>
      <c r="CM116" s="387" t="n"/>
      <c r="CN116" s="388" t="n"/>
      <c r="CP116" s="253" t="inlineStr">
        <is>
          <t>時間内</t>
        </is>
      </c>
      <c r="CQ116" s="384" t="n"/>
      <c r="CR116" s="384" t="n"/>
      <c r="CS116" s="385" t="n"/>
      <c r="CT116" s="386">
        <f>IF(Q115="作業者2",H118-H115,0)</f>
        <v/>
      </c>
      <c r="CU116" s="387" t="n"/>
      <c r="CV116" s="387" t="n"/>
      <c r="CW116" s="387" t="n"/>
      <c r="CX116" s="388" t="n"/>
      <c r="CZ116" s="253" t="inlineStr">
        <is>
          <t>時間内</t>
        </is>
      </c>
      <c r="DA116" s="384" t="n"/>
      <c r="DB116" s="384" t="n"/>
      <c r="DC116" s="385" t="n"/>
      <c r="DD116" s="386">
        <f>IF(Q115="作業者3",H118-H115,0)</f>
        <v/>
      </c>
      <c r="DE116" s="387" t="n"/>
      <c r="DF116" s="387" t="n"/>
      <c r="DG116" s="387" t="n"/>
      <c r="DH116" s="388" t="n"/>
      <c r="DJ116" s="253" t="inlineStr">
        <is>
          <t>時間内</t>
        </is>
      </c>
      <c r="DK116" s="384" t="n"/>
      <c r="DL116" s="384" t="n"/>
      <c r="DM116" s="385" t="n"/>
      <c r="DN116" s="386">
        <f>IF(Q115="作業者4",H118-H115,0)</f>
        <v/>
      </c>
      <c r="DO116" s="387" t="n"/>
      <c r="DP116" s="387" t="n"/>
      <c r="DQ116" s="387" t="n"/>
      <c r="DR116" s="388" t="n"/>
      <c r="DT116" s="253" t="inlineStr">
        <is>
          <t>時間内</t>
        </is>
      </c>
      <c r="DU116" s="384" t="n"/>
      <c r="DV116" s="384" t="n"/>
      <c r="DW116" s="385" t="n"/>
      <c r="DX116" s="386">
        <f>IF(Q115="作業者5",H118-H115,0)</f>
        <v/>
      </c>
      <c r="DY116" s="387" t="n"/>
      <c r="DZ116" s="387" t="n"/>
      <c r="EA116" s="387" t="n"/>
      <c r="EB116" s="388" t="n"/>
    </row>
    <row r="117" ht="9" customHeight="1" s="337">
      <c r="B117" s="350" t="n"/>
      <c r="C117" s="338" t="n"/>
      <c r="D117" s="380" t="n"/>
      <c r="E117" s="23" t="n"/>
      <c r="F117" s="338" t="n"/>
      <c r="G117" s="24" t="n"/>
      <c r="H117" s="23" t="n"/>
      <c r="I117" s="338" t="n"/>
      <c r="J117" s="24" t="n"/>
      <c r="K117" s="23" t="n"/>
      <c r="L117" s="338" t="n"/>
      <c r="M117" s="24" t="n"/>
      <c r="N117" s="23" t="n"/>
      <c r="O117" s="338" t="n"/>
      <c r="P117" s="24" t="n"/>
      <c r="Q117" s="382" t="n"/>
      <c r="R117" s="338" t="n"/>
      <c r="S117" s="380" t="n"/>
      <c r="T117" s="382" t="n"/>
      <c r="U117" s="338" t="n"/>
      <c r="V117" s="380" t="n"/>
      <c r="W117" s="382" t="n"/>
      <c r="X117" s="338" t="n"/>
      <c r="Y117" s="338" t="n"/>
      <c r="Z117" s="338" t="n"/>
      <c r="AA117" s="338" t="n"/>
      <c r="AB117" s="338" t="n"/>
      <c r="AC117" s="338" t="n"/>
      <c r="AD117" s="338" t="n"/>
      <c r="AE117" s="338" t="n"/>
      <c r="AF117" s="338" t="n"/>
      <c r="AG117" s="338" t="n"/>
      <c r="AH117" s="338" t="n"/>
      <c r="AI117" s="338" t="n"/>
      <c r="AJ117" s="338" t="n"/>
      <c r="AK117" s="338" t="n"/>
      <c r="AL117" s="338" t="n"/>
      <c r="AM117" s="338" t="n"/>
      <c r="AN117" s="338" t="n"/>
      <c r="AO117" s="338" t="n"/>
      <c r="AP117" s="338" t="n"/>
      <c r="AQ117" s="338" t="n"/>
      <c r="AR117" s="338" t="n"/>
      <c r="AS117" s="338" t="n"/>
      <c r="AT117" s="338" t="n"/>
      <c r="AU117" s="338" t="n"/>
      <c r="AV117" s="338" t="n"/>
      <c r="AW117" s="338" t="n"/>
      <c r="AX117" s="338" t="n"/>
      <c r="AY117" s="338" t="n"/>
      <c r="AZ117" s="338" t="n"/>
      <c r="BA117" s="338" t="n"/>
      <c r="BB117" s="338" t="n"/>
      <c r="BC117" s="338" t="n"/>
      <c r="BD117" s="338" t="n"/>
      <c r="BE117" s="338" t="n"/>
      <c r="BF117" s="338" t="n"/>
      <c r="BG117" s="338" t="n"/>
      <c r="BH117" s="338" t="n"/>
      <c r="BI117" s="338" t="n"/>
      <c r="BJ117" s="338" t="n"/>
      <c r="BK117" s="338" t="n"/>
      <c r="BL117" s="338" t="n"/>
      <c r="BM117" s="338" t="n"/>
      <c r="BN117" s="338" t="n"/>
      <c r="BO117" s="338" t="n"/>
      <c r="BP117" s="338" t="n"/>
      <c r="BQ117" s="338" t="n"/>
      <c r="BR117" s="338" t="n"/>
      <c r="BS117" s="338" t="n"/>
      <c r="BT117" s="338" t="n"/>
      <c r="BU117" s="338" t="n"/>
      <c r="BV117" s="338" t="n"/>
      <c r="BW117" s="338" t="n"/>
      <c r="BX117" s="338" t="n"/>
      <c r="BY117" s="338" t="n"/>
      <c r="BZ117" s="338" t="n"/>
      <c r="CA117" s="338" t="n"/>
      <c r="CB117" s="338" t="n"/>
      <c r="CC117" s="383" t="n"/>
      <c r="CF117" s="253" t="inlineStr">
        <is>
          <t>時間外</t>
        </is>
      </c>
      <c r="CG117" s="384" t="n"/>
      <c r="CH117" s="384" t="n"/>
      <c r="CI117" s="385" t="n"/>
      <c r="CJ117" s="386">
        <f>IF(Q115="作業者1",K118-K115,0)</f>
        <v/>
      </c>
      <c r="CK117" s="387" t="n"/>
      <c r="CL117" s="387" t="n"/>
      <c r="CM117" s="387" t="n"/>
      <c r="CN117" s="388" t="n"/>
      <c r="CP117" s="253" t="inlineStr">
        <is>
          <t>時間外</t>
        </is>
      </c>
      <c r="CQ117" s="384" t="n"/>
      <c r="CR117" s="384" t="n"/>
      <c r="CS117" s="385" t="n"/>
      <c r="CT117" s="386">
        <f>IF(Q115="作業者2",K118-K115,0)</f>
        <v/>
      </c>
      <c r="CU117" s="387" t="n"/>
      <c r="CV117" s="387" t="n"/>
      <c r="CW117" s="387" t="n"/>
      <c r="CX117" s="388" t="n"/>
      <c r="CZ117" s="253" t="inlineStr">
        <is>
          <t>時間外</t>
        </is>
      </c>
      <c r="DA117" s="384" t="n"/>
      <c r="DB117" s="384" t="n"/>
      <c r="DC117" s="385" t="n"/>
      <c r="DD117" s="386">
        <f>IF(Q115="作業者3",K118-K115,0)</f>
        <v/>
      </c>
      <c r="DE117" s="387" t="n"/>
      <c r="DF117" s="387" t="n"/>
      <c r="DG117" s="387" t="n"/>
      <c r="DH117" s="388" t="n"/>
      <c r="DJ117" s="253" t="inlineStr">
        <is>
          <t>時間外</t>
        </is>
      </c>
      <c r="DK117" s="384" t="n"/>
      <c r="DL117" s="384" t="n"/>
      <c r="DM117" s="385" t="n"/>
      <c r="DN117" s="386">
        <f>IF(Q115="作業者4",K118-K115,0)</f>
        <v/>
      </c>
      <c r="DO117" s="387" t="n"/>
      <c r="DP117" s="387" t="n"/>
      <c r="DQ117" s="387" t="n"/>
      <c r="DR117" s="388" t="n"/>
      <c r="DT117" s="253" t="inlineStr">
        <is>
          <t>時間外</t>
        </is>
      </c>
      <c r="DU117" s="384" t="n"/>
      <c r="DV117" s="384" t="n"/>
      <c r="DW117" s="385" t="n"/>
      <c r="DX117" s="386">
        <f>IF(Q115="作業者5",K118-K115,0)</f>
        <v/>
      </c>
      <c r="DY117" s="387" t="n"/>
      <c r="DZ117" s="387" t="n"/>
      <c r="EA117" s="387" t="n"/>
      <c r="EB117" s="388" t="n"/>
    </row>
    <row r="118" ht="9" customHeight="1" s="337">
      <c r="B118" s="389" t="n"/>
      <c r="C118" s="390" t="n"/>
      <c r="D118" s="391" t="n"/>
      <c r="E118" s="392" t="n"/>
      <c r="F118" s="390" t="n"/>
      <c r="G118" s="391" t="n"/>
      <c r="H118" s="392" t="n"/>
      <c r="I118" s="390" t="n"/>
      <c r="J118" s="391" t="n"/>
      <c r="K118" s="392" t="n"/>
      <c r="L118" s="390" t="n"/>
      <c r="M118" s="391" t="n"/>
      <c r="N118" s="392" t="n"/>
      <c r="O118" s="390" t="n"/>
      <c r="P118" s="391" t="n"/>
      <c r="Q118" s="393" t="n"/>
      <c r="R118" s="390" t="n"/>
      <c r="S118" s="391" t="n"/>
      <c r="T118" s="393" t="n"/>
      <c r="U118" s="390" t="n"/>
      <c r="V118" s="391" t="n"/>
      <c r="W118" s="393" t="n"/>
      <c r="X118" s="390" t="n"/>
      <c r="Y118" s="390" t="n"/>
      <c r="Z118" s="390" t="n"/>
      <c r="AA118" s="390" t="n"/>
      <c r="AB118" s="390" t="n"/>
      <c r="AC118" s="390" t="n"/>
      <c r="AD118" s="390" t="n"/>
      <c r="AE118" s="390" t="n"/>
      <c r="AF118" s="390" t="n"/>
      <c r="AG118" s="390" t="n"/>
      <c r="AH118" s="390" t="n"/>
      <c r="AI118" s="390" t="n"/>
      <c r="AJ118" s="390" t="n"/>
      <c r="AK118" s="390" t="n"/>
      <c r="AL118" s="390" t="n"/>
      <c r="AM118" s="390" t="n"/>
      <c r="AN118" s="390" t="n"/>
      <c r="AO118" s="390" t="n"/>
      <c r="AP118" s="390" t="n"/>
      <c r="AQ118" s="390" t="n"/>
      <c r="AR118" s="390" t="n"/>
      <c r="AS118" s="390" t="n"/>
      <c r="AT118" s="390" t="n"/>
      <c r="AU118" s="390" t="n"/>
      <c r="AV118" s="390" t="n"/>
      <c r="AW118" s="390" t="n"/>
      <c r="AX118" s="390" t="n"/>
      <c r="AY118" s="390" t="n"/>
      <c r="AZ118" s="390" t="n"/>
      <c r="BA118" s="390" t="n"/>
      <c r="BB118" s="390" t="n"/>
      <c r="BC118" s="390" t="n"/>
      <c r="BD118" s="390" t="n"/>
      <c r="BE118" s="390" t="n"/>
      <c r="BF118" s="390" t="n"/>
      <c r="BG118" s="390" t="n"/>
      <c r="BH118" s="390" t="n"/>
      <c r="BI118" s="390" t="n"/>
      <c r="BJ118" s="390" t="n"/>
      <c r="BK118" s="390" t="n"/>
      <c r="BL118" s="390" t="n"/>
      <c r="BM118" s="390" t="n"/>
      <c r="BN118" s="390" t="n"/>
      <c r="BO118" s="390" t="n"/>
      <c r="BP118" s="390" t="n"/>
      <c r="BQ118" s="390" t="n"/>
      <c r="BR118" s="390" t="n"/>
      <c r="BS118" s="390" t="n"/>
      <c r="BT118" s="390" t="n"/>
      <c r="BU118" s="390" t="n"/>
      <c r="BV118" s="390" t="n"/>
      <c r="BW118" s="390" t="n"/>
      <c r="BX118" s="390" t="n"/>
      <c r="BY118" s="390" t="n"/>
      <c r="BZ118" s="390" t="n"/>
      <c r="CA118" s="390" t="n"/>
      <c r="CB118" s="390" t="n"/>
      <c r="CC118" s="394" t="n"/>
      <c r="CF118" s="254" t="inlineStr">
        <is>
          <t>休日</t>
        </is>
      </c>
      <c r="CG118" s="395" t="n"/>
      <c r="CH118" s="395" t="n"/>
      <c r="CI118" s="396" t="n"/>
      <c r="CJ118" s="397">
        <f>IF(Q115="作業者1",N118-N115,0)</f>
        <v/>
      </c>
      <c r="CK118" s="395" t="n"/>
      <c r="CL118" s="395" t="n"/>
      <c r="CM118" s="395" t="n"/>
      <c r="CN118" s="396" t="n"/>
      <c r="CP118" s="254" t="inlineStr">
        <is>
          <t>休日</t>
        </is>
      </c>
      <c r="CQ118" s="395" t="n"/>
      <c r="CR118" s="395" t="n"/>
      <c r="CS118" s="396" t="n"/>
      <c r="CT118" s="397">
        <f>IF(Q115="作業者2",N118-N115,0)</f>
        <v/>
      </c>
      <c r="CU118" s="395" t="n"/>
      <c r="CV118" s="395" t="n"/>
      <c r="CW118" s="395" t="n"/>
      <c r="CX118" s="396" t="n"/>
      <c r="CZ118" s="254" t="inlineStr">
        <is>
          <t>休日</t>
        </is>
      </c>
      <c r="DA118" s="395" t="n"/>
      <c r="DB118" s="395" t="n"/>
      <c r="DC118" s="396" t="n"/>
      <c r="DD118" s="397">
        <f>IF(Q115="作業者3",N118-N115,0)</f>
        <v/>
      </c>
      <c r="DE118" s="395" t="n"/>
      <c r="DF118" s="395" t="n"/>
      <c r="DG118" s="395" t="n"/>
      <c r="DH118" s="396" t="n"/>
      <c r="DJ118" s="254" t="inlineStr">
        <is>
          <t>休日</t>
        </is>
      </c>
      <c r="DK118" s="395" t="n"/>
      <c r="DL118" s="395" t="n"/>
      <c r="DM118" s="396" t="n"/>
      <c r="DN118" s="397">
        <f>IF(Q115="作業者4",N118-N115,0)</f>
        <v/>
      </c>
      <c r="DO118" s="395" t="n"/>
      <c r="DP118" s="395" t="n"/>
      <c r="DQ118" s="395" t="n"/>
      <c r="DR118" s="396" t="n"/>
      <c r="DT118" s="254" t="inlineStr">
        <is>
          <t>休日</t>
        </is>
      </c>
      <c r="DU118" s="395" t="n"/>
      <c r="DV118" s="395" t="n"/>
      <c r="DW118" s="396" t="n"/>
      <c r="DX118" s="397">
        <f>IF(Q115="作業者5",N118-N115,0)</f>
        <v/>
      </c>
      <c r="DY118" s="395" t="n"/>
      <c r="DZ118" s="395" t="n"/>
      <c r="EA118" s="395" t="n"/>
      <c r="EB118" s="396" t="n"/>
    </row>
    <row r="119" ht="9" customHeight="1" s="337">
      <c r="B119" s="398" t="n"/>
      <c r="C119" s="372" t="n"/>
      <c r="D119" s="373" t="n"/>
      <c r="E119" s="399" t="n"/>
      <c r="F119" s="372" t="n"/>
      <c r="G119" s="373" t="n"/>
      <c r="H119" s="399" t="n"/>
      <c r="I119" s="372" t="n"/>
      <c r="J119" s="373" t="n"/>
      <c r="K119" s="399" t="n"/>
      <c r="L119" s="372" t="n"/>
      <c r="M119" s="373" t="n"/>
      <c r="N119" s="399" t="n"/>
      <c r="O119" s="372" t="n"/>
      <c r="P119" s="373" t="n"/>
      <c r="Q119" s="371" t="n"/>
      <c r="R119" s="372" t="n"/>
      <c r="S119" s="373" t="n"/>
      <c r="T119" s="371" t="n"/>
      <c r="U119" s="372" t="n"/>
      <c r="V119" s="373" t="n"/>
      <c r="W119" s="443" t="n"/>
      <c r="X119" s="372" t="n"/>
      <c r="Y119" s="372" t="n"/>
      <c r="Z119" s="372" t="n"/>
      <c r="AA119" s="372" t="n"/>
      <c r="AB119" s="372" t="n"/>
      <c r="AC119" s="372" t="n"/>
      <c r="AD119" s="372" t="n"/>
      <c r="AE119" s="372" t="n"/>
      <c r="AF119" s="372" t="n"/>
      <c r="AG119" s="372" t="n"/>
      <c r="AH119" s="372" t="n"/>
      <c r="AI119" s="372" t="n"/>
      <c r="AJ119" s="372" t="n"/>
      <c r="AK119" s="372" t="n"/>
      <c r="AL119" s="372" t="n"/>
      <c r="AM119" s="372" t="n"/>
      <c r="AN119" s="372" t="n"/>
      <c r="AO119" s="372" t="n"/>
      <c r="AP119" s="372" t="n"/>
      <c r="AQ119" s="372" t="n"/>
      <c r="AR119" s="372" t="n"/>
      <c r="AS119" s="372" t="n"/>
      <c r="AT119" s="372" t="n"/>
      <c r="AU119" s="372" t="n"/>
      <c r="AV119" s="372" t="n"/>
      <c r="AW119" s="372" t="n"/>
      <c r="AX119" s="372" t="n"/>
      <c r="AY119" s="372" t="n"/>
      <c r="AZ119" s="372" t="n"/>
      <c r="BA119" s="372" t="n"/>
      <c r="BB119" s="372" t="n"/>
      <c r="BC119" s="372" t="n"/>
      <c r="BD119" s="372" t="n"/>
      <c r="BE119" s="372" t="n"/>
      <c r="BF119" s="372" t="n"/>
      <c r="BG119" s="372" t="n"/>
      <c r="BH119" s="372" t="n"/>
      <c r="BI119" s="372" t="n"/>
      <c r="BJ119" s="372" t="n"/>
      <c r="BK119" s="372" t="n"/>
      <c r="BL119" s="372" t="n"/>
      <c r="BM119" s="372" t="n"/>
      <c r="BN119" s="372" t="n"/>
      <c r="BO119" s="372" t="n"/>
      <c r="BP119" s="372" t="n"/>
      <c r="BQ119" s="372" t="n"/>
      <c r="BR119" s="372" t="n"/>
      <c r="BS119" s="372" t="n"/>
      <c r="BT119" s="372" t="n"/>
      <c r="BU119" s="372" t="n"/>
      <c r="BV119" s="372" t="n"/>
      <c r="BW119" s="372" t="n"/>
      <c r="BX119" s="372" t="n"/>
      <c r="BY119" s="372" t="n"/>
      <c r="BZ119" s="372" t="n"/>
      <c r="CA119" s="372" t="n"/>
      <c r="CB119" s="372" t="n"/>
      <c r="CC119" s="402" t="n"/>
      <c r="CF119" s="248" t="inlineStr">
        <is>
          <t>移動</t>
        </is>
      </c>
      <c r="CG119" s="377" t="n"/>
      <c r="CH119" s="377" t="n"/>
      <c r="CI119" s="378" t="n"/>
      <c r="CJ119" s="379">
        <f>IF(Q119="作業者1",E122-E119,0)</f>
        <v/>
      </c>
      <c r="CK119" s="377" t="n"/>
      <c r="CL119" s="377" t="n"/>
      <c r="CM119" s="377" t="n"/>
      <c r="CN119" s="378" t="n"/>
      <c r="CP119" s="248" t="inlineStr">
        <is>
          <t>移動</t>
        </is>
      </c>
      <c r="CQ119" s="377" t="n"/>
      <c r="CR119" s="377" t="n"/>
      <c r="CS119" s="378" t="n"/>
      <c r="CT119" s="379">
        <f>IF(Q119="作業者2",E122-E119,0)</f>
        <v/>
      </c>
      <c r="CU119" s="377" t="n"/>
      <c r="CV119" s="377" t="n"/>
      <c r="CW119" s="377" t="n"/>
      <c r="CX119" s="378" t="n"/>
      <c r="CZ119" s="248" t="inlineStr">
        <is>
          <t>移動</t>
        </is>
      </c>
      <c r="DA119" s="377" t="n"/>
      <c r="DB119" s="377" t="n"/>
      <c r="DC119" s="378" t="n"/>
      <c r="DD119" s="379">
        <f>IF(Q119="作業者3",E122-E119,0)</f>
        <v/>
      </c>
      <c r="DE119" s="377" t="n"/>
      <c r="DF119" s="377" t="n"/>
      <c r="DG119" s="377" t="n"/>
      <c r="DH119" s="378" t="n"/>
      <c r="DJ119" s="248" t="inlineStr">
        <is>
          <t>移動</t>
        </is>
      </c>
      <c r="DK119" s="377" t="n"/>
      <c r="DL119" s="377" t="n"/>
      <c r="DM119" s="378" t="n"/>
      <c r="DN119" s="379">
        <f>IF(Q119="作業者4",E122-E119,0)</f>
        <v/>
      </c>
      <c r="DO119" s="377" t="n"/>
      <c r="DP119" s="377" t="n"/>
      <c r="DQ119" s="377" t="n"/>
      <c r="DR119" s="378" t="n"/>
      <c r="DT119" s="259" t="inlineStr">
        <is>
          <t>移動</t>
        </is>
      </c>
      <c r="DU119" s="403" t="n"/>
      <c r="DV119" s="403" t="n"/>
      <c r="DW119" s="404" t="n"/>
      <c r="DX119" s="379">
        <f>IF(Q119="作業者5",E122-E119,0)</f>
        <v/>
      </c>
      <c r="DY119" s="377" t="n"/>
      <c r="DZ119" s="377" t="n"/>
      <c r="EA119" s="377" t="n"/>
      <c r="EB119" s="378" t="n"/>
    </row>
    <row r="120" ht="9" customHeight="1" s="337">
      <c r="B120" s="350" t="n"/>
      <c r="C120" s="338" t="n"/>
      <c r="D120" s="380" t="n"/>
      <c r="E120" s="381" t="n"/>
      <c r="F120" s="122" t="inlineStr">
        <is>
          <t>～</t>
        </is>
      </c>
      <c r="G120" s="22" t="n"/>
      <c r="H120" s="381" t="n"/>
      <c r="I120" s="122" t="inlineStr">
        <is>
          <t>～</t>
        </is>
      </c>
      <c r="J120" s="22" t="n"/>
      <c r="K120" s="381" t="n"/>
      <c r="L120" s="122" t="inlineStr">
        <is>
          <t>～</t>
        </is>
      </c>
      <c r="M120" s="22" t="n"/>
      <c r="N120" s="381" t="n"/>
      <c r="O120" s="122" t="inlineStr">
        <is>
          <t>～</t>
        </is>
      </c>
      <c r="P120" s="22" t="n"/>
      <c r="Q120" s="382" t="n"/>
      <c r="R120" s="338" t="n"/>
      <c r="S120" s="380" t="n"/>
      <c r="T120" s="382" t="n"/>
      <c r="U120" s="338" t="n"/>
      <c r="V120" s="380" t="n"/>
      <c r="W120" s="382" t="n"/>
      <c r="X120" s="338" t="n"/>
      <c r="Y120" s="338" t="n"/>
      <c r="Z120" s="338" t="n"/>
      <c r="AA120" s="338" t="n"/>
      <c r="AB120" s="338" t="n"/>
      <c r="AC120" s="338" t="n"/>
      <c r="AD120" s="338" t="n"/>
      <c r="AE120" s="338" t="n"/>
      <c r="AF120" s="338" t="n"/>
      <c r="AG120" s="338" t="n"/>
      <c r="AH120" s="338" t="n"/>
      <c r="AI120" s="338" t="n"/>
      <c r="AJ120" s="338" t="n"/>
      <c r="AK120" s="338" t="n"/>
      <c r="AL120" s="338" t="n"/>
      <c r="AM120" s="338" t="n"/>
      <c r="AN120" s="338" t="n"/>
      <c r="AO120" s="338" t="n"/>
      <c r="AP120" s="338" t="n"/>
      <c r="AQ120" s="338" t="n"/>
      <c r="AR120" s="338" t="n"/>
      <c r="AS120" s="338" t="n"/>
      <c r="AT120" s="338" t="n"/>
      <c r="AU120" s="338" t="n"/>
      <c r="AV120" s="338" t="n"/>
      <c r="AW120" s="338" t="n"/>
      <c r="AX120" s="338" t="n"/>
      <c r="AY120" s="338" t="n"/>
      <c r="AZ120" s="338" t="n"/>
      <c r="BA120" s="338" t="n"/>
      <c r="BB120" s="338" t="n"/>
      <c r="BC120" s="338" t="n"/>
      <c r="BD120" s="338" t="n"/>
      <c r="BE120" s="338" t="n"/>
      <c r="BF120" s="338" t="n"/>
      <c r="BG120" s="338" t="n"/>
      <c r="BH120" s="338" t="n"/>
      <c r="BI120" s="338" t="n"/>
      <c r="BJ120" s="338" t="n"/>
      <c r="BK120" s="338" t="n"/>
      <c r="BL120" s="338" t="n"/>
      <c r="BM120" s="338" t="n"/>
      <c r="BN120" s="338" t="n"/>
      <c r="BO120" s="338" t="n"/>
      <c r="BP120" s="338" t="n"/>
      <c r="BQ120" s="338" t="n"/>
      <c r="BR120" s="338" t="n"/>
      <c r="BS120" s="338" t="n"/>
      <c r="BT120" s="338" t="n"/>
      <c r="BU120" s="338" t="n"/>
      <c r="BV120" s="338" t="n"/>
      <c r="BW120" s="338" t="n"/>
      <c r="BX120" s="338" t="n"/>
      <c r="BY120" s="338" t="n"/>
      <c r="BZ120" s="338" t="n"/>
      <c r="CA120" s="338" t="n"/>
      <c r="CB120" s="338" t="n"/>
      <c r="CC120" s="383" t="n"/>
      <c r="CF120" s="253" t="inlineStr">
        <is>
          <t>時間内</t>
        </is>
      </c>
      <c r="CG120" s="384" t="n"/>
      <c r="CH120" s="384" t="n"/>
      <c r="CI120" s="385" t="n"/>
      <c r="CJ120" s="386">
        <f>IF(Q119="作業者1",H122-H119,0)</f>
        <v/>
      </c>
      <c r="CK120" s="387" t="n"/>
      <c r="CL120" s="387" t="n"/>
      <c r="CM120" s="387" t="n"/>
      <c r="CN120" s="388" t="n"/>
      <c r="CP120" s="253" t="inlineStr">
        <is>
          <t>時間内</t>
        </is>
      </c>
      <c r="CQ120" s="384" t="n"/>
      <c r="CR120" s="384" t="n"/>
      <c r="CS120" s="385" t="n"/>
      <c r="CT120" s="386">
        <f>IF(Q119="作業者2",H122-H119,0)</f>
        <v/>
      </c>
      <c r="CU120" s="387" t="n"/>
      <c r="CV120" s="387" t="n"/>
      <c r="CW120" s="387" t="n"/>
      <c r="CX120" s="388" t="n"/>
      <c r="CZ120" s="253" t="inlineStr">
        <is>
          <t>時間内</t>
        </is>
      </c>
      <c r="DA120" s="384" t="n"/>
      <c r="DB120" s="384" t="n"/>
      <c r="DC120" s="385" t="n"/>
      <c r="DD120" s="386">
        <f>IF(Q119="作業者3",H122-H119,0)</f>
        <v/>
      </c>
      <c r="DE120" s="387" t="n"/>
      <c r="DF120" s="387" t="n"/>
      <c r="DG120" s="387" t="n"/>
      <c r="DH120" s="388" t="n"/>
      <c r="DJ120" s="253" t="inlineStr">
        <is>
          <t>時間内</t>
        </is>
      </c>
      <c r="DK120" s="384" t="n"/>
      <c r="DL120" s="384" t="n"/>
      <c r="DM120" s="385" t="n"/>
      <c r="DN120" s="386">
        <f>IF(Q119="作業者4",H122-H119,0)</f>
        <v/>
      </c>
      <c r="DO120" s="387" t="n"/>
      <c r="DP120" s="387" t="n"/>
      <c r="DQ120" s="387" t="n"/>
      <c r="DR120" s="388" t="n"/>
      <c r="DT120" s="253" t="inlineStr">
        <is>
          <t>時間内</t>
        </is>
      </c>
      <c r="DU120" s="384" t="n"/>
      <c r="DV120" s="384" t="n"/>
      <c r="DW120" s="385" t="n"/>
      <c r="DX120" s="386">
        <f>IF(Q119="作業者5",H122-H119,0)</f>
        <v/>
      </c>
      <c r="DY120" s="387" t="n"/>
      <c r="DZ120" s="387" t="n"/>
      <c r="EA120" s="387" t="n"/>
      <c r="EB120" s="388" t="n"/>
    </row>
    <row r="121" ht="9" customHeight="1" s="337">
      <c r="B121" s="350" t="n"/>
      <c r="C121" s="338" t="n"/>
      <c r="D121" s="380" t="n"/>
      <c r="E121" s="23" t="n"/>
      <c r="F121" s="338" t="n"/>
      <c r="G121" s="24" t="n"/>
      <c r="H121" s="23" t="n"/>
      <c r="I121" s="338" t="n"/>
      <c r="J121" s="24" t="n"/>
      <c r="K121" s="23" t="n"/>
      <c r="L121" s="338" t="n"/>
      <c r="M121" s="24" t="n"/>
      <c r="N121" s="23" t="n"/>
      <c r="O121" s="338" t="n"/>
      <c r="P121" s="24" t="n"/>
      <c r="Q121" s="382" t="n"/>
      <c r="R121" s="338" t="n"/>
      <c r="S121" s="380" t="n"/>
      <c r="T121" s="382" t="n"/>
      <c r="U121" s="338" t="n"/>
      <c r="V121" s="380" t="n"/>
      <c r="W121" s="382" t="n"/>
      <c r="X121" s="338" t="n"/>
      <c r="Y121" s="338" t="n"/>
      <c r="Z121" s="338" t="n"/>
      <c r="AA121" s="338" t="n"/>
      <c r="AB121" s="338" t="n"/>
      <c r="AC121" s="338" t="n"/>
      <c r="AD121" s="338" t="n"/>
      <c r="AE121" s="338" t="n"/>
      <c r="AF121" s="338" t="n"/>
      <c r="AG121" s="338" t="n"/>
      <c r="AH121" s="338" t="n"/>
      <c r="AI121" s="338" t="n"/>
      <c r="AJ121" s="338" t="n"/>
      <c r="AK121" s="338" t="n"/>
      <c r="AL121" s="338" t="n"/>
      <c r="AM121" s="338" t="n"/>
      <c r="AN121" s="338" t="n"/>
      <c r="AO121" s="338" t="n"/>
      <c r="AP121" s="338" t="n"/>
      <c r="AQ121" s="338" t="n"/>
      <c r="AR121" s="338" t="n"/>
      <c r="AS121" s="338" t="n"/>
      <c r="AT121" s="338" t="n"/>
      <c r="AU121" s="338" t="n"/>
      <c r="AV121" s="338" t="n"/>
      <c r="AW121" s="338" t="n"/>
      <c r="AX121" s="338" t="n"/>
      <c r="AY121" s="338" t="n"/>
      <c r="AZ121" s="338" t="n"/>
      <c r="BA121" s="338" t="n"/>
      <c r="BB121" s="338" t="n"/>
      <c r="BC121" s="338" t="n"/>
      <c r="BD121" s="338" t="n"/>
      <c r="BE121" s="338" t="n"/>
      <c r="BF121" s="338" t="n"/>
      <c r="BG121" s="338" t="n"/>
      <c r="BH121" s="338" t="n"/>
      <c r="BI121" s="338" t="n"/>
      <c r="BJ121" s="338" t="n"/>
      <c r="BK121" s="338" t="n"/>
      <c r="BL121" s="338" t="n"/>
      <c r="BM121" s="338" t="n"/>
      <c r="BN121" s="338" t="n"/>
      <c r="BO121" s="338" t="n"/>
      <c r="BP121" s="338" t="n"/>
      <c r="BQ121" s="338" t="n"/>
      <c r="BR121" s="338" t="n"/>
      <c r="BS121" s="338" t="n"/>
      <c r="BT121" s="338" t="n"/>
      <c r="BU121" s="338" t="n"/>
      <c r="BV121" s="338" t="n"/>
      <c r="BW121" s="338" t="n"/>
      <c r="BX121" s="338" t="n"/>
      <c r="BY121" s="338" t="n"/>
      <c r="BZ121" s="338" t="n"/>
      <c r="CA121" s="338" t="n"/>
      <c r="CB121" s="338" t="n"/>
      <c r="CC121" s="383" t="n"/>
      <c r="CF121" s="253" t="inlineStr">
        <is>
          <t>時間外</t>
        </is>
      </c>
      <c r="CG121" s="384" t="n"/>
      <c r="CH121" s="384" t="n"/>
      <c r="CI121" s="385" t="n"/>
      <c r="CJ121" s="386">
        <f>IF(Q119="作業者1",K122-K119,0)</f>
        <v/>
      </c>
      <c r="CK121" s="387" t="n"/>
      <c r="CL121" s="387" t="n"/>
      <c r="CM121" s="387" t="n"/>
      <c r="CN121" s="388" t="n"/>
      <c r="CP121" s="253" t="inlineStr">
        <is>
          <t>時間外</t>
        </is>
      </c>
      <c r="CQ121" s="384" t="n"/>
      <c r="CR121" s="384" t="n"/>
      <c r="CS121" s="385" t="n"/>
      <c r="CT121" s="386">
        <f>IF(Q119="作業者2",K122-K119,0)</f>
        <v/>
      </c>
      <c r="CU121" s="387" t="n"/>
      <c r="CV121" s="387" t="n"/>
      <c r="CW121" s="387" t="n"/>
      <c r="CX121" s="388" t="n"/>
      <c r="CZ121" s="253" t="inlineStr">
        <is>
          <t>時間外</t>
        </is>
      </c>
      <c r="DA121" s="384" t="n"/>
      <c r="DB121" s="384" t="n"/>
      <c r="DC121" s="385" t="n"/>
      <c r="DD121" s="386">
        <f>IF(Q119="作業者3",K122-K119,0)</f>
        <v/>
      </c>
      <c r="DE121" s="387" t="n"/>
      <c r="DF121" s="387" t="n"/>
      <c r="DG121" s="387" t="n"/>
      <c r="DH121" s="388" t="n"/>
      <c r="DJ121" s="253" t="inlineStr">
        <is>
          <t>時間外</t>
        </is>
      </c>
      <c r="DK121" s="384" t="n"/>
      <c r="DL121" s="384" t="n"/>
      <c r="DM121" s="385" t="n"/>
      <c r="DN121" s="386">
        <f>IF(Q119="作業者4",K122-K119,0)</f>
        <v/>
      </c>
      <c r="DO121" s="387" t="n"/>
      <c r="DP121" s="387" t="n"/>
      <c r="DQ121" s="387" t="n"/>
      <c r="DR121" s="388" t="n"/>
      <c r="DT121" s="253" t="inlineStr">
        <is>
          <t>時間外</t>
        </is>
      </c>
      <c r="DU121" s="384" t="n"/>
      <c r="DV121" s="384" t="n"/>
      <c r="DW121" s="385" t="n"/>
      <c r="DX121" s="386">
        <f>IF(Q119="作業者5",K122-K119,0)</f>
        <v/>
      </c>
      <c r="DY121" s="387" t="n"/>
      <c r="DZ121" s="387" t="n"/>
      <c r="EA121" s="387" t="n"/>
      <c r="EB121" s="388" t="n"/>
    </row>
    <row r="122" ht="9" customHeight="1" s="337">
      <c r="B122" s="389" t="n"/>
      <c r="C122" s="390" t="n"/>
      <c r="D122" s="391" t="n"/>
      <c r="E122" s="392" t="n"/>
      <c r="F122" s="390" t="n"/>
      <c r="G122" s="391" t="n"/>
      <c r="H122" s="392" t="n"/>
      <c r="I122" s="390" t="n"/>
      <c r="J122" s="391" t="n"/>
      <c r="K122" s="392" t="n"/>
      <c r="L122" s="390" t="n"/>
      <c r="M122" s="391" t="n"/>
      <c r="N122" s="392" t="n"/>
      <c r="O122" s="390" t="n"/>
      <c r="P122" s="391" t="n"/>
      <c r="Q122" s="393" t="n"/>
      <c r="R122" s="390" t="n"/>
      <c r="S122" s="391" t="n"/>
      <c r="T122" s="393" t="n"/>
      <c r="U122" s="390" t="n"/>
      <c r="V122" s="391" t="n"/>
      <c r="W122" s="393" t="n"/>
      <c r="X122" s="390" t="n"/>
      <c r="Y122" s="390" t="n"/>
      <c r="Z122" s="390" t="n"/>
      <c r="AA122" s="390" t="n"/>
      <c r="AB122" s="390" t="n"/>
      <c r="AC122" s="390" t="n"/>
      <c r="AD122" s="390" t="n"/>
      <c r="AE122" s="390" t="n"/>
      <c r="AF122" s="390" t="n"/>
      <c r="AG122" s="390" t="n"/>
      <c r="AH122" s="390" t="n"/>
      <c r="AI122" s="390" t="n"/>
      <c r="AJ122" s="390" t="n"/>
      <c r="AK122" s="390" t="n"/>
      <c r="AL122" s="390" t="n"/>
      <c r="AM122" s="390" t="n"/>
      <c r="AN122" s="390" t="n"/>
      <c r="AO122" s="390" t="n"/>
      <c r="AP122" s="390" t="n"/>
      <c r="AQ122" s="390" t="n"/>
      <c r="AR122" s="390" t="n"/>
      <c r="AS122" s="390" t="n"/>
      <c r="AT122" s="390" t="n"/>
      <c r="AU122" s="390" t="n"/>
      <c r="AV122" s="390" t="n"/>
      <c r="AW122" s="390" t="n"/>
      <c r="AX122" s="390" t="n"/>
      <c r="AY122" s="390" t="n"/>
      <c r="AZ122" s="390" t="n"/>
      <c r="BA122" s="390" t="n"/>
      <c r="BB122" s="390" t="n"/>
      <c r="BC122" s="390" t="n"/>
      <c r="BD122" s="390" t="n"/>
      <c r="BE122" s="390" t="n"/>
      <c r="BF122" s="390" t="n"/>
      <c r="BG122" s="390" t="n"/>
      <c r="BH122" s="390" t="n"/>
      <c r="BI122" s="390" t="n"/>
      <c r="BJ122" s="390" t="n"/>
      <c r="BK122" s="390" t="n"/>
      <c r="BL122" s="390" t="n"/>
      <c r="BM122" s="390" t="n"/>
      <c r="BN122" s="390" t="n"/>
      <c r="BO122" s="390" t="n"/>
      <c r="BP122" s="390" t="n"/>
      <c r="BQ122" s="390" t="n"/>
      <c r="BR122" s="390" t="n"/>
      <c r="BS122" s="390" t="n"/>
      <c r="BT122" s="390" t="n"/>
      <c r="BU122" s="390" t="n"/>
      <c r="BV122" s="390" t="n"/>
      <c r="BW122" s="390" t="n"/>
      <c r="BX122" s="390" t="n"/>
      <c r="BY122" s="390" t="n"/>
      <c r="BZ122" s="390" t="n"/>
      <c r="CA122" s="390" t="n"/>
      <c r="CB122" s="390" t="n"/>
      <c r="CC122" s="394" t="n"/>
      <c r="CF122" s="254" t="inlineStr">
        <is>
          <t>休日</t>
        </is>
      </c>
      <c r="CG122" s="395" t="n"/>
      <c r="CH122" s="395" t="n"/>
      <c r="CI122" s="396" t="n"/>
      <c r="CJ122" s="386">
        <f>IF(Q119="作業者1",N122-N119,0)</f>
        <v/>
      </c>
      <c r="CK122" s="387" t="n"/>
      <c r="CL122" s="387" t="n"/>
      <c r="CM122" s="387" t="n"/>
      <c r="CN122" s="388" t="n"/>
      <c r="CP122" s="253" t="inlineStr">
        <is>
          <t>休日</t>
        </is>
      </c>
      <c r="CQ122" s="384" t="n"/>
      <c r="CR122" s="384" t="n"/>
      <c r="CS122" s="385" t="n"/>
      <c r="CT122" s="386">
        <f>IF(Q119="作業者2",N122-N119,0)</f>
        <v/>
      </c>
      <c r="CU122" s="387" t="n"/>
      <c r="CV122" s="387" t="n"/>
      <c r="CW122" s="387" t="n"/>
      <c r="CX122" s="388" t="n"/>
      <c r="CZ122" s="254" t="inlineStr">
        <is>
          <t>休日</t>
        </is>
      </c>
      <c r="DA122" s="395" t="n"/>
      <c r="DB122" s="395" t="n"/>
      <c r="DC122" s="396" t="n"/>
      <c r="DD122" s="397">
        <f>IF(Q119="作業者3",N122-N119,0)</f>
        <v/>
      </c>
      <c r="DE122" s="395" t="n"/>
      <c r="DF122" s="395" t="n"/>
      <c r="DG122" s="395" t="n"/>
      <c r="DH122" s="396" t="n"/>
      <c r="DJ122" s="254" t="inlineStr">
        <is>
          <t>休日</t>
        </is>
      </c>
      <c r="DK122" s="395" t="n"/>
      <c r="DL122" s="395" t="n"/>
      <c r="DM122" s="396" t="n"/>
      <c r="DN122" s="397">
        <f>IF(Q119="作業者4",N122-N119,0)</f>
        <v/>
      </c>
      <c r="DO122" s="395" t="n"/>
      <c r="DP122" s="395" t="n"/>
      <c r="DQ122" s="395" t="n"/>
      <c r="DR122" s="396" t="n"/>
      <c r="DT122" s="254" t="inlineStr">
        <is>
          <t>休日</t>
        </is>
      </c>
      <c r="DU122" s="395" t="n"/>
      <c r="DV122" s="395" t="n"/>
      <c r="DW122" s="396" t="n"/>
      <c r="DX122" s="397">
        <f>IF(Q119="作業者5",N122-N119,0)</f>
        <v/>
      </c>
      <c r="DY122" s="395" t="n"/>
      <c r="DZ122" s="395" t="n"/>
      <c r="EA122" s="395" t="n"/>
      <c r="EB122" s="396" t="n"/>
    </row>
    <row r="123" ht="9" customHeight="1" s="337">
      <c r="B123" s="398" t="n"/>
      <c r="C123" s="372" t="n"/>
      <c r="D123" s="373" t="n"/>
      <c r="E123" s="399" t="n"/>
      <c r="F123" s="372" t="n"/>
      <c r="G123" s="373" t="n"/>
      <c r="H123" s="399" t="n"/>
      <c r="I123" s="372" t="n"/>
      <c r="J123" s="373" t="n"/>
      <c r="K123" s="399" t="n"/>
      <c r="L123" s="372" t="n"/>
      <c r="M123" s="373" t="n"/>
      <c r="N123" s="399" t="n"/>
      <c r="O123" s="372" t="n"/>
      <c r="P123" s="373" t="n"/>
      <c r="Q123" s="371" t="n"/>
      <c r="R123" s="372" t="n"/>
      <c r="S123" s="373" t="n"/>
      <c r="T123" s="371" t="n"/>
      <c r="U123" s="372" t="n"/>
      <c r="V123" s="373" t="n"/>
      <c r="W123" s="443" t="n"/>
      <c r="X123" s="372" t="n"/>
      <c r="Y123" s="372" t="n"/>
      <c r="Z123" s="372" t="n"/>
      <c r="AA123" s="372" t="n"/>
      <c r="AB123" s="372" t="n"/>
      <c r="AC123" s="372" t="n"/>
      <c r="AD123" s="372" t="n"/>
      <c r="AE123" s="372" t="n"/>
      <c r="AF123" s="372" t="n"/>
      <c r="AG123" s="372" t="n"/>
      <c r="AH123" s="372" t="n"/>
      <c r="AI123" s="372" t="n"/>
      <c r="AJ123" s="372" t="n"/>
      <c r="AK123" s="372" t="n"/>
      <c r="AL123" s="372" t="n"/>
      <c r="AM123" s="372" t="n"/>
      <c r="AN123" s="372" t="n"/>
      <c r="AO123" s="372" t="n"/>
      <c r="AP123" s="372" t="n"/>
      <c r="AQ123" s="372" t="n"/>
      <c r="AR123" s="372" t="n"/>
      <c r="AS123" s="372" t="n"/>
      <c r="AT123" s="372" t="n"/>
      <c r="AU123" s="372" t="n"/>
      <c r="AV123" s="372" t="n"/>
      <c r="AW123" s="372" t="n"/>
      <c r="AX123" s="372" t="n"/>
      <c r="AY123" s="372" t="n"/>
      <c r="AZ123" s="372" t="n"/>
      <c r="BA123" s="372" t="n"/>
      <c r="BB123" s="372" t="n"/>
      <c r="BC123" s="372" t="n"/>
      <c r="BD123" s="372" t="n"/>
      <c r="BE123" s="372" t="n"/>
      <c r="BF123" s="372" t="n"/>
      <c r="BG123" s="372" t="n"/>
      <c r="BH123" s="372" t="n"/>
      <c r="BI123" s="372" t="n"/>
      <c r="BJ123" s="372" t="n"/>
      <c r="BK123" s="372" t="n"/>
      <c r="BL123" s="372" t="n"/>
      <c r="BM123" s="372" t="n"/>
      <c r="BN123" s="372" t="n"/>
      <c r="BO123" s="372" t="n"/>
      <c r="BP123" s="372" t="n"/>
      <c r="BQ123" s="372" t="n"/>
      <c r="BR123" s="372" t="n"/>
      <c r="BS123" s="372" t="n"/>
      <c r="BT123" s="372" t="n"/>
      <c r="BU123" s="372" t="n"/>
      <c r="BV123" s="372" t="n"/>
      <c r="BW123" s="372" t="n"/>
      <c r="BX123" s="372" t="n"/>
      <c r="BY123" s="372" t="n"/>
      <c r="BZ123" s="372" t="n"/>
      <c r="CA123" s="372" t="n"/>
      <c r="CB123" s="372" t="n"/>
      <c r="CC123" s="402" t="n"/>
      <c r="CF123" s="259" t="inlineStr">
        <is>
          <t>移動</t>
        </is>
      </c>
      <c r="CG123" s="403" t="n"/>
      <c r="CH123" s="403" t="n"/>
      <c r="CI123" s="404" t="n"/>
      <c r="CJ123" s="379">
        <f>IF(Q123="作業者1",E126-E123,0)</f>
        <v/>
      </c>
      <c r="CK123" s="377" t="n"/>
      <c r="CL123" s="377" t="n"/>
      <c r="CM123" s="377" t="n"/>
      <c r="CN123" s="378" t="n"/>
      <c r="CP123" s="248" t="inlineStr">
        <is>
          <t>移動</t>
        </is>
      </c>
      <c r="CQ123" s="377" t="n"/>
      <c r="CR123" s="377" t="n"/>
      <c r="CS123" s="378" t="n"/>
      <c r="CT123" s="379">
        <f>IF(Q123="作業者2",E126-E123,0)</f>
        <v/>
      </c>
      <c r="CU123" s="377" t="n"/>
      <c r="CV123" s="377" t="n"/>
      <c r="CW123" s="377" t="n"/>
      <c r="CX123" s="378" t="n"/>
      <c r="CZ123" s="259" t="inlineStr">
        <is>
          <t>移動</t>
        </is>
      </c>
      <c r="DA123" s="403" t="n"/>
      <c r="DB123" s="403" t="n"/>
      <c r="DC123" s="404" t="n"/>
      <c r="DD123" s="405">
        <f>IF(Q123="作業者3",E126-E123,0)</f>
        <v/>
      </c>
      <c r="DE123" s="406" t="n"/>
      <c r="DF123" s="406" t="n"/>
      <c r="DG123" s="406" t="n"/>
      <c r="DH123" s="407" t="n"/>
      <c r="DJ123" s="259" t="inlineStr">
        <is>
          <t>移動</t>
        </is>
      </c>
      <c r="DK123" s="403" t="n"/>
      <c r="DL123" s="403" t="n"/>
      <c r="DM123" s="404" t="n"/>
      <c r="DN123" s="379">
        <f>IF(Q123="作業者4",E126-E123,0)</f>
        <v/>
      </c>
      <c r="DO123" s="377" t="n"/>
      <c r="DP123" s="377" t="n"/>
      <c r="DQ123" s="377" t="n"/>
      <c r="DR123" s="378" t="n"/>
      <c r="DT123" s="259" t="inlineStr">
        <is>
          <t>移動</t>
        </is>
      </c>
      <c r="DU123" s="403" t="n"/>
      <c r="DV123" s="403" t="n"/>
      <c r="DW123" s="404" t="n"/>
      <c r="DX123" s="379">
        <f>IF(Q123="作業者5",E126-E123,0)</f>
        <v/>
      </c>
      <c r="DY123" s="377" t="n"/>
      <c r="DZ123" s="377" t="n"/>
      <c r="EA123" s="377" t="n"/>
      <c r="EB123" s="378" t="n"/>
    </row>
    <row r="124" ht="9" customHeight="1" s="337">
      <c r="B124" s="350" t="n"/>
      <c r="C124" s="338" t="n"/>
      <c r="D124" s="380" t="n"/>
      <c r="E124" s="381" t="n"/>
      <c r="F124" s="122" t="inlineStr">
        <is>
          <t>～</t>
        </is>
      </c>
      <c r="G124" s="22" t="n"/>
      <c r="H124" s="381" t="n"/>
      <c r="I124" s="122" t="inlineStr">
        <is>
          <t>～</t>
        </is>
      </c>
      <c r="J124" s="22" t="n"/>
      <c r="K124" s="381" t="n"/>
      <c r="L124" s="122" t="inlineStr">
        <is>
          <t>～</t>
        </is>
      </c>
      <c r="M124" s="22" t="n"/>
      <c r="N124" s="381" t="n"/>
      <c r="O124" s="122" t="inlineStr">
        <is>
          <t>～</t>
        </is>
      </c>
      <c r="P124" s="22" t="n"/>
      <c r="Q124" s="382" t="n"/>
      <c r="R124" s="338" t="n"/>
      <c r="S124" s="380" t="n"/>
      <c r="T124" s="382" t="n"/>
      <c r="U124" s="338" t="n"/>
      <c r="V124" s="380" t="n"/>
      <c r="W124" s="382" t="n"/>
      <c r="X124" s="338" t="n"/>
      <c r="Y124" s="338" t="n"/>
      <c r="Z124" s="338" t="n"/>
      <c r="AA124" s="338" t="n"/>
      <c r="AB124" s="338" t="n"/>
      <c r="AC124" s="338" t="n"/>
      <c r="AD124" s="338" t="n"/>
      <c r="AE124" s="338" t="n"/>
      <c r="AF124" s="338" t="n"/>
      <c r="AG124" s="338" t="n"/>
      <c r="AH124" s="338" t="n"/>
      <c r="AI124" s="338" t="n"/>
      <c r="AJ124" s="338" t="n"/>
      <c r="AK124" s="338" t="n"/>
      <c r="AL124" s="338" t="n"/>
      <c r="AM124" s="338" t="n"/>
      <c r="AN124" s="338" t="n"/>
      <c r="AO124" s="338" t="n"/>
      <c r="AP124" s="338" t="n"/>
      <c r="AQ124" s="338" t="n"/>
      <c r="AR124" s="338" t="n"/>
      <c r="AS124" s="338" t="n"/>
      <c r="AT124" s="338" t="n"/>
      <c r="AU124" s="338" t="n"/>
      <c r="AV124" s="338" t="n"/>
      <c r="AW124" s="338" t="n"/>
      <c r="AX124" s="338" t="n"/>
      <c r="AY124" s="338" t="n"/>
      <c r="AZ124" s="338" t="n"/>
      <c r="BA124" s="338" t="n"/>
      <c r="BB124" s="338" t="n"/>
      <c r="BC124" s="338" t="n"/>
      <c r="BD124" s="338" t="n"/>
      <c r="BE124" s="338" t="n"/>
      <c r="BF124" s="338" t="n"/>
      <c r="BG124" s="338" t="n"/>
      <c r="BH124" s="338" t="n"/>
      <c r="BI124" s="338" t="n"/>
      <c r="BJ124" s="338" t="n"/>
      <c r="BK124" s="338" t="n"/>
      <c r="BL124" s="338" t="n"/>
      <c r="BM124" s="338" t="n"/>
      <c r="BN124" s="338" t="n"/>
      <c r="BO124" s="338" t="n"/>
      <c r="BP124" s="338" t="n"/>
      <c r="BQ124" s="338" t="n"/>
      <c r="BR124" s="338" t="n"/>
      <c r="BS124" s="338" t="n"/>
      <c r="BT124" s="338" t="n"/>
      <c r="BU124" s="338" t="n"/>
      <c r="BV124" s="338" t="n"/>
      <c r="BW124" s="338" t="n"/>
      <c r="BX124" s="338" t="n"/>
      <c r="BY124" s="338" t="n"/>
      <c r="BZ124" s="338" t="n"/>
      <c r="CA124" s="338" t="n"/>
      <c r="CB124" s="338" t="n"/>
      <c r="CC124" s="383" t="n"/>
      <c r="CF124" s="253" t="inlineStr">
        <is>
          <t>時間内</t>
        </is>
      </c>
      <c r="CG124" s="384" t="n"/>
      <c r="CH124" s="384" t="n"/>
      <c r="CI124" s="385" t="n"/>
      <c r="CJ124" s="386">
        <f>IF(Q123="作業者1",H126-H123,0)</f>
        <v/>
      </c>
      <c r="CK124" s="387" t="n"/>
      <c r="CL124" s="387" t="n"/>
      <c r="CM124" s="387" t="n"/>
      <c r="CN124" s="388" t="n"/>
      <c r="CP124" s="253" t="inlineStr">
        <is>
          <t>時間内</t>
        </is>
      </c>
      <c r="CQ124" s="384" t="n"/>
      <c r="CR124" s="384" t="n"/>
      <c r="CS124" s="385" t="n"/>
      <c r="CT124" s="386">
        <f>IF(Q123="作業者2",H126-H123,0)</f>
        <v/>
      </c>
      <c r="CU124" s="387" t="n"/>
      <c r="CV124" s="387" t="n"/>
      <c r="CW124" s="387" t="n"/>
      <c r="CX124" s="388" t="n"/>
      <c r="CZ124" s="253" t="inlineStr">
        <is>
          <t>時間内</t>
        </is>
      </c>
      <c r="DA124" s="384" t="n"/>
      <c r="DB124" s="384" t="n"/>
      <c r="DC124" s="385" t="n"/>
      <c r="DD124" s="386">
        <f>IF(Q123="作業者3",H126-H123,0)</f>
        <v/>
      </c>
      <c r="DE124" s="387" t="n"/>
      <c r="DF124" s="387" t="n"/>
      <c r="DG124" s="387" t="n"/>
      <c r="DH124" s="388" t="n"/>
      <c r="DJ124" s="253" t="inlineStr">
        <is>
          <t>時間内</t>
        </is>
      </c>
      <c r="DK124" s="384" t="n"/>
      <c r="DL124" s="384" t="n"/>
      <c r="DM124" s="385" t="n"/>
      <c r="DN124" s="386">
        <f>IF(Q123="作業者4",H126-H123,0)</f>
        <v/>
      </c>
      <c r="DO124" s="387" t="n"/>
      <c r="DP124" s="387" t="n"/>
      <c r="DQ124" s="387" t="n"/>
      <c r="DR124" s="388" t="n"/>
      <c r="DT124" s="253" t="inlineStr">
        <is>
          <t>時間内</t>
        </is>
      </c>
      <c r="DU124" s="384" t="n"/>
      <c r="DV124" s="384" t="n"/>
      <c r="DW124" s="385" t="n"/>
      <c r="DX124" s="386">
        <f>IF(Q123="作業者5",H126-H123,0)</f>
        <v/>
      </c>
      <c r="DY124" s="387" t="n"/>
      <c r="DZ124" s="387" t="n"/>
      <c r="EA124" s="387" t="n"/>
      <c r="EB124" s="388" t="n"/>
    </row>
    <row r="125" ht="9" customHeight="1" s="337">
      <c r="B125" s="350" t="n"/>
      <c r="C125" s="338" t="n"/>
      <c r="D125" s="380" t="n"/>
      <c r="E125" s="23" t="n"/>
      <c r="F125" s="338" t="n"/>
      <c r="G125" s="24" t="n"/>
      <c r="H125" s="23" t="n"/>
      <c r="I125" s="338" t="n"/>
      <c r="J125" s="24" t="n"/>
      <c r="K125" s="23" t="n"/>
      <c r="L125" s="338" t="n"/>
      <c r="M125" s="24" t="n"/>
      <c r="N125" s="23" t="n"/>
      <c r="O125" s="338" t="n"/>
      <c r="P125" s="24" t="n"/>
      <c r="Q125" s="382" t="n"/>
      <c r="R125" s="338" t="n"/>
      <c r="S125" s="380" t="n"/>
      <c r="T125" s="382" t="n"/>
      <c r="U125" s="338" t="n"/>
      <c r="V125" s="380" t="n"/>
      <c r="W125" s="382" t="n"/>
      <c r="X125" s="338" t="n"/>
      <c r="Y125" s="338" t="n"/>
      <c r="Z125" s="338" t="n"/>
      <c r="AA125" s="338" t="n"/>
      <c r="AB125" s="338" t="n"/>
      <c r="AC125" s="338" t="n"/>
      <c r="AD125" s="338" t="n"/>
      <c r="AE125" s="338" t="n"/>
      <c r="AF125" s="338" t="n"/>
      <c r="AG125" s="338" t="n"/>
      <c r="AH125" s="338" t="n"/>
      <c r="AI125" s="338" t="n"/>
      <c r="AJ125" s="338" t="n"/>
      <c r="AK125" s="338" t="n"/>
      <c r="AL125" s="338" t="n"/>
      <c r="AM125" s="338" t="n"/>
      <c r="AN125" s="338" t="n"/>
      <c r="AO125" s="338" t="n"/>
      <c r="AP125" s="338" t="n"/>
      <c r="AQ125" s="338" t="n"/>
      <c r="AR125" s="338" t="n"/>
      <c r="AS125" s="338" t="n"/>
      <c r="AT125" s="338" t="n"/>
      <c r="AU125" s="338" t="n"/>
      <c r="AV125" s="338" t="n"/>
      <c r="AW125" s="338" t="n"/>
      <c r="AX125" s="338" t="n"/>
      <c r="AY125" s="338" t="n"/>
      <c r="AZ125" s="338" t="n"/>
      <c r="BA125" s="338" t="n"/>
      <c r="BB125" s="338" t="n"/>
      <c r="BC125" s="338" t="n"/>
      <c r="BD125" s="338" t="n"/>
      <c r="BE125" s="338" t="n"/>
      <c r="BF125" s="338" t="n"/>
      <c r="BG125" s="338" t="n"/>
      <c r="BH125" s="338" t="n"/>
      <c r="BI125" s="338" t="n"/>
      <c r="BJ125" s="338" t="n"/>
      <c r="BK125" s="338" t="n"/>
      <c r="BL125" s="338" t="n"/>
      <c r="BM125" s="338" t="n"/>
      <c r="BN125" s="338" t="n"/>
      <c r="BO125" s="338" t="n"/>
      <c r="BP125" s="338" t="n"/>
      <c r="BQ125" s="338" t="n"/>
      <c r="BR125" s="338" t="n"/>
      <c r="BS125" s="338" t="n"/>
      <c r="BT125" s="338" t="n"/>
      <c r="BU125" s="338" t="n"/>
      <c r="BV125" s="338" t="n"/>
      <c r="BW125" s="338" t="n"/>
      <c r="BX125" s="338" t="n"/>
      <c r="BY125" s="338" t="n"/>
      <c r="BZ125" s="338" t="n"/>
      <c r="CA125" s="338" t="n"/>
      <c r="CB125" s="338" t="n"/>
      <c r="CC125" s="383" t="n"/>
      <c r="CF125" s="253" t="inlineStr">
        <is>
          <t>時間外</t>
        </is>
      </c>
      <c r="CG125" s="384" t="n"/>
      <c r="CH125" s="384" t="n"/>
      <c r="CI125" s="385" t="n"/>
      <c r="CJ125" s="386">
        <f>IF(Q123="作業者1",K126-K123,0)</f>
        <v/>
      </c>
      <c r="CK125" s="387" t="n"/>
      <c r="CL125" s="387" t="n"/>
      <c r="CM125" s="387" t="n"/>
      <c r="CN125" s="388" t="n"/>
      <c r="CP125" s="253" t="inlineStr">
        <is>
          <t>時間外</t>
        </is>
      </c>
      <c r="CQ125" s="384" t="n"/>
      <c r="CR125" s="384" t="n"/>
      <c r="CS125" s="385" t="n"/>
      <c r="CT125" s="386">
        <f>IF(Q123="作業者2",K126-K123,0)</f>
        <v/>
      </c>
      <c r="CU125" s="387" t="n"/>
      <c r="CV125" s="387" t="n"/>
      <c r="CW125" s="387" t="n"/>
      <c r="CX125" s="388" t="n"/>
      <c r="CZ125" s="253" t="inlineStr">
        <is>
          <t>時間外</t>
        </is>
      </c>
      <c r="DA125" s="384" t="n"/>
      <c r="DB125" s="384" t="n"/>
      <c r="DC125" s="385" t="n"/>
      <c r="DD125" s="386">
        <f>IF(Q123="作業者3",K126-K123,0)</f>
        <v/>
      </c>
      <c r="DE125" s="387" t="n"/>
      <c r="DF125" s="387" t="n"/>
      <c r="DG125" s="387" t="n"/>
      <c r="DH125" s="388" t="n"/>
      <c r="DJ125" s="253" t="inlineStr">
        <is>
          <t>時間外</t>
        </is>
      </c>
      <c r="DK125" s="384" t="n"/>
      <c r="DL125" s="384" t="n"/>
      <c r="DM125" s="385" t="n"/>
      <c r="DN125" s="386">
        <f>IF(Q123="作業者4",K126-K123,0)</f>
        <v/>
      </c>
      <c r="DO125" s="387" t="n"/>
      <c r="DP125" s="387" t="n"/>
      <c r="DQ125" s="387" t="n"/>
      <c r="DR125" s="388" t="n"/>
      <c r="DT125" s="253" t="inlineStr">
        <is>
          <t>時間外</t>
        </is>
      </c>
      <c r="DU125" s="384" t="n"/>
      <c r="DV125" s="384" t="n"/>
      <c r="DW125" s="385" t="n"/>
      <c r="DX125" s="386">
        <f>IF(Q123="作業者5",K126-K123,0)</f>
        <v/>
      </c>
      <c r="DY125" s="387" t="n"/>
      <c r="DZ125" s="387" t="n"/>
      <c r="EA125" s="387" t="n"/>
      <c r="EB125" s="388" t="n"/>
    </row>
    <row r="126" ht="9" customHeight="1" s="337">
      <c r="B126" s="389" t="n"/>
      <c r="C126" s="390" t="n"/>
      <c r="D126" s="391" t="n"/>
      <c r="E126" s="392" t="n"/>
      <c r="F126" s="390" t="n"/>
      <c r="G126" s="391" t="n"/>
      <c r="H126" s="392" t="n"/>
      <c r="I126" s="390" t="n"/>
      <c r="J126" s="391" t="n"/>
      <c r="K126" s="392" t="n"/>
      <c r="L126" s="390" t="n"/>
      <c r="M126" s="391" t="n"/>
      <c r="N126" s="392" t="n"/>
      <c r="O126" s="390" t="n"/>
      <c r="P126" s="391" t="n"/>
      <c r="Q126" s="393" t="n"/>
      <c r="R126" s="390" t="n"/>
      <c r="S126" s="391" t="n"/>
      <c r="T126" s="393" t="n"/>
      <c r="U126" s="390" t="n"/>
      <c r="V126" s="391" t="n"/>
      <c r="W126" s="393" t="n"/>
      <c r="X126" s="390" t="n"/>
      <c r="Y126" s="390" t="n"/>
      <c r="Z126" s="390" t="n"/>
      <c r="AA126" s="390" t="n"/>
      <c r="AB126" s="390" t="n"/>
      <c r="AC126" s="390" t="n"/>
      <c r="AD126" s="390" t="n"/>
      <c r="AE126" s="390" t="n"/>
      <c r="AF126" s="390" t="n"/>
      <c r="AG126" s="390" t="n"/>
      <c r="AH126" s="390" t="n"/>
      <c r="AI126" s="390" t="n"/>
      <c r="AJ126" s="390" t="n"/>
      <c r="AK126" s="390" t="n"/>
      <c r="AL126" s="390" t="n"/>
      <c r="AM126" s="390" t="n"/>
      <c r="AN126" s="390" t="n"/>
      <c r="AO126" s="390" t="n"/>
      <c r="AP126" s="390" t="n"/>
      <c r="AQ126" s="390" t="n"/>
      <c r="AR126" s="390" t="n"/>
      <c r="AS126" s="390" t="n"/>
      <c r="AT126" s="390" t="n"/>
      <c r="AU126" s="390" t="n"/>
      <c r="AV126" s="390" t="n"/>
      <c r="AW126" s="390" t="n"/>
      <c r="AX126" s="390" t="n"/>
      <c r="AY126" s="390" t="n"/>
      <c r="AZ126" s="390" t="n"/>
      <c r="BA126" s="390" t="n"/>
      <c r="BB126" s="390" t="n"/>
      <c r="BC126" s="390" t="n"/>
      <c r="BD126" s="390" t="n"/>
      <c r="BE126" s="390" t="n"/>
      <c r="BF126" s="390" t="n"/>
      <c r="BG126" s="390" t="n"/>
      <c r="BH126" s="390" t="n"/>
      <c r="BI126" s="390" t="n"/>
      <c r="BJ126" s="390" t="n"/>
      <c r="BK126" s="390" t="n"/>
      <c r="BL126" s="390" t="n"/>
      <c r="BM126" s="390" t="n"/>
      <c r="BN126" s="390" t="n"/>
      <c r="BO126" s="390" t="n"/>
      <c r="BP126" s="390" t="n"/>
      <c r="BQ126" s="390" t="n"/>
      <c r="BR126" s="390" t="n"/>
      <c r="BS126" s="390" t="n"/>
      <c r="BT126" s="390" t="n"/>
      <c r="BU126" s="390" t="n"/>
      <c r="BV126" s="390" t="n"/>
      <c r="BW126" s="390" t="n"/>
      <c r="BX126" s="390" t="n"/>
      <c r="BY126" s="390" t="n"/>
      <c r="BZ126" s="390" t="n"/>
      <c r="CA126" s="390" t="n"/>
      <c r="CB126" s="390" t="n"/>
      <c r="CC126" s="394" t="n"/>
      <c r="CF126" s="254" t="inlineStr">
        <is>
          <t>休日</t>
        </is>
      </c>
      <c r="CG126" s="395" t="n"/>
      <c r="CH126" s="395" t="n"/>
      <c r="CI126" s="396" t="n"/>
      <c r="CJ126" s="397">
        <f>IF(Q123="作業者1",N126-N123,0)</f>
        <v/>
      </c>
      <c r="CK126" s="395" t="n"/>
      <c r="CL126" s="395" t="n"/>
      <c r="CM126" s="395" t="n"/>
      <c r="CN126" s="396" t="n"/>
      <c r="CP126" s="254" t="inlineStr">
        <is>
          <t>休日</t>
        </is>
      </c>
      <c r="CQ126" s="395" t="n"/>
      <c r="CR126" s="395" t="n"/>
      <c r="CS126" s="396" t="n"/>
      <c r="CT126" s="397">
        <f>IF(Q123="作業者2",N126-N123,0)</f>
        <v/>
      </c>
      <c r="CU126" s="395" t="n"/>
      <c r="CV126" s="395" t="n"/>
      <c r="CW126" s="395" t="n"/>
      <c r="CX126" s="396" t="n"/>
      <c r="CZ126" s="254" t="inlineStr">
        <is>
          <t>休日</t>
        </is>
      </c>
      <c r="DA126" s="395" t="n"/>
      <c r="DB126" s="395" t="n"/>
      <c r="DC126" s="396" t="n"/>
      <c r="DD126" s="397">
        <f>IF(Q123="作業者3",N126-N123,0)</f>
        <v/>
      </c>
      <c r="DE126" s="395" t="n"/>
      <c r="DF126" s="395" t="n"/>
      <c r="DG126" s="395" t="n"/>
      <c r="DH126" s="396" t="n"/>
      <c r="DJ126" s="254" t="inlineStr">
        <is>
          <t>休日</t>
        </is>
      </c>
      <c r="DK126" s="395" t="n"/>
      <c r="DL126" s="395" t="n"/>
      <c r="DM126" s="396" t="n"/>
      <c r="DN126" s="397">
        <f>IF(Q123="作業者4",N126-N123,0)</f>
        <v/>
      </c>
      <c r="DO126" s="395" t="n"/>
      <c r="DP126" s="395" t="n"/>
      <c r="DQ126" s="395" t="n"/>
      <c r="DR126" s="396" t="n"/>
      <c r="DT126" s="254" t="inlineStr">
        <is>
          <t>休日</t>
        </is>
      </c>
      <c r="DU126" s="395" t="n"/>
      <c r="DV126" s="395" t="n"/>
      <c r="DW126" s="396" t="n"/>
      <c r="DX126" s="397">
        <f>IF(Q123="作業者5",N126-N123,0)</f>
        <v/>
      </c>
      <c r="DY126" s="395" t="n"/>
      <c r="DZ126" s="395" t="n"/>
      <c r="EA126" s="395" t="n"/>
      <c r="EB126" s="396" t="n"/>
    </row>
    <row r="127" ht="9" customHeight="1" s="337">
      <c r="B127" s="398" t="n"/>
      <c r="C127" s="372" t="n"/>
      <c r="D127" s="373" t="n"/>
      <c r="E127" s="399" t="n"/>
      <c r="F127" s="372" t="n"/>
      <c r="G127" s="373" t="n"/>
      <c r="H127" s="399" t="n"/>
      <c r="I127" s="372" t="n"/>
      <c r="J127" s="373" t="n"/>
      <c r="K127" s="399" t="n"/>
      <c r="L127" s="372" t="n"/>
      <c r="M127" s="373" t="n"/>
      <c r="N127" s="399" t="n"/>
      <c r="O127" s="372" t="n"/>
      <c r="P127" s="373" t="n"/>
      <c r="Q127" s="371" t="n"/>
      <c r="R127" s="372" t="n"/>
      <c r="S127" s="373" t="n"/>
      <c r="T127" s="371" t="n"/>
      <c r="U127" s="372" t="n"/>
      <c r="V127" s="373" t="n"/>
      <c r="W127" s="443" t="n"/>
      <c r="X127" s="372" t="n"/>
      <c r="Y127" s="372" t="n"/>
      <c r="Z127" s="372" t="n"/>
      <c r="AA127" s="372" t="n"/>
      <c r="AB127" s="372" t="n"/>
      <c r="AC127" s="372" t="n"/>
      <c r="AD127" s="372" t="n"/>
      <c r="AE127" s="372" t="n"/>
      <c r="AF127" s="372" t="n"/>
      <c r="AG127" s="372" t="n"/>
      <c r="AH127" s="372" t="n"/>
      <c r="AI127" s="372" t="n"/>
      <c r="AJ127" s="372" t="n"/>
      <c r="AK127" s="372" t="n"/>
      <c r="AL127" s="372" t="n"/>
      <c r="AM127" s="372" t="n"/>
      <c r="AN127" s="372" t="n"/>
      <c r="AO127" s="372" t="n"/>
      <c r="AP127" s="372" t="n"/>
      <c r="AQ127" s="372" t="n"/>
      <c r="AR127" s="372" t="n"/>
      <c r="AS127" s="372" t="n"/>
      <c r="AT127" s="372" t="n"/>
      <c r="AU127" s="372" t="n"/>
      <c r="AV127" s="372" t="n"/>
      <c r="AW127" s="372" t="n"/>
      <c r="AX127" s="372" t="n"/>
      <c r="AY127" s="372" t="n"/>
      <c r="AZ127" s="372" t="n"/>
      <c r="BA127" s="372" t="n"/>
      <c r="BB127" s="372" t="n"/>
      <c r="BC127" s="372" t="n"/>
      <c r="BD127" s="372" t="n"/>
      <c r="BE127" s="372" t="n"/>
      <c r="BF127" s="372" t="n"/>
      <c r="BG127" s="372" t="n"/>
      <c r="BH127" s="372" t="n"/>
      <c r="BI127" s="372" t="n"/>
      <c r="BJ127" s="372" t="n"/>
      <c r="BK127" s="372" t="n"/>
      <c r="BL127" s="372" t="n"/>
      <c r="BM127" s="372" t="n"/>
      <c r="BN127" s="372" t="n"/>
      <c r="BO127" s="372" t="n"/>
      <c r="BP127" s="372" t="n"/>
      <c r="BQ127" s="372" t="n"/>
      <c r="BR127" s="372" t="n"/>
      <c r="BS127" s="372" t="n"/>
      <c r="BT127" s="372" t="n"/>
      <c r="BU127" s="372" t="n"/>
      <c r="BV127" s="372" t="n"/>
      <c r="BW127" s="372" t="n"/>
      <c r="BX127" s="372" t="n"/>
      <c r="BY127" s="372" t="n"/>
      <c r="BZ127" s="372" t="n"/>
      <c r="CA127" s="372" t="n"/>
      <c r="CB127" s="372" t="n"/>
      <c r="CC127" s="402" t="n"/>
      <c r="CF127" s="248" t="inlineStr">
        <is>
          <t>移動</t>
        </is>
      </c>
      <c r="CG127" s="377" t="n"/>
      <c r="CH127" s="377" t="n"/>
      <c r="CI127" s="378" t="n"/>
      <c r="CJ127" s="379">
        <f>IF(Q127="作業者1",E130-E127,0)</f>
        <v/>
      </c>
      <c r="CK127" s="377" t="n"/>
      <c r="CL127" s="377" t="n"/>
      <c r="CM127" s="377" t="n"/>
      <c r="CN127" s="378" t="n"/>
      <c r="CP127" s="248" t="inlineStr">
        <is>
          <t>移動</t>
        </is>
      </c>
      <c r="CQ127" s="377" t="n"/>
      <c r="CR127" s="377" t="n"/>
      <c r="CS127" s="378" t="n"/>
      <c r="CT127" s="379">
        <f>IF(Q127="作業者2",E130-E127,0)</f>
        <v/>
      </c>
      <c r="CU127" s="377" t="n"/>
      <c r="CV127" s="377" t="n"/>
      <c r="CW127" s="377" t="n"/>
      <c r="CX127" s="378" t="n"/>
      <c r="CZ127" s="248" t="inlineStr">
        <is>
          <t>移動</t>
        </is>
      </c>
      <c r="DA127" s="377" t="n"/>
      <c r="DB127" s="377" t="n"/>
      <c r="DC127" s="378" t="n"/>
      <c r="DD127" s="379">
        <f>IF(Q127="作業者3",E130-E127,0)</f>
        <v/>
      </c>
      <c r="DE127" s="377" t="n"/>
      <c r="DF127" s="377" t="n"/>
      <c r="DG127" s="377" t="n"/>
      <c r="DH127" s="378" t="n"/>
      <c r="DJ127" s="248" t="inlineStr">
        <is>
          <t>移動</t>
        </is>
      </c>
      <c r="DK127" s="377" t="n"/>
      <c r="DL127" s="377" t="n"/>
      <c r="DM127" s="378" t="n"/>
      <c r="DN127" s="379">
        <f>IF(Q127="作業者4",E130-E127,0)</f>
        <v/>
      </c>
      <c r="DO127" s="377" t="n"/>
      <c r="DP127" s="377" t="n"/>
      <c r="DQ127" s="377" t="n"/>
      <c r="DR127" s="378" t="n"/>
      <c r="DT127" s="259" t="inlineStr">
        <is>
          <t>移動</t>
        </is>
      </c>
      <c r="DU127" s="403" t="n"/>
      <c r="DV127" s="403" t="n"/>
      <c r="DW127" s="404" t="n"/>
      <c r="DX127" s="379">
        <f>IF(Q127="作業者5",E130-E127,0)</f>
        <v/>
      </c>
      <c r="DY127" s="377" t="n"/>
      <c r="DZ127" s="377" t="n"/>
      <c r="EA127" s="377" t="n"/>
      <c r="EB127" s="378" t="n"/>
    </row>
    <row r="128" ht="9" customHeight="1" s="337">
      <c r="B128" s="350" t="n"/>
      <c r="C128" s="338" t="n"/>
      <c r="D128" s="380" t="n"/>
      <c r="E128" s="381" t="n"/>
      <c r="F128" s="122" t="inlineStr">
        <is>
          <t>～</t>
        </is>
      </c>
      <c r="G128" s="22" t="n"/>
      <c r="H128" s="381" t="n"/>
      <c r="I128" s="122" t="inlineStr">
        <is>
          <t>～</t>
        </is>
      </c>
      <c r="J128" s="22" t="n"/>
      <c r="K128" s="381" t="n"/>
      <c r="L128" s="122" t="inlineStr">
        <is>
          <t>～</t>
        </is>
      </c>
      <c r="M128" s="22" t="n"/>
      <c r="N128" s="381" t="n"/>
      <c r="O128" s="122" t="inlineStr">
        <is>
          <t>～</t>
        </is>
      </c>
      <c r="P128" s="22" t="n"/>
      <c r="Q128" s="382" t="n"/>
      <c r="R128" s="338" t="n"/>
      <c r="S128" s="380" t="n"/>
      <c r="T128" s="382" t="n"/>
      <c r="U128" s="338" t="n"/>
      <c r="V128" s="380" t="n"/>
      <c r="W128" s="382" t="n"/>
      <c r="X128" s="338" t="n"/>
      <c r="Y128" s="338" t="n"/>
      <c r="Z128" s="338" t="n"/>
      <c r="AA128" s="338" t="n"/>
      <c r="AB128" s="338" t="n"/>
      <c r="AC128" s="338" t="n"/>
      <c r="AD128" s="338" t="n"/>
      <c r="AE128" s="338" t="n"/>
      <c r="AF128" s="338" t="n"/>
      <c r="AG128" s="338" t="n"/>
      <c r="AH128" s="338" t="n"/>
      <c r="AI128" s="338" t="n"/>
      <c r="AJ128" s="338" t="n"/>
      <c r="AK128" s="338" t="n"/>
      <c r="AL128" s="338" t="n"/>
      <c r="AM128" s="338" t="n"/>
      <c r="AN128" s="338" t="n"/>
      <c r="AO128" s="338" t="n"/>
      <c r="AP128" s="338" t="n"/>
      <c r="AQ128" s="338" t="n"/>
      <c r="AR128" s="338" t="n"/>
      <c r="AS128" s="338" t="n"/>
      <c r="AT128" s="338" t="n"/>
      <c r="AU128" s="338" t="n"/>
      <c r="AV128" s="338" t="n"/>
      <c r="AW128" s="338" t="n"/>
      <c r="AX128" s="338" t="n"/>
      <c r="AY128" s="338" t="n"/>
      <c r="AZ128" s="338" t="n"/>
      <c r="BA128" s="338" t="n"/>
      <c r="BB128" s="338" t="n"/>
      <c r="BC128" s="338" t="n"/>
      <c r="BD128" s="338" t="n"/>
      <c r="BE128" s="338" t="n"/>
      <c r="BF128" s="338" t="n"/>
      <c r="BG128" s="338" t="n"/>
      <c r="BH128" s="338" t="n"/>
      <c r="BI128" s="338" t="n"/>
      <c r="BJ128" s="338" t="n"/>
      <c r="BK128" s="338" t="n"/>
      <c r="BL128" s="338" t="n"/>
      <c r="BM128" s="338" t="n"/>
      <c r="BN128" s="338" t="n"/>
      <c r="BO128" s="338" t="n"/>
      <c r="BP128" s="338" t="n"/>
      <c r="BQ128" s="338" t="n"/>
      <c r="BR128" s="338" t="n"/>
      <c r="BS128" s="338" t="n"/>
      <c r="BT128" s="338" t="n"/>
      <c r="BU128" s="338" t="n"/>
      <c r="BV128" s="338" t="n"/>
      <c r="BW128" s="338" t="n"/>
      <c r="BX128" s="338" t="n"/>
      <c r="BY128" s="338" t="n"/>
      <c r="BZ128" s="338" t="n"/>
      <c r="CA128" s="338" t="n"/>
      <c r="CB128" s="338" t="n"/>
      <c r="CC128" s="383" t="n"/>
      <c r="CF128" s="253" t="inlineStr">
        <is>
          <t>時間内</t>
        </is>
      </c>
      <c r="CG128" s="384" t="n"/>
      <c r="CH128" s="384" t="n"/>
      <c r="CI128" s="385" t="n"/>
      <c r="CJ128" s="386">
        <f>IF(Q127="作業者1",H130-H127,0)</f>
        <v/>
      </c>
      <c r="CK128" s="387" t="n"/>
      <c r="CL128" s="387" t="n"/>
      <c r="CM128" s="387" t="n"/>
      <c r="CN128" s="388" t="n"/>
      <c r="CP128" s="253" t="inlineStr">
        <is>
          <t>時間内</t>
        </is>
      </c>
      <c r="CQ128" s="384" t="n"/>
      <c r="CR128" s="384" t="n"/>
      <c r="CS128" s="385" t="n"/>
      <c r="CT128" s="386">
        <f>IF(Q127="作業者2",H130-H127,0)</f>
        <v/>
      </c>
      <c r="CU128" s="387" t="n"/>
      <c r="CV128" s="387" t="n"/>
      <c r="CW128" s="387" t="n"/>
      <c r="CX128" s="388" t="n"/>
      <c r="CZ128" s="253" t="inlineStr">
        <is>
          <t>時間内</t>
        </is>
      </c>
      <c r="DA128" s="384" t="n"/>
      <c r="DB128" s="384" t="n"/>
      <c r="DC128" s="385" t="n"/>
      <c r="DD128" s="386">
        <f>IF(Q127="作業者3",H130-H127,0)</f>
        <v/>
      </c>
      <c r="DE128" s="387" t="n"/>
      <c r="DF128" s="387" t="n"/>
      <c r="DG128" s="387" t="n"/>
      <c r="DH128" s="388" t="n"/>
      <c r="DJ128" s="253" t="inlineStr">
        <is>
          <t>時間内</t>
        </is>
      </c>
      <c r="DK128" s="384" t="n"/>
      <c r="DL128" s="384" t="n"/>
      <c r="DM128" s="385" t="n"/>
      <c r="DN128" s="386">
        <f>IF(Q127="作業者4",H130-H127,0)</f>
        <v/>
      </c>
      <c r="DO128" s="387" t="n"/>
      <c r="DP128" s="387" t="n"/>
      <c r="DQ128" s="387" t="n"/>
      <c r="DR128" s="388" t="n"/>
      <c r="DT128" s="253" t="inlineStr">
        <is>
          <t>時間内</t>
        </is>
      </c>
      <c r="DU128" s="384" t="n"/>
      <c r="DV128" s="384" t="n"/>
      <c r="DW128" s="385" t="n"/>
      <c r="DX128" s="386">
        <f>IF(Q127="作業者5",H130-H127,0)</f>
        <v/>
      </c>
      <c r="DY128" s="387" t="n"/>
      <c r="DZ128" s="387" t="n"/>
      <c r="EA128" s="387" t="n"/>
      <c r="EB128" s="388" t="n"/>
    </row>
    <row r="129" ht="9" customHeight="1" s="337">
      <c r="B129" s="350" t="n"/>
      <c r="C129" s="338" t="n"/>
      <c r="D129" s="380" t="n"/>
      <c r="E129" s="23" t="n"/>
      <c r="F129" s="338" t="n"/>
      <c r="G129" s="24" t="n"/>
      <c r="H129" s="23" t="n"/>
      <c r="I129" s="338" t="n"/>
      <c r="J129" s="24" t="n"/>
      <c r="K129" s="23" t="n"/>
      <c r="L129" s="338" t="n"/>
      <c r="M129" s="24" t="n"/>
      <c r="N129" s="23" t="n"/>
      <c r="O129" s="338" t="n"/>
      <c r="P129" s="24" t="n"/>
      <c r="Q129" s="382" t="n"/>
      <c r="R129" s="338" t="n"/>
      <c r="S129" s="380" t="n"/>
      <c r="T129" s="382" t="n"/>
      <c r="U129" s="338" t="n"/>
      <c r="V129" s="380" t="n"/>
      <c r="W129" s="382" t="n"/>
      <c r="X129" s="338" t="n"/>
      <c r="Y129" s="338" t="n"/>
      <c r="Z129" s="338" t="n"/>
      <c r="AA129" s="338" t="n"/>
      <c r="AB129" s="338" t="n"/>
      <c r="AC129" s="338" t="n"/>
      <c r="AD129" s="338" t="n"/>
      <c r="AE129" s="338" t="n"/>
      <c r="AF129" s="338" t="n"/>
      <c r="AG129" s="338" t="n"/>
      <c r="AH129" s="338" t="n"/>
      <c r="AI129" s="338" t="n"/>
      <c r="AJ129" s="338" t="n"/>
      <c r="AK129" s="338" t="n"/>
      <c r="AL129" s="338" t="n"/>
      <c r="AM129" s="338" t="n"/>
      <c r="AN129" s="338" t="n"/>
      <c r="AO129" s="338" t="n"/>
      <c r="AP129" s="338" t="n"/>
      <c r="AQ129" s="338" t="n"/>
      <c r="AR129" s="338" t="n"/>
      <c r="AS129" s="338" t="n"/>
      <c r="AT129" s="338" t="n"/>
      <c r="AU129" s="338" t="n"/>
      <c r="AV129" s="338" t="n"/>
      <c r="AW129" s="338" t="n"/>
      <c r="AX129" s="338" t="n"/>
      <c r="AY129" s="338" t="n"/>
      <c r="AZ129" s="338" t="n"/>
      <c r="BA129" s="338" t="n"/>
      <c r="BB129" s="338" t="n"/>
      <c r="BC129" s="338" t="n"/>
      <c r="BD129" s="338" t="n"/>
      <c r="BE129" s="338" t="n"/>
      <c r="BF129" s="338" t="n"/>
      <c r="BG129" s="338" t="n"/>
      <c r="BH129" s="338" t="n"/>
      <c r="BI129" s="338" t="n"/>
      <c r="BJ129" s="338" t="n"/>
      <c r="BK129" s="338" t="n"/>
      <c r="BL129" s="338" t="n"/>
      <c r="BM129" s="338" t="n"/>
      <c r="BN129" s="338" t="n"/>
      <c r="BO129" s="338" t="n"/>
      <c r="BP129" s="338" t="n"/>
      <c r="BQ129" s="338" t="n"/>
      <c r="BR129" s="338" t="n"/>
      <c r="BS129" s="338" t="n"/>
      <c r="BT129" s="338" t="n"/>
      <c r="BU129" s="338" t="n"/>
      <c r="BV129" s="338" t="n"/>
      <c r="BW129" s="338" t="n"/>
      <c r="BX129" s="338" t="n"/>
      <c r="BY129" s="338" t="n"/>
      <c r="BZ129" s="338" t="n"/>
      <c r="CA129" s="338" t="n"/>
      <c r="CB129" s="338" t="n"/>
      <c r="CC129" s="383" t="n"/>
      <c r="CF129" s="253" t="inlineStr">
        <is>
          <t>時間外</t>
        </is>
      </c>
      <c r="CG129" s="384" t="n"/>
      <c r="CH129" s="384" t="n"/>
      <c r="CI129" s="385" t="n"/>
      <c r="CJ129" s="386">
        <f>IF(Q127="作業者1",K130-K127,0)</f>
        <v/>
      </c>
      <c r="CK129" s="387" t="n"/>
      <c r="CL129" s="387" t="n"/>
      <c r="CM129" s="387" t="n"/>
      <c r="CN129" s="388" t="n"/>
      <c r="CP129" s="253" t="inlineStr">
        <is>
          <t>時間外</t>
        </is>
      </c>
      <c r="CQ129" s="384" t="n"/>
      <c r="CR129" s="384" t="n"/>
      <c r="CS129" s="385" t="n"/>
      <c r="CT129" s="386">
        <f>IF(Q127="作業者2",K130-K127,0)</f>
        <v/>
      </c>
      <c r="CU129" s="387" t="n"/>
      <c r="CV129" s="387" t="n"/>
      <c r="CW129" s="387" t="n"/>
      <c r="CX129" s="388" t="n"/>
      <c r="CZ129" s="253" t="inlineStr">
        <is>
          <t>時間外</t>
        </is>
      </c>
      <c r="DA129" s="384" t="n"/>
      <c r="DB129" s="384" t="n"/>
      <c r="DC129" s="385" t="n"/>
      <c r="DD129" s="386">
        <f>IF(Q127="作業者3",K130-K127,0)</f>
        <v/>
      </c>
      <c r="DE129" s="387" t="n"/>
      <c r="DF129" s="387" t="n"/>
      <c r="DG129" s="387" t="n"/>
      <c r="DH129" s="388" t="n"/>
      <c r="DJ129" s="253" t="inlineStr">
        <is>
          <t>時間外</t>
        </is>
      </c>
      <c r="DK129" s="384" t="n"/>
      <c r="DL129" s="384" t="n"/>
      <c r="DM129" s="385" t="n"/>
      <c r="DN129" s="386">
        <f>IF(Q127="作業者4",K130-K127,0)</f>
        <v/>
      </c>
      <c r="DO129" s="387" t="n"/>
      <c r="DP129" s="387" t="n"/>
      <c r="DQ129" s="387" t="n"/>
      <c r="DR129" s="388" t="n"/>
      <c r="DT129" s="253" t="inlineStr">
        <is>
          <t>時間外</t>
        </is>
      </c>
      <c r="DU129" s="384" t="n"/>
      <c r="DV129" s="384" t="n"/>
      <c r="DW129" s="385" t="n"/>
      <c r="DX129" s="386">
        <f>IF(Q127="作業者5",K130-K127,0)</f>
        <v/>
      </c>
      <c r="DY129" s="387" t="n"/>
      <c r="DZ129" s="387" t="n"/>
      <c r="EA129" s="387" t="n"/>
      <c r="EB129" s="388" t="n"/>
    </row>
    <row r="130" ht="9" customHeight="1" s="337">
      <c r="B130" s="389" t="n"/>
      <c r="C130" s="390" t="n"/>
      <c r="D130" s="391" t="n"/>
      <c r="E130" s="392" t="n"/>
      <c r="F130" s="390" t="n"/>
      <c r="G130" s="391" t="n"/>
      <c r="H130" s="392" t="n"/>
      <c r="I130" s="390" t="n"/>
      <c r="J130" s="391" t="n"/>
      <c r="K130" s="392" t="n"/>
      <c r="L130" s="390" t="n"/>
      <c r="M130" s="391" t="n"/>
      <c r="N130" s="392" t="n"/>
      <c r="O130" s="390" t="n"/>
      <c r="P130" s="391" t="n"/>
      <c r="Q130" s="393" t="n"/>
      <c r="R130" s="390" t="n"/>
      <c r="S130" s="391" t="n"/>
      <c r="T130" s="393" t="n"/>
      <c r="U130" s="390" t="n"/>
      <c r="V130" s="391" t="n"/>
      <c r="W130" s="393" t="n"/>
      <c r="X130" s="390" t="n"/>
      <c r="Y130" s="390" t="n"/>
      <c r="Z130" s="390" t="n"/>
      <c r="AA130" s="390" t="n"/>
      <c r="AB130" s="390" t="n"/>
      <c r="AC130" s="390" t="n"/>
      <c r="AD130" s="390" t="n"/>
      <c r="AE130" s="390" t="n"/>
      <c r="AF130" s="390" t="n"/>
      <c r="AG130" s="390" t="n"/>
      <c r="AH130" s="390" t="n"/>
      <c r="AI130" s="390" t="n"/>
      <c r="AJ130" s="390" t="n"/>
      <c r="AK130" s="390" t="n"/>
      <c r="AL130" s="390" t="n"/>
      <c r="AM130" s="390" t="n"/>
      <c r="AN130" s="390" t="n"/>
      <c r="AO130" s="390" t="n"/>
      <c r="AP130" s="390" t="n"/>
      <c r="AQ130" s="390" t="n"/>
      <c r="AR130" s="390" t="n"/>
      <c r="AS130" s="390" t="n"/>
      <c r="AT130" s="390" t="n"/>
      <c r="AU130" s="390" t="n"/>
      <c r="AV130" s="390" t="n"/>
      <c r="AW130" s="390" t="n"/>
      <c r="AX130" s="390" t="n"/>
      <c r="AY130" s="390" t="n"/>
      <c r="AZ130" s="390" t="n"/>
      <c r="BA130" s="390" t="n"/>
      <c r="BB130" s="390" t="n"/>
      <c r="BC130" s="390" t="n"/>
      <c r="BD130" s="390" t="n"/>
      <c r="BE130" s="390" t="n"/>
      <c r="BF130" s="390" t="n"/>
      <c r="BG130" s="390" t="n"/>
      <c r="BH130" s="390" t="n"/>
      <c r="BI130" s="390" t="n"/>
      <c r="BJ130" s="390" t="n"/>
      <c r="BK130" s="390" t="n"/>
      <c r="BL130" s="390" t="n"/>
      <c r="BM130" s="390" t="n"/>
      <c r="BN130" s="390" t="n"/>
      <c r="BO130" s="390" t="n"/>
      <c r="BP130" s="390" t="n"/>
      <c r="BQ130" s="390" t="n"/>
      <c r="BR130" s="390" t="n"/>
      <c r="BS130" s="390" t="n"/>
      <c r="BT130" s="390" t="n"/>
      <c r="BU130" s="390" t="n"/>
      <c r="BV130" s="390" t="n"/>
      <c r="BW130" s="390" t="n"/>
      <c r="BX130" s="390" t="n"/>
      <c r="BY130" s="390" t="n"/>
      <c r="BZ130" s="390" t="n"/>
      <c r="CA130" s="390" t="n"/>
      <c r="CB130" s="390" t="n"/>
      <c r="CC130" s="394" t="n"/>
      <c r="CF130" s="254" t="inlineStr">
        <is>
          <t>休日</t>
        </is>
      </c>
      <c r="CG130" s="395" t="n"/>
      <c r="CH130" s="395" t="n"/>
      <c r="CI130" s="396" t="n"/>
      <c r="CJ130" s="386">
        <f>IF(Q127="作業者1",N130-N127,0)</f>
        <v/>
      </c>
      <c r="CK130" s="387" t="n"/>
      <c r="CL130" s="387" t="n"/>
      <c r="CM130" s="387" t="n"/>
      <c r="CN130" s="388" t="n"/>
      <c r="CP130" s="253" t="inlineStr">
        <is>
          <t>休日</t>
        </is>
      </c>
      <c r="CQ130" s="384" t="n"/>
      <c r="CR130" s="384" t="n"/>
      <c r="CS130" s="385" t="n"/>
      <c r="CT130" s="386">
        <f>IF(Q127="作業者2",N130-N127,0)</f>
        <v/>
      </c>
      <c r="CU130" s="387" t="n"/>
      <c r="CV130" s="387" t="n"/>
      <c r="CW130" s="387" t="n"/>
      <c r="CX130" s="388" t="n"/>
      <c r="CZ130" s="254" t="inlineStr">
        <is>
          <t>休日</t>
        </is>
      </c>
      <c r="DA130" s="395" t="n"/>
      <c r="DB130" s="395" t="n"/>
      <c r="DC130" s="396" t="n"/>
      <c r="DD130" s="397">
        <f>IF(Q127="作業者3",N130-N127,0)</f>
        <v/>
      </c>
      <c r="DE130" s="395" t="n"/>
      <c r="DF130" s="395" t="n"/>
      <c r="DG130" s="395" t="n"/>
      <c r="DH130" s="396" t="n"/>
      <c r="DJ130" s="254" t="inlineStr">
        <is>
          <t>休日</t>
        </is>
      </c>
      <c r="DK130" s="395" t="n"/>
      <c r="DL130" s="395" t="n"/>
      <c r="DM130" s="396" t="n"/>
      <c r="DN130" s="397">
        <f>IF(Q127="作業者4",N130-N127,0)</f>
        <v/>
      </c>
      <c r="DO130" s="395" t="n"/>
      <c r="DP130" s="395" t="n"/>
      <c r="DQ130" s="395" t="n"/>
      <c r="DR130" s="396" t="n"/>
      <c r="DT130" s="254" t="inlineStr">
        <is>
          <t>休日</t>
        </is>
      </c>
      <c r="DU130" s="395" t="n"/>
      <c r="DV130" s="395" t="n"/>
      <c r="DW130" s="396" t="n"/>
      <c r="DX130" s="397">
        <f>IF(Q127="作業者5",N130-N127,0)</f>
        <v/>
      </c>
      <c r="DY130" s="395" t="n"/>
      <c r="DZ130" s="395" t="n"/>
      <c r="EA130" s="395" t="n"/>
      <c r="EB130" s="396" t="n"/>
    </row>
    <row r="131" ht="9" customHeight="1" s="337">
      <c r="B131" s="410" t="n"/>
      <c r="C131" s="372" t="n"/>
      <c r="D131" s="373" t="n"/>
      <c r="E131" s="399" t="n"/>
      <c r="F131" s="372" t="n"/>
      <c r="G131" s="373" t="n"/>
      <c r="H131" s="399" t="n"/>
      <c r="I131" s="372" t="n"/>
      <c r="J131" s="373" t="n"/>
      <c r="K131" s="399" t="n"/>
      <c r="L131" s="372" t="n"/>
      <c r="M131" s="373" t="n"/>
      <c r="N131" s="399" t="n"/>
      <c r="O131" s="372" t="n"/>
      <c r="P131" s="373" t="n"/>
      <c r="Q131" s="444" t="n"/>
      <c r="R131" s="372" t="n"/>
      <c r="S131" s="445" t="n"/>
      <c r="T131" s="411" t="n"/>
      <c r="U131" s="372" t="n"/>
      <c r="V131" s="373" t="n"/>
      <c r="W131" s="443" t="n"/>
      <c r="X131" s="372" t="n"/>
      <c r="Y131" s="372" t="n"/>
      <c r="Z131" s="372" t="n"/>
      <c r="AA131" s="372" t="n"/>
      <c r="AB131" s="372" t="n"/>
      <c r="AC131" s="372" t="n"/>
      <c r="AD131" s="372" t="n"/>
      <c r="AE131" s="372" t="n"/>
      <c r="AF131" s="372" t="n"/>
      <c r="AG131" s="372" t="n"/>
      <c r="AH131" s="372" t="n"/>
      <c r="AI131" s="372" t="n"/>
      <c r="AJ131" s="372" t="n"/>
      <c r="AK131" s="372" t="n"/>
      <c r="AL131" s="372" t="n"/>
      <c r="AM131" s="372" t="n"/>
      <c r="AN131" s="372" t="n"/>
      <c r="AO131" s="372" t="n"/>
      <c r="AP131" s="372" t="n"/>
      <c r="AQ131" s="372" t="n"/>
      <c r="AR131" s="372" t="n"/>
      <c r="AS131" s="372" t="n"/>
      <c r="AT131" s="372" t="n"/>
      <c r="AU131" s="372" t="n"/>
      <c r="AV131" s="372" t="n"/>
      <c r="AW131" s="372" t="n"/>
      <c r="AX131" s="372" t="n"/>
      <c r="AY131" s="372" t="n"/>
      <c r="AZ131" s="372" t="n"/>
      <c r="BA131" s="372" t="n"/>
      <c r="BB131" s="372" t="n"/>
      <c r="BC131" s="372" t="n"/>
      <c r="BD131" s="372" t="n"/>
      <c r="BE131" s="372" t="n"/>
      <c r="BF131" s="372" t="n"/>
      <c r="BG131" s="372" t="n"/>
      <c r="BH131" s="372" t="n"/>
      <c r="BI131" s="372" t="n"/>
      <c r="BJ131" s="372" t="n"/>
      <c r="BK131" s="372" t="n"/>
      <c r="BL131" s="372" t="n"/>
      <c r="BM131" s="372" t="n"/>
      <c r="BN131" s="372" t="n"/>
      <c r="BO131" s="372" t="n"/>
      <c r="BP131" s="372" t="n"/>
      <c r="BQ131" s="372" t="n"/>
      <c r="BR131" s="372" t="n"/>
      <c r="BS131" s="372" t="n"/>
      <c r="BT131" s="372" t="n"/>
      <c r="BU131" s="372" t="n"/>
      <c r="BV131" s="372" t="n"/>
      <c r="BW131" s="372" t="n"/>
      <c r="BX131" s="372" t="n"/>
      <c r="BY131" s="372" t="n"/>
      <c r="BZ131" s="372" t="n"/>
      <c r="CA131" s="372" t="n"/>
      <c r="CB131" s="372" t="n"/>
      <c r="CC131" s="402" t="n"/>
      <c r="CF131" s="259" t="inlineStr">
        <is>
          <t>移動</t>
        </is>
      </c>
      <c r="CG131" s="403" t="n"/>
      <c r="CH131" s="403" t="n"/>
      <c r="CI131" s="404" t="n"/>
      <c r="CJ131" s="379">
        <f>IF(Q131="作業者1",E134-E131,0)</f>
        <v/>
      </c>
      <c r="CK131" s="377" t="n"/>
      <c r="CL131" s="377" t="n"/>
      <c r="CM131" s="377" t="n"/>
      <c r="CN131" s="378" t="n"/>
      <c r="CP131" s="248" t="inlineStr">
        <is>
          <t>移動</t>
        </is>
      </c>
      <c r="CQ131" s="377" t="n"/>
      <c r="CR131" s="377" t="n"/>
      <c r="CS131" s="378" t="n"/>
      <c r="CT131" s="379">
        <f>IF(Q131="作業者2",E134-E131,0)</f>
        <v/>
      </c>
      <c r="CU131" s="377" t="n"/>
      <c r="CV131" s="377" t="n"/>
      <c r="CW131" s="377" t="n"/>
      <c r="CX131" s="378" t="n"/>
      <c r="CZ131" s="259" t="inlineStr">
        <is>
          <t>移動</t>
        </is>
      </c>
      <c r="DA131" s="403" t="n"/>
      <c r="DB131" s="403" t="n"/>
      <c r="DC131" s="404" t="n"/>
      <c r="DD131" s="405">
        <f>IF(Q131="作業者3",E134-E131,0)</f>
        <v/>
      </c>
      <c r="DE131" s="406" t="n"/>
      <c r="DF131" s="406" t="n"/>
      <c r="DG131" s="406" t="n"/>
      <c r="DH131" s="407" t="n"/>
      <c r="DJ131" s="259" t="inlineStr">
        <is>
          <t>移動</t>
        </is>
      </c>
      <c r="DK131" s="403" t="n"/>
      <c r="DL131" s="403" t="n"/>
      <c r="DM131" s="404" t="n"/>
      <c r="DN131" s="379">
        <f>IF(Q131="作業者4",E134-E131,0)</f>
        <v/>
      </c>
      <c r="DO131" s="377" t="n"/>
      <c r="DP131" s="377" t="n"/>
      <c r="DQ131" s="377" t="n"/>
      <c r="DR131" s="378" t="n"/>
      <c r="DT131" s="259" t="inlineStr">
        <is>
          <t>移動</t>
        </is>
      </c>
      <c r="DU131" s="403" t="n"/>
      <c r="DV131" s="403" t="n"/>
      <c r="DW131" s="404" t="n"/>
      <c r="DX131" s="379">
        <f>IF(Q131="作業者5",E134-E131,0)</f>
        <v/>
      </c>
      <c r="DY131" s="377" t="n"/>
      <c r="DZ131" s="377" t="n"/>
      <c r="EA131" s="377" t="n"/>
      <c r="EB131" s="378" t="n"/>
    </row>
    <row r="132" ht="9" customHeight="1" s="337">
      <c r="B132" s="350" t="n"/>
      <c r="C132" s="338" t="n"/>
      <c r="D132" s="380" t="n"/>
      <c r="E132" s="381" t="n"/>
      <c r="F132" s="122" t="inlineStr">
        <is>
          <t>～</t>
        </is>
      </c>
      <c r="G132" s="22" t="n"/>
      <c r="H132" s="381" t="n"/>
      <c r="I132" s="122" t="inlineStr">
        <is>
          <t>～</t>
        </is>
      </c>
      <c r="J132" s="22" t="n"/>
      <c r="K132" s="381" t="n"/>
      <c r="L132" s="122" t="inlineStr">
        <is>
          <t>～</t>
        </is>
      </c>
      <c r="M132" s="22" t="n"/>
      <c r="N132" s="381" t="n"/>
      <c r="O132" s="122" t="inlineStr">
        <is>
          <t>～</t>
        </is>
      </c>
      <c r="P132" s="22" t="n"/>
      <c r="Q132" s="382" t="n"/>
      <c r="R132" s="338" t="n"/>
      <c r="S132" s="446" t="n"/>
      <c r="T132" s="382" t="n"/>
      <c r="U132" s="338" t="n"/>
      <c r="V132" s="380" t="n"/>
      <c r="W132" s="382" t="n"/>
      <c r="X132" s="338" t="n"/>
      <c r="Y132" s="338" t="n"/>
      <c r="Z132" s="338" t="n"/>
      <c r="AA132" s="338" t="n"/>
      <c r="AB132" s="338" t="n"/>
      <c r="AC132" s="338" t="n"/>
      <c r="AD132" s="338" t="n"/>
      <c r="AE132" s="338" t="n"/>
      <c r="AF132" s="338" t="n"/>
      <c r="AG132" s="338" t="n"/>
      <c r="AH132" s="338" t="n"/>
      <c r="AI132" s="338" t="n"/>
      <c r="AJ132" s="338" t="n"/>
      <c r="AK132" s="338" t="n"/>
      <c r="AL132" s="338" t="n"/>
      <c r="AM132" s="338" t="n"/>
      <c r="AN132" s="338" t="n"/>
      <c r="AO132" s="338" t="n"/>
      <c r="AP132" s="338" t="n"/>
      <c r="AQ132" s="338" t="n"/>
      <c r="AR132" s="338" t="n"/>
      <c r="AS132" s="338" t="n"/>
      <c r="AT132" s="338" t="n"/>
      <c r="AU132" s="338" t="n"/>
      <c r="AV132" s="338" t="n"/>
      <c r="AW132" s="338" t="n"/>
      <c r="AX132" s="338" t="n"/>
      <c r="AY132" s="338" t="n"/>
      <c r="AZ132" s="338" t="n"/>
      <c r="BA132" s="338" t="n"/>
      <c r="BB132" s="338" t="n"/>
      <c r="BC132" s="338" t="n"/>
      <c r="BD132" s="338" t="n"/>
      <c r="BE132" s="338" t="n"/>
      <c r="BF132" s="338" t="n"/>
      <c r="BG132" s="338" t="n"/>
      <c r="BH132" s="338" t="n"/>
      <c r="BI132" s="338" t="n"/>
      <c r="BJ132" s="338" t="n"/>
      <c r="BK132" s="338" t="n"/>
      <c r="BL132" s="338" t="n"/>
      <c r="BM132" s="338" t="n"/>
      <c r="BN132" s="338" t="n"/>
      <c r="BO132" s="338" t="n"/>
      <c r="BP132" s="338" t="n"/>
      <c r="BQ132" s="338" t="n"/>
      <c r="BR132" s="338" t="n"/>
      <c r="BS132" s="338" t="n"/>
      <c r="BT132" s="338" t="n"/>
      <c r="BU132" s="338" t="n"/>
      <c r="BV132" s="338" t="n"/>
      <c r="BW132" s="338" t="n"/>
      <c r="BX132" s="338" t="n"/>
      <c r="BY132" s="338" t="n"/>
      <c r="BZ132" s="338" t="n"/>
      <c r="CA132" s="338" t="n"/>
      <c r="CB132" s="338" t="n"/>
      <c r="CC132" s="383" t="n"/>
      <c r="CF132" s="253" t="inlineStr">
        <is>
          <t>時間内</t>
        </is>
      </c>
      <c r="CG132" s="384" t="n"/>
      <c r="CH132" s="384" t="n"/>
      <c r="CI132" s="385" t="n"/>
      <c r="CJ132" s="386">
        <f>IF(Q131="作業者1",H134-H131,0)</f>
        <v/>
      </c>
      <c r="CK132" s="387" t="n"/>
      <c r="CL132" s="387" t="n"/>
      <c r="CM132" s="387" t="n"/>
      <c r="CN132" s="388" t="n"/>
      <c r="CP132" s="253" t="inlineStr">
        <is>
          <t>時間内</t>
        </is>
      </c>
      <c r="CQ132" s="384" t="n"/>
      <c r="CR132" s="384" t="n"/>
      <c r="CS132" s="385" t="n"/>
      <c r="CT132" s="386">
        <f>IF(Q131="作業者2",H134-H131,0)</f>
        <v/>
      </c>
      <c r="CU132" s="387" t="n"/>
      <c r="CV132" s="387" t="n"/>
      <c r="CW132" s="387" t="n"/>
      <c r="CX132" s="388" t="n"/>
      <c r="CZ132" s="253" t="inlineStr">
        <is>
          <t>時間内</t>
        </is>
      </c>
      <c r="DA132" s="384" t="n"/>
      <c r="DB132" s="384" t="n"/>
      <c r="DC132" s="385" t="n"/>
      <c r="DD132" s="386">
        <f>IF(Q131="作業者3",H134-H131,0)</f>
        <v/>
      </c>
      <c r="DE132" s="387" t="n"/>
      <c r="DF132" s="387" t="n"/>
      <c r="DG132" s="387" t="n"/>
      <c r="DH132" s="388" t="n"/>
      <c r="DJ132" s="253" t="inlineStr">
        <is>
          <t>時間内</t>
        </is>
      </c>
      <c r="DK132" s="384" t="n"/>
      <c r="DL132" s="384" t="n"/>
      <c r="DM132" s="385" t="n"/>
      <c r="DN132" s="386">
        <f>IF(Q131="作業者4",H134-H131,0)</f>
        <v/>
      </c>
      <c r="DO132" s="387" t="n"/>
      <c r="DP132" s="387" t="n"/>
      <c r="DQ132" s="387" t="n"/>
      <c r="DR132" s="388" t="n"/>
      <c r="DT132" s="253" t="inlineStr">
        <is>
          <t>時間内</t>
        </is>
      </c>
      <c r="DU132" s="384" t="n"/>
      <c r="DV132" s="384" t="n"/>
      <c r="DW132" s="385" t="n"/>
      <c r="DX132" s="386">
        <f>IF(Q131="作業者5",H134-H131,0)</f>
        <v/>
      </c>
      <c r="DY132" s="387" t="n"/>
      <c r="DZ132" s="387" t="n"/>
      <c r="EA132" s="387" t="n"/>
      <c r="EB132" s="388" t="n"/>
    </row>
    <row r="133" ht="9" customHeight="1" s="337">
      <c r="B133" s="350" t="n"/>
      <c r="C133" s="338" t="n"/>
      <c r="D133" s="380" t="n"/>
      <c r="E133" s="23" t="n"/>
      <c r="F133" s="338" t="n"/>
      <c r="G133" s="24" t="n"/>
      <c r="H133" s="23" t="n"/>
      <c r="I133" s="338" t="n"/>
      <c r="J133" s="24" t="n"/>
      <c r="K133" s="23" t="n"/>
      <c r="L133" s="338" t="n"/>
      <c r="M133" s="24" t="n"/>
      <c r="N133" s="23" t="n"/>
      <c r="O133" s="338" t="n"/>
      <c r="P133" s="24" t="n"/>
      <c r="Q133" s="382" t="n"/>
      <c r="R133" s="338" t="n"/>
      <c r="S133" s="446" t="n"/>
      <c r="T133" s="382" t="n"/>
      <c r="U133" s="338" t="n"/>
      <c r="V133" s="380" t="n"/>
      <c r="W133" s="382" t="n"/>
      <c r="X133" s="338" t="n"/>
      <c r="Y133" s="338" t="n"/>
      <c r="Z133" s="338" t="n"/>
      <c r="AA133" s="338" t="n"/>
      <c r="AB133" s="338" t="n"/>
      <c r="AC133" s="338" t="n"/>
      <c r="AD133" s="338" t="n"/>
      <c r="AE133" s="338" t="n"/>
      <c r="AF133" s="338" t="n"/>
      <c r="AG133" s="338" t="n"/>
      <c r="AH133" s="338" t="n"/>
      <c r="AI133" s="338" t="n"/>
      <c r="AJ133" s="338" t="n"/>
      <c r="AK133" s="338" t="n"/>
      <c r="AL133" s="338" t="n"/>
      <c r="AM133" s="338" t="n"/>
      <c r="AN133" s="338" t="n"/>
      <c r="AO133" s="338" t="n"/>
      <c r="AP133" s="338" t="n"/>
      <c r="AQ133" s="338" t="n"/>
      <c r="AR133" s="338" t="n"/>
      <c r="AS133" s="338" t="n"/>
      <c r="AT133" s="338" t="n"/>
      <c r="AU133" s="338" t="n"/>
      <c r="AV133" s="338" t="n"/>
      <c r="AW133" s="338" t="n"/>
      <c r="AX133" s="338" t="n"/>
      <c r="AY133" s="338" t="n"/>
      <c r="AZ133" s="338" t="n"/>
      <c r="BA133" s="338" t="n"/>
      <c r="BB133" s="338" t="n"/>
      <c r="BC133" s="338" t="n"/>
      <c r="BD133" s="338" t="n"/>
      <c r="BE133" s="338" t="n"/>
      <c r="BF133" s="338" t="n"/>
      <c r="BG133" s="338" t="n"/>
      <c r="BH133" s="338" t="n"/>
      <c r="BI133" s="338" t="n"/>
      <c r="BJ133" s="338" t="n"/>
      <c r="BK133" s="338" t="n"/>
      <c r="BL133" s="338" t="n"/>
      <c r="BM133" s="338" t="n"/>
      <c r="BN133" s="338" t="n"/>
      <c r="BO133" s="338" t="n"/>
      <c r="BP133" s="338" t="n"/>
      <c r="BQ133" s="338" t="n"/>
      <c r="BR133" s="338" t="n"/>
      <c r="BS133" s="338" t="n"/>
      <c r="BT133" s="338" t="n"/>
      <c r="BU133" s="338" t="n"/>
      <c r="BV133" s="338" t="n"/>
      <c r="BW133" s="338" t="n"/>
      <c r="BX133" s="338" t="n"/>
      <c r="BY133" s="338" t="n"/>
      <c r="BZ133" s="338" t="n"/>
      <c r="CA133" s="338" t="n"/>
      <c r="CB133" s="338" t="n"/>
      <c r="CC133" s="383" t="n"/>
      <c r="CF133" s="253" t="inlineStr">
        <is>
          <t>時間外</t>
        </is>
      </c>
      <c r="CG133" s="384" t="n"/>
      <c r="CH133" s="384" t="n"/>
      <c r="CI133" s="385" t="n"/>
      <c r="CJ133" s="386">
        <f>IF(Q131="作業者1",K134-K131,0)</f>
        <v/>
      </c>
      <c r="CK133" s="387" t="n"/>
      <c r="CL133" s="387" t="n"/>
      <c r="CM133" s="387" t="n"/>
      <c r="CN133" s="388" t="n"/>
      <c r="CP133" s="253" t="inlineStr">
        <is>
          <t>時間外</t>
        </is>
      </c>
      <c r="CQ133" s="384" t="n"/>
      <c r="CR133" s="384" t="n"/>
      <c r="CS133" s="385" t="n"/>
      <c r="CT133" s="386">
        <f>IF(Q131="作業者2",K134-K131,0)</f>
        <v/>
      </c>
      <c r="CU133" s="387" t="n"/>
      <c r="CV133" s="387" t="n"/>
      <c r="CW133" s="387" t="n"/>
      <c r="CX133" s="388" t="n"/>
      <c r="CZ133" s="253" t="inlineStr">
        <is>
          <t>時間外</t>
        </is>
      </c>
      <c r="DA133" s="384" t="n"/>
      <c r="DB133" s="384" t="n"/>
      <c r="DC133" s="385" t="n"/>
      <c r="DD133" s="386">
        <f>IF(Q131="作業者3",K134-K131,0)</f>
        <v/>
      </c>
      <c r="DE133" s="387" t="n"/>
      <c r="DF133" s="387" t="n"/>
      <c r="DG133" s="387" t="n"/>
      <c r="DH133" s="388" t="n"/>
      <c r="DJ133" s="253" t="inlineStr">
        <is>
          <t>時間外</t>
        </is>
      </c>
      <c r="DK133" s="384" t="n"/>
      <c r="DL133" s="384" t="n"/>
      <c r="DM133" s="385" t="n"/>
      <c r="DN133" s="386">
        <f>IF(Q131="作業者4",K134-K131,0)</f>
        <v/>
      </c>
      <c r="DO133" s="387" t="n"/>
      <c r="DP133" s="387" t="n"/>
      <c r="DQ133" s="387" t="n"/>
      <c r="DR133" s="388" t="n"/>
      <c r="DT133" s="253" t="inlineStr">
        <is>
          <t>時間外</t>
        </is>
      </c>
      <c r="DU133" s="384" t="n"/>
      <c r="DV133" s="384" t="n"/>
      <c r="DW133" s="385" t="n"/>
      <c r="DX133" s="386">
        <f>IF(Q131="作業者5",K134-K131,0)</f>
        <v/>
      </c>
      <c r="DY133" s="387" t="n"/>
      <c r="DZ133" s="387" t="n"/>
      <c r="EA133" s="387" t="n"/>
      <c r="EB133" s="388" t="n"/>
    </row>
    <row r="134" ht="9" customHeight="1" s="337">
      <c r="B134" s="353" t="n"/>
      <c r="C134" s="339" t="n"/>
      <c r="D134" s="364" t="n"/>
      <c r="E134" s="412" t="n"/>
      <c r="F134" s="339" t="n"/>
      <c r="G134" s="364" t="n"/>
      <c r="H134" s="412" t="n"/>
      <c r="I134" s="339" t="n"/>
      <c r="J134" s="364" t="n"/>
      <c r="K134" s="412" t="n"/>
      <c r="L134" s="339" t="n"/>
      <c r="M134" s="364" t="n"/>
      <c r="N134" s="412" t="n"/>
      <c r="O134" s="339" t="n"/>
      <c r="P134" s="364" t="n"/>
      <c r="Q134" s="393" t="n"/>
      <c r="R134" s="390" t="n"/>
      <c r="S134" s="447" t="n"/>
      <c r="T134" s="365" t="n"/>
      <c r="U134" s="339" t="n"/>
      <c r="V134" s="364" t="n"/>
      <c r="W134" s="393" t="n"/>
      <c r="X134" s="390" t="n"/>
      <c r="Y134" s="390" t="n"/>
      <c r="Z134" s="390" t="n"/>
      <c r="AA134" s="390" t="n"/>
      <c r="AB134" s="390" t="n"/>
      <c r="AC134" s="390" t="n"/>
      <c r="AD134" s="390" t="n"/>
      <c r="AE134" s="390" t="n"/>
      <c r="AF134" s="390" t="n"/>
      <c r="AG134" s="390" t="n"/>
      <c r="AH134" s="390" t="n"/>
      <c r="AI134" s="390" t="n"/>
      <c r="AJ134" s="390" t="n"/>
      <c r="AK134" s="390" t="n"/>
      <c r="AL134" s="390" t="n"/>
      <c r="AM134" s="390" t="n"/>
      <c r="AN134" s="390" t="n"/>
      <c r="AO134" s="390" t="n"/>
      <c r="AP134" s="390" t="n"/>
      <c r="AQ134" s="390" t="n"/>
      <c r="AR134" s="390" t="n"/>
      <c r="AS134" s="390" t="n"/>
      <c r="AT134" s="390" t="n"/>
      <c r="AU134" s="390" t="n"/>
      <c r="AV134" s="390" t="n"/>
      <c r="AW134" s="390" t="n"/>
      <c r="AX134" s="390" t="n"/>
      <c r="AY134" s="390" t="n"/>
      <c r="AZ134" s="390" t="n"/>
      <c r="BA134" s="390" t="n"/>
      <c r="BB134" s="390" t="n"/>
      <c r="BC134" s="390" t="n"/>
      <c r="BD134" s="390" t="n"/>
      <c r="BE134" s="390" t="n"/>
      <c r="BF134" s="390" t="n"/>
      <c r="BG134" s="390" t="n"/>
      <c r="BH134" s="390" t="n"/>
      <c r="BI134" s="390" t="n"/>
      <c r="BJ134" s="390" t="n"/>
      <c r="BK134" s="390" t="n"/>
      <c r="BL134" s="390" t="n"/>
      <c r="BM134" s="390" t="n"/>
      <c r="BN134" s="390" t="n"/>
      <c r="BO134" s="390" t="n"/>
      <c r="BP134" s="390" t="n"/>
      <c r="BQ134" s="390" t="n"/>
      <c r="BR134" s="390" t="n"/>
      <c r="BS134" s="390" t="n"/>
      <c r="BT134" s="390" t="n"/>
      <c r="BU134" s="390" t="n"/>
      <c r="BV134" s="390" t="n"/>
      <c r="BW134" s="390" t="n"/>
      <c r="BX134" s="390" t="n"/>
      <c r="BY134" s="390" t="n"/>
      <c r="BZ134" s="390" t="n"/>
      <c r="CA134" s="390" t="n"/>
      <c r="CB134" s="390" t="n"/>
      <c r="CC134" s="394" t="n"/>
      <c r="CF134" s="254" t="inlineStr">
        <is>
          <t>休日</t>
        </is>
      </c>
      <c r="CG134" s="395" t="n"/>
      <c r="CH134" s="395" t="n"/>
      <c r="CI134" s="396" t="n"/>
      <c r="CJ134" s="397">
        <f>IF(Q131="作業者1",N134-N131,0)</f>
        <v/>
      </c>
      <c r="CK134" s="395" t="n"/>
      <c r="CL134" s="395" t="n"/>
      <c r="CM134" s="395" t="n"/>
      <c r="CN134" s="396" t="n"/>
      <c r="CP134" s="254" t="inlineStr">
        <is>
          <t>休日</t>
        </is>
      </c>
      <c r="CQ134" s="395" t="n"/>
      <c r="CR134" s="395" t="n"/>
      <c r="CS134" s="396" t="n"/>
      <c r="CT134" s="397">
        <f>IF(Q131="作業者2",N134-N131,0)</f>
        <v/>
      </c>
      <c r="CU134" s="395" t="n"/>
      <c r="CV134" s="395" t="n"/>
      <c r="CW134" s="395" t="n"/>
      <c r="CX134" s="396" t="n"/>
      <c r="CZ134" s="254" t="inlineStr">
        <is>
          <t>休日</t>
        </is>
      </c>
      <c r="DA134" s="395" t="n"/>
      <c r="DB134" s="395" t="n"/>
      <c r="DC134" s="396" t="n"/>
      <c r="DD134" s="397">
        <f>IF(Q131="作業者3",N134-N131,0)</f>
        <v/>
      </c>
      <c r="DE134" s="395" t="n"/>
      <c r="DF134" s="395" t="n"/>
      <c r="DG134" s="395" t="n"/>
      <c r="DH134" s="396" t="n"/>
      <c r="DJ134" s="254" t="inlineStr">
        <is>
          <t>休日</t>
        </is>
      </c>
      <c r="DK134" s="395" t="n"/>
      <c r="DL134" s="395" t="n"/>
      <c r="DM134" s="396" t="n"/>
      <c r="DN134" s="397">
        <f>IF(Q131="作業者4",N134-N131,0)</f>
        <v/>
      </c>
      <c r="DO134" s="395" t="n"/>
      <c r="DP134" s="395" t="n"/>
      <c r="DQ134" s="395" t="n"/>
      <c r="DR134" s="396" t="n"/>
      <c r="DT134" s="254" t="inlineStr">
        <is>
          <t>休日</t>
        </is>
      </c>
      <c r="DU134" s="395" t="n"/>
      <c r="DV134" s="395" t="n"/>
      <c r="DW134" s="396" t="n"/>
      <c r="DX134" s="397">
        <f>IF(Q131="作業者5",N134-N131,0)</f>
        <v/>
      </c>
      <c r="DY134" s="395" t="n"/>
      <c r="DZ134" s="395" t="n"/>
      <c r="EA134" s="395" t="n"/>
      <c r="EB134" s="396" t="n"/>
    </row>
    <row r="135" ht="9" customHeight="1" s="337">
      <c r="B135" s="424" t="n"/>
      <c r="C135" s="424" t="n"/>
      <c r="D135" s="424" t="n"/>
      <c r="E135" s="425" t="n"/>
      <c r="F135" s="11" t="n"/>
      <c r="G135" s="11" t="n"/>
      <c r="H135" s="425" t="n"/>
      <c r="I135" s="11" t="n"/>
      <c r="J135" s="11" t="n"/>
      <c r="K135" s="425" t="n"/>
      <c r="L135" s="11" t="n"/>
      <c r="M135" s="11" t="n"/>
      <c r="N135" s="425" t="n"/>
      <c r="O135" s="11" t="n"/>
      <c r="P135" s="11" t="n"/>
      <c r="Q135" s="8" t="n"/>
      <c r="R135" s="8" t="n"/>
      <c r="S135" s="8" t="n"/>
      <c r="T135" s="12" t="n"/>
      <c r="U135" s="12" t="n"/>
      <c r="V135" s="12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  <c r="BP135" s="14" t="n"/>
      <c r="BQ135" s="14" t="n"/>
      <c r="BR135" s="14" t="n"/>
      <c r="BS135" s="14" t="n"/>
      <c r="BT135" s="14" t="n"/>
      <c r="BU135" s="14" t="n"/>
      <c r="BV135" s="14" t="n"/>
      <c r="BW135" s="14" t="n"/>
      <c r="BX135" s="14" t="n"/>
      <c r="BY135" s="14" t="n"/>
      <c r="BZ135" s="14" t="n"/>
      <c r="CA135" s="415" t="n"/>
      <c r="CB135" s="87" t="n"/>
      <c r="CC135" s="87" t="n"/>
      <c r="CD135" s="87" t="n"/>
      <c r="CE135" s="416" t="n"/>
      <c r="CF135" s="34" t="n"/>
      <c r="CG135" s="34" t="n"/>
    </row>
    <row r="136" ht="14.45" customHeight="1" s="337">
      <c r="G136" s="312" t="inlineStr">
        <is>
          <t>早出(始)</t>
        </is>
      </c>
      <c r="H136" s="377" t="n"/>
      <c r="I136" s="377" t="n"/>
      <c r="J136" s="378" t="n"/>
      <c r="K136" s="303" t="n">
        <v>0.0006944444444444445</v>
      </c>
      <c r="L136" s="377" t="n"/>
      <c r="M136" s="378" t="n"/>
      <c r="Q136" s="426" t="inlineStr">
        <is>
          <t>作業者</t>
        </is>
      </c>
      <c r="R136" s="427" t="n"/>
      <c r="S136" s="428" t="n"/>
      <c r="BP136" s="16" t="n"/>
      <c r="BQ136" s="87" t="n"/>
      <c r="BR136" s="87" t="n"/>
      <c r="BS136" s="87" t="n"/>
      <c r="BT136" s="87" t="n"/>
      <c r="BU136" s="87" t="n"/>
      <c r="BV136" s="87" t="n"/>
      <c r="BW136" s="449" t="inlineStr">
        <is>
          <t>合計</t>
        </is>
      </c>
      <c r="BX136" s="362" t="n"/>
      <c r="BY136" s="362" t="n"/>
      <c r="BZ136" s="362" t="n"/>
      <c r="CA136" s="362" t="n"/>
      <c r="CB136" s="362" t="n"/>
      <c r="CC136" s="363" t="n"/>
      <c r="CD136" s="450" t="n"/>
      <c r="CE136" s="451" t="n"/>
      <c r="CF136" s="431" t="inlineStr">
        <is>
          <t>合計（作業者1）</t>
        </is>
      </c>
      <c r="CG136" s="362" t="n"/>
      <c r="CH136" s="362" t="n"/>
      <c r="CI136" s="362" t="n"/>
      <c r="CJ136" s="362" t="n"/>
      <c r="CK136" s="362" t="n"/>
      <c r="CL136" s="362" t="n"/>
      <c r="CM136" s="362" t="n"/>
      <c r="CN136" s="363" t="n"/>
      <c r="CP136" s="431" t="inlineStr">
        <is>
          <t>合計（作業者2）</t>
        </is>
      </c>
      <c r="CQ136" s="362" t="n"/>
      <c r="CR136" s="362" t="n"/>
      <c r="CS136" s="362" t="n"/>
      <c r="CT136" s="362" t="n"/>
      <c r="CU136" s="362" t="n"/>
      <c r="CV136" s="362" t="n"/>
      <c r="CW136" s="362" t="n"/>
      <c r="CX136" s="363" t="n"/>
      <c r="CZ136" s="431" t="inlineStr">
        <is>
          <t>合計（作業者3）</t>
        </is>
      </c>
      <c r="DA136" s="362" t="n"/>
      <c r="DB136" s="362" t="n"/>
      <c r="DC136" s="362" t="n"/>
      <c r="DD136" s="362" t="n"/>
      <c r="DE136" s="362" t="n"/>
      <c r="DF136" s="362" t="n"/>
      <c r="DG136" s="362" t="n"/>
      <c r="DH136" s="363" t="n"/>
      <c r="DJ136" s="431" t="inlineStr">
        <is>
          <t>合計（作業者4）</t>
        </is>
      </c>
      <c r="DK136" s="362" t="n"/>
      <c r="DL136" s="362" t="n"/>
      <c r="DM136" s="362" t="n"/>
      <c r="DN136" s="362" t="n"/>
      <c r="DO136" s="362" t="n"/>
      <c r="DP136" s="362" t="n"/>
      <c r="DQ136" s="362" t="n"/>
      <c r="DR136" s="363" t="n"/>
      <c r="DT136" s="431" t="inlineStr">
        <is>
          <t>合計（作業者5）</t>
        </is>
      </c>
      <c r="DU136" s="362" t="n"/>
      <c r="DV136" s="362" t="n"/>
      <c r="DW136" s="362" t="n"/>
      <c r="DX136" s="362" t="n"/>
      <c r="DY136" s="362" t="n"/>
      <c r="DZ136" s="362" t="n"/>
      <c r="EA136" s="362" t="n"/>
      <c r="EB136" s="363" t="n"/>
    </row>
    <row r="137" ht="13.5" customHeight="1" s="337">
      <c r="C137" s="13" t="n"/>
      <c r="G137" s="313" t="inlineStr">
        <is>
          <t>早出(終)</t>
        </is>
      </c>
      <c r="H137" s="384" t="n"/>
      <c r="I137" s="384" t="n"/>
      <c r="J137" s="385" t="n"/>
      <c r="K137" s="306" t="n">
        <v>0.3333333333333333</v>
      </c>
      <c r="L137" s="387" t="n"/>
      <c r="M137" s="388" t="n"/>
      <c r="Q137" s="36" t="inlineStr">
        <is>
          <t>作業者1</t>
        </is>
      </c>
      <c r="R137" s="99" t="n"/>
      <c r="S137" s="100" t="n"/>
      <c r="BP137" s="16" t="n"/>
      <c r="BQ137" s="87" t="n"/>
      <c r="BR137" s="87" t="n"/>
      <c r="BS137" s="87" t="n"/>
      <c r="BT137" s="87" t="n"/>
      <c r="BU137" s="87" t="n"/>
      <c r="BV137" s="87" t="n"/>
      <c r="BW137" s="366" t="n"/>
      <c r="BX137" s="367" t="n"/>
      <c r="BY137" s="367" t="n"/>
      <c r="BZ137" s="367" t="n"/>
      <c r="CA137" s="367" t="n"/>
      <c r="CB137" s="367" t="n"/>
      <c r="CC137" s="368" t="n"/>
      <c r="CD137" s="450" t="n"/>
      <c r="CE137" s="451" t="n"/>
      <c r="CF137" s="366" t="n"/>
      <c r="CG137" s="367" t="n"/>
      <c r="CH137" s="367" t="n"/>
      <c r="CI137" s="367" t="n"/>
      <c r="CJ137" s="367" t="n"/>
      <c r="CK137" s="367" t="n"/>
      <c r="CL137" s="367" t="n"/>
      <c r="CM137" s="367" t="n"/>
      <c r="CN137" s="368" t="n"/>
      <c r="CP137" s="366" t="n"/>
      <c r="CQ137" s="367" t="n"/>
      <c r="CR137" s="367" t="n"/>
      <c r="CS137" s="367" t="n"/>
      <c r="CT137" s="367" t="n"/>
      <c r="CU137" s="367" t="n"/>
      <c r="CV137" s="367" t="n"/>
      <c r="CW137" s="367" t="n"/>
      <c r="CX137" s="368" t="n"/>
      <c r="CZ137" s="366" t="n"/>
      <c r="DA137" s="367" t="n"/>
      <c r="DB137" s="367" t="n"/>
      <c r="DC137" s="367" t="n"/>
      <c r="DD137" s="367" t="n"/>
      <c r="DE137" s="367" t="n"/>
      <c r="DF137" s="367" t="n"/>
      <c r="DG137" s="367" t="n"/>
      <c r="DH137" s="368" t="n"/>
      <c r="DJ137" s="366" t="n"/>
      <c r="DK137" s="367" t="n"/>
      <c r="DL137" s="367" t="n"/>
      <c r="DM137" s="367" t="n"/>
      <c r="DN137" s="367" t="n"/>
      <c r="DO137" s="367" t="n"/>
      <c r="DP137" s="367" t="n"/>
      <c r="DQ137" s="367" t="n"/>
      <c r="DR137" s="368" t="n"/>
      <c r="DT137" s="366" t="n"/>
      <c r="DU137" s="367" t="n"/>
      <c r="DV137" s="367" t="n"/>
      <c r="DW137" s="367" t="n"/>
      <c r="DX137" s="367" t="n"/>
      <c r="DY137" s="367" t="n"/>
      <c r="DZ137" s="367" t="n"/>
      <c r="EA137" s="367" t="n"/>
      <c r="EB137" s="368" t="n"/>
    </row>
    <row r="138" ht="12" customHeight="1" s="337">
      <c r="C138" s="13" t="n"/>
      <c r="G138" s="313" t="inlineStr">
        <is>
          <t>時間外(始)</t>
        </is>
      </c>
      <c r="H138" s="384" t="n"/>
      <c r="I138" s="384" t="n"/>
      <c r="J138" s="385" t="n"/>
      <c r="K138" s="306" t="n">
        <v>0.7083333333333334</v>
      </c>
      <c r="L138" s="387" t="n"/>
      <c r="M138" s="388" t="n"/>
      <c r="Q138" s="38" t="inlineStr">
        <is>
          <t>作業者2</t>
        </is>
      </c>
      <c r="R138" s="78" t="n"/>
      <c r="S138" s="79" t="n"/>
      <c r="BP138" s="16" t="n"/>
      <c r="BQ138" s="87" t="n"/>
      <c r="BR138" s="87" t="n"/>
      <c r="BS138" s="87" t="n"/>
      <c r="BT138" s="87" t="n"/>
      <c r="BU138" s="87" t="n"/>
      <c r="BV138" s="87" t="n"/>
      <c r="BW138" s="452" t="inlineStr">
        <is>
          <t>移動</t>
        </is>
      </c>
      <c r="BX138" s="453" t="n"/>
      <c r="BY138" s="453" t="n"/>
      <c r="BZ138" s="454">
        <f>CJ138+CT138+DD138+DN138+DX138</f>
        <v/>
      </c>
      <c r="CA138" s="453" t="n"/>
      <c r="CB138" s="453" t="n"/>
      <c r="CC138" s="455" t="n"/>
      <c r="CD138" s="456" t="n"/>
      <c r="CE138" s="451" t="n"/>
      <c r="CF138" s="259" t="inlineStr">
        <is>
          <t>移動</t>
        </is>
      </c>
      <c r="CG138" s="403" t="n"/>
      <c r="CH138" s="403" t="n"/>
      <c r="CI138" s="404" t="n"/>
      <c r="CJ138" s="405">
        <f>CJ4+CJ8+CJ12+CJ16+CJ20+CJ24+CJ28+CJ32+CJ36+CJ40+CJ44+CJ48+CJ52+CJ56+CJ60+CJ64+CJ71+CJ75+CJ79+CJ83+CJ87+CJ91+CJ95+CJ99+CJ103+CJ107+CJ111+CJ115+CJ119+CJ123+CJ127+CJ131</f>
        <v/>
      </c>
      <c r="CK138" s="406" t="n"/>
      <c r="CL138" s="406" t="n"/>
      <c r="CM138" s="406" t="n"/>
      <c r="CN138" s="407" t="n"/>
      <c r="CP138" s="259" t="inlineStr">
        <is>
          <t>移動</t>
        </is>
      </c>
      <c r="CQ138" s="403" t="n"/>
      <c r="CR138" s="403" t="n"/>
      <c r="CS138" s="404" t="n"/>
      <c r="CT138" s="405">
        <f>CT4+CT8+CT12+CT16+CT20+CT24+CT28+CT32+CT36+CT40+CT44+CT48+CT52+CT56+CT60+CT64+CT71+CT75+CT79+CT83+CT87+CT91+CT95+CT99+CT103+CT107+CT111+CT115+CT119+CT123+CT127+CT131</f>
        <v/>
      </c>
      <c r="CU138" s="406" t="n"/>
      <c r="CV138" s="406" t="n"/>
      <c r="CW138" s="406" t="n"/>
      <c r="CX138" s="407" t="n"/>
      <c r="CZ138" s="259" t="inlineStr">
        <is>
          <t>移動</t>
        </is>
      </c>
      <c r="DA138" s="403" t="n"/>
      <c r="DB138" s="403" t="n"/>
      <c r="DC138" s="404" t="n"/>
      <c r="DD138" s="405">
        <f>DD4+DD8+DD12+DD16+DD20+DD24+DD28+DD32+DD36+DD40+DD44+DD48+DD52+DD56+DD60+DD64+DD71+DD75+DD79+DD83+DD87+DD91+DD95+DD99+DD103+DD107+DD111+DD115+DD119+DD123+DD127+DD131</f>
        <v/>
      </c>
      <c r="DE138" s="406" t="n"/>
      <c r="DF138" s="406" t="n"/>
      <c r="DG138" s="406" t="n"/>
      <c r="DH138" s="407" t="n"/>
      <c r="DJ138" s="259" t="inlineStr">
        <is>
          <t>移動</t>
        </is>
      </c>
      <c r="DK138" s="403" t="n"/>
      <c r="DL138" s="403" t="n"/>
      <c r="DM138" s="404" t="n"/>
      <c r="DN138" s="405">
        <f>DN4+DN8+DN12+DN16+DN20+DN24+DN28+DN32+DN36+DN40+DN44+DN48+DN52+DN56+DN60+DN64+DN71+DN75+DN79+DN83+DN87+DN91+DN95+DN99+DN103+DN107+DN111+DN115+DN119+DN123+DN127+DN131</f>
        <v/>
      </c>
      <c r="DO138" s="406" t="n"/>
      <c r="DP138" s="406" t="n"/>
      <c r="DQ138" s="406" t="n"/>
      <c r="DR138" s="407" t="n"/>
      <c r="DT138" s="259" t="inlineStr">
        <is>
          <t>移動</t>
        </is>
      </c>
      <c r="DU138" s="403" t="n"/>
      <c r="DV138" s="403" t="n"/>
      <c r="DW138" s="404" t="n"/>
      <c r="DX138" s="405">
        <f>DX4+DX8+DX12+DX16+DX20+DX24+DX28+DX32+DX36+DX40+DX44+DX48+DX52+DX56+DX60+DX64+DX71+DX75+DX79+DX83+DX87+DX91+DX95+DX99+DX103+DX107+DX111+DX115+DX119+DX123+DX127+DX131</f>
        <v/>
      </c>
      <c r="DY138" s="406" t="n"/>
      <c r="DZ138" s="406" t="n"/>
      <c r="EA138" s="406" t="n"/>
      <c r="EB138" s="407" t="n"/>
    </row>
    <row r="139" ht="12" customHeight="1" s="337">
      <c r="C139" s="13" t="n"/>
      <c r="G139" s="42" t="inlineStr">
        <is>
          <t>時間外(終)</t>
        </is>
      </c>
      <c r="H139" s="43" t="n"/>
      <c r="I139" s="43" t="n"/>
      <c r="J139" s="43" t="n"/>
      <c r="K139" s="309" t="n">
        <v>0.9993055555555556</v>
      </c>
      <c r="L139" s="395" t="n"/>
      <c r="M139" s="396" t="n"/>
      <c r="Q139" s="52" t="inlineStr">
        <is>
          <t>作業者3</t>
        </is>
      </c>
      <c r="R139" s="53" t="n"/>
      <c r="S139" s="54" t="n"/>
      <c r="BP139" s="16" t="n"/>
      <c r="BQ139" s="87" t="n"/>
      <c r="BR139" s="87" t="n"/>
      <c r="BS139" s="87" t="n"/>
      <c r="BT139" s="87" t="n"/>
      <c r="BU139" s="87" t="n"/>
      <c r="BV139" s="87" t="n"/>
      <c r="BW139" s="457" t="inlineStr">
        <is>
          <t>時間内</t>
        </is>
      </c>
      <c r="BX139" s="384" t="n"/>
      <c r="BY139" s="384" t="n"/>
      <c r="BZ139" s="458">
        <f>CJ139+CT139+DD139+DN139+DX139</f>
        <v/>
      </c>
      <c r="CA139" s="384" t="n"/>
      <c r="CB139" s="384" t="n"/>
      <c r="CC139" s="459" t="n"/>
      <c r="CD139" s="456" t="n"/>
      <c r="CE139" s="451" t="n"/>
      <c r="CF139" s="253" t="inlineStr">
        <is>
          <t>時間内</t>
        </is>
      </c>
      <c r="CG139" s="384" t="n"/>
      <c r="CH139" s="384" t="n"/>
      <c r="CI139" s="385" t="n"/>
      <c r="CJ139" s="386">
        <f>CJ5+CJ9+CJ13+CJ17+CJ21+CJ25+CJ29+CJ33+CJ37+CJ41+CJ45+CJ49+CJ53+CJ57+CJ61+CJ65+CJ72+CJ76+CJ80+CJ84+CJ88+CJ92+CJ96+CJ100+CJ104+CJ108+CJ112+CJ116+CJ120+CJ124+CJ128+CJ132</f>
        <v/>
      </c>
      <c r="CK139" s="387" t="n"/>
      <c r="CL139" s="387" t="n"/>
      <c r="CM139" s="387" t="n"/>
      <c r="CN139" s="388" t="n"/>
      <c r="CP139" s="253" t="inlineStr">
        <is>
          <t>時間内</t>
        </is>
      </c>
      <c r="CQ139" s="384" t="n"/>
      <c r="CR139" s="384" t="n"/>
      <c r="CS139" s="385" t="n"/>
      <c r="CT139" s="386">
        <f>CT5+CT9+CT13+CT17+CT21+CT25+CT29+CT33+CT37+CT41+CT45+CT49+CT53+CT57+CT61+CT65+CT72+CT76+CT80+CT84+CT88+CT92+CT96+CT100+CT104+CT108+CT112+CT116+CT120+CT124+CT128+CT132</f>
        <v/>
      </c>
      <c r="CU139" s="387" t="n"/>
      <c r="CV139" s="387" t="n"/>
      <c r="CW139" s="387" t="n"/>
      <c r="CX139" s="388" t="n"/>
      <c r="CZ139" s="253" t="inlineStr">
        <is>
          <t>時間内</t>
        </is>
      </c>
      <c r="DA139" s="384" t="n"/>
      <c r="DB139" s="384" t="n"/>
      <c r="DC139" s="385" t="n"/>
      <c r="DD139" s="386">
        <f>DD5+DD9+DD13+DD17+DD21+DD25+DD29+DD33+DD37+DD41+DD45+DD49+DD53+DD57+DD61+DD65+DD72+DD76+DD80+DD84+DD88+DD92+DD96+DD100+DD104+DD108+DD112+DD116+DD120+DD124+DD128+DD132</f>
        <v/>
      </c>
      <c r="DE139" s="387" t="n"/>
      <c r="DF139" s="387" t="n"/>
      <c r="DG139" s="387" t="n"/>
      <c r="DH139" s="388" t="n"/>
      <c r="DJ139" s="253" t="inlineStr">
        <is>
          <t>時間内</t>
        </is>
      </c>
      <c r="DK139" s="384" t="n"/>
      <c r="DL139" s="384" t="n"/>
      <c r="DM139" s="385" t="n"/>
      <c r="DN139" s="386">
        <f>DN5+DN9+DN13+DN17+DN21+DN25+DN29+DN33+DN37+DN41+DN45+DN49+DN53+DN57+DN61+DN65+DN72+DN76+DN80+DN84+DN88+DN92+DN96+DN100+DN104+DN108+DN112+DN116+DN120+DN124+DN128+DN132</f>
        <v/>
      </c>
      <c r="DO139" s="387" t="n"/>
      <c r="DP139" s="387" t="n"/>
      <c r="DQ139" s="387" t="n"/>
      <c r="DR139" s="388" t="n"/>
      <c r="DT139" s="253" t="inlineStr">
        <is>
          <t>時間内</t>
        </is>
      </c>
      <c r="DU139" s="384" t="n"/>
      <c r="DV139" s="384" t="n"/>
      <c r="DW139" s="385" t="n"/>
      <c r="DX139" s="386">
        <f>DX5+DX9+DX13+DX17+DX21+DX25+DX29+DX33+DX37+DX41+DX45+DX49+DX53+DX57+DX61+DX65+DX72+DX76+DX80+DX84+DX88+DX92+DX96+DX100+DX104+DX108+DX112+DX116+DX120+DX124+DX128+DX132</f>
        <v/>
      </c>
      <c r="DY139" s="387" t="n"/>
      <c r="DZ139" s="387" t="n"/>
      <c r="EA139" s="387" t="n"/>
      <c r="EB139" s="388" t="n"/>
    </row>
    <row r="140" ht="12" customHeight="1" s="337">
      <c r="C140" s="13" t="n"/>
      <c r="Q140" s="38" t="inlineStr">
        <is>
          <t>作業者4</t>
        </is>
      </c>
      <c r="R140" s="78" t="n"/>
      <c r="S140" s="79" t="n"/>
      <c r="BP140" s="19" t="n"/>
      <c r="BW140" s="457" t="inlineStr">
        <is>
          <t>時間外</t>
        </is>
      </c>
      <c r="BX140" s="384" t="n"/>
      <c r="BY140" s="384" t="n"/>
      <c r="BZ140" s="458">
        <f>CJ140+CT140+DD140+DN140+DX140</f>
        <v/>
      </c>
      <c r="CA140" s="384" t="n"/>
      <c r="CB140" s="384" t="n"/>
      <c r="CC140" s="459" t="n"/>
      <c r="CD140" s="456" t="n"/>
      <c r="CE140" s="31" t="n"/>
      <c r="CF140" s="253" t="inlineStr">
        <is>
          <t>時間外</t>
        </is>
      </c>
      <c r="CG140" s="384" t="n"/>
      <c r="CH140" s="384" t="n"/>
      <c r="CI140" s="385" t="n"/>
      <c r="CJ140" s="386">
        <f>CJ6+CJ10+CJ14+CJ18+CJ22+CJ26+CJ30+CJ34+CJ38+CJ42+CJ46+CJ50+CJ54+CJ58+CJ62+CJ66+CJ73+CJ77+CJ81+CJ85+CJ89+CJ93+CJ97+CJ101+CJ105+CJ109+CJ113+CJ117+CJ121+CJ125+CJ129+CJ133</f>
        <v/>
      </c>
      <c r="CK140" s="387" t="n"/>
      <c r="CL140" s="387" t="n"/>
      <c r="CM140" s="387" t="n"/>
      <c r="CN140" s="388" t="n"/>
      <c r="CP140" s="253" t="inlineStr">
        <is>
          <t>時間外</t>
        </is>
      </c>
      <c r="CQ140" s="384" t="n"/>
      <c r="CR140" s="384" t="n"/>
      <c r="CS140" s="385" t="n"/>
      <c r="CT140" s="386">
        <f>CT6+CT10+CT14+CT18+CT22+CT26+CT30+CT34+CT38+CT42+CT46+CT50+CT54+CT58+CT62+CT66+CT73+CT77+CT81+CT85+CT89+CT93+CT97+CT101+CT105+CT109+CT113+CT117+CT121+CT125+CT129+CT133</f>
        <v/>
      </c>
      <c r="CU140" s="387" t="n"/>
      <c r="CV140" s="387" t="n"/>
      <c r="CW140" s="387" t="n"/>
      <c r="CX140" s="388" t="n"/>
      <c r="CZ140" s="253" t="inlineStr">
        <is>
          <t>時間外</t>
        </is>
      </c>
      <c r="DA140" s="384" t="n"/>
      <c r="DB140" s="384" t="n"/>
      <c r="DC140" s="385" t="n"/>
      <c r="DD140" s="386">
        <f>DD6+DD10+DD14+DD18+DD22+DD26+DD30+DD34+DD38+DD42+DD46+DD50+DD54+DD58+DD62+DD66+DD73+DD77+DD81+DD85+DD89+DD93+DD97+DD101+DD105+DD109+DD113+DD117+DD121+DD125+DD129+DD133</f>
        <v/>
      </c>
      <c r="DE140" s="387" t="n"/>
      <c r="DF140" s="387" t="n"/>
      <c r="DG140" s="387" t="n"/>
      <c r="DH140" s="388" t="n"/>
      <c r="DJ140" s="253" t="inlineStr">
        <is>
          <t>時間外</t>
        </is>
      </c>
      <c r="DK140" s="384" t="n"/>
      <c r="DL140" s="384" t="n"/>
      <c r="DM140" s="385" t="n"/>
      <c r="DN140" s="386">
        <f>DN6+DN10+DN14+DN18+DN22+DN26+DN30+DN34+DN38+DN42+DN46+DN50+DN54+DN58+DN62+DN66+DN73+DN77+DN81+DN85+DN89+DN93+DN97+DN101+DN105+DN109+DN113+DN117+DN121+DN125+DN129+DN133</f>
        <v/>
      </c>
      <c r="DO140" s="387" t="n"/>
      <c r="DP140" s="387" t="n"/>
      <c r="DQ140" s="387" t="n"/>
      <c r="DR140" s="388" t="n"/>
      <c r="DT140" s="253" t="inlineStr">
        <is>
          <t>時間外</t>
        </is>
      </c>
      <c r="DU140" s="384" t="n"/>
      <c r="DV140" s="384" t="n"/>
      <c r="DW140" s="385" t="n"/>
      <c r="DX140" s="386">
        <f>DX6+DX10+DX14+DX18+DX22+DX26+DX30+DX34+DX38+DX42+DX46+DX50+DX54+DX58+DX62+DX66+DX73+DX77+DX81+DX85+DX89+DX93+DX97+DX101+DX105+DX109+DX113+DX117+DX121+DX125+DX129+DX133</f>
        <v/>
      </c>
      <c r="DY140" s="387" t="n"/>
      <c r="DZ140" s="387" t="n"/>
      <c r="EA140" s="387" t="n"/>
      <c r="EB140" s="388" t="n"/>
    </row>
    <row r="141" ht="12" customHeight="1" s="337">
      <c r="C141" s="13" t="n"/>
      <c r="Q141" s="40" t="inlineStr">
        <is>
          <t>作業者5</t>
        </is>
      </c>
      <c r="R141" s="82" t="n"/>
      <c r="S141" s="83" t="n"/>
      <c r="BW141" s="460" t="inlineStr">
        <is>
          <t>休日</t>
        </is>
      </c>
      <c r="BX141" s="395" t="n"/>
      <c r="BY141" s="395" t="n"/>
      <c r="BZ141" s="461">
        <f>CJ141+CT141+DD141+DN141+DX141</f>
        <v/>
      </c>
      <c r="CA141" s="395" t="n"/>
      <c r="CB141" s="395" t="n"/>
      <c r="CC141" s="462" t="n"/>
      <c r="CD141" s="456" t="n"/>
      <c r="CE141" s="31" t="n"/>
      <c r="CF141" s="254" t="inlineStr">
        <is>
          <t>休日</t>
        </is>
      </c>
      <c r="CG141" s="395" t="n"/>
      <c r="CH141" s="395" t="n"/>
      <c r="CI141" s="396" t="n"/>
      <c r="CJ141" s="397">
        <f>CJ7+CJ11+CJ15+CJ19+CJ23+CJ27+CJ31+CJ35+CJ39+CJ43+CJ47+CJ51+CJ55+CJ59+CJ63+CJ67+CJ74+CJ78+CJ82+CJ86+CJ90+CJ94+CJ98+CJ102+CJ106+CJ110+CJ114+CJ118+CJ122+CJ126+CJ130+CJ134</f>
        <v/>
      </c>
      <c r="CK141" s="395" t="n"/>
      <c r="CL141" s="395" t="n"/>
      <c r="CM141" s="395" t="n"/>
      <c r="CN141" s="396" t="n"/>
      <c r="CP141" s="254" t="inlineStr">
        <is>
          <t>休日</t>
        </is>
      </c>
      <c r="CQ141" s="395" t="n"/>
      <c r="CR141" s="395" t="n"/>
      <c r="CS141" s="396" t="n"/>
      <c r="CT141" s="397">
        <f>CT7+CT11+CT15+CT19+CT23+CT27+CT31+CT35+CT39+CT43+CT47+CT51+CT55+CT59+CT63+CT67+CT74+CT78+CT82+CT86+CT90+CT94+CT98+CT102+CT106+CT110+CT114+CT118+CT122+CT126+CT130+CT134</f>
        <v/>
      </c>
      <c r="CU141" s="395" t="n"/>
      <c r="CV141" s="395" t="n"/>
      <c r="CW141" s="395" t="n"/>
      <c r="CX141" s="396" t="n"/>
      <c r="CZ141" s="254" t="inlineStr">
        <is>
          <t>休日</t>
        </is>
      </c>
      <c r="DA141" s="395" t="n"/>
      <c r="DB141" s="395" t="n"/>
      <c r="DC141" s="396" t="n"/>
      <c r="DD141" s="397">
        <f>DD7+DD11+DD15+DD19+DD23+DD27+DD31+DD35+DD39+DD43+DD47+DD51+DD55+DD59+DD63+DD67+DD74+DD78+DD82+DD86+DD90+DD94+DD98+DD102+DD106+DD110+DD114+DD118+DD122+DD126+DD130+DD134</f>
        <v/>
      </c>
      <c r="DE141" s="395" t="n"/>
      <c r="DF141" s="395" t="n"/>
      <c r="DG141" s="395" t="n"/>
      <c r="DH141" s="396" t="n"/>
      <c r="DJ141" s="254" t="inlineStr">
        <is>
          <t>休日</t>
        </is>
      </c>
      <c r="DK141" s="395" t="n"/>
      <c r="DL141" s="395" t="n"/>
      <c r="DM141" s="396" t="n"/>
      <c r="DN141" s="397">
        <f>DN7+DN11+DN15+DN19+DN23+DN27+DN31+DN35+DN39+DN43+DN47+DN51+DN55+DN59+DN63+DN67+DN74+DN78+DN82+DN86+DN90+DN94+DN98+DN102+DN106+DN110+DN114+DN118+DN122+DN126+DN130+DN134</f>
        <v/>
      </c>
      <c r="DO141" s="395" t="n"/>
      <c r="DP141" s="395" t="n"/>
      <c r="DQ141" s="395" t="n"/>
      <c r="DR141" s="396" t="n"/>
      <c r="DT141" s="254" t="inlineStr">
        <is>
          <t>休日</t>
        </is>
      </c>
      <c r="DU141" s="395" t="n"/>
      <c r="DV141" s="395" t="n"/>
      <c r="DW141" s="396" t="n"/>
      <c r="DX141" s="397">
        <f>DX7+DX11+DX15+DX19+DX23+DX27+DX31+DX35+DX39+DX43+DX47+DX51+DX55+DX59+DX63+DX67+DX74+DX78+DX82+DX86+DX90+DX94+DX98+DX102+DX106+DX110+DX114+DX118+DX122+DX126+DX130+DX134</f>
        <v/>
      </c>
      <c r="DY141" s="395" t="n"/>
      <c r="DZ141" s="395" t="n"/>
      <c r="EA141" s="395" t="n"/>
      <c r="EB141" s="396" t="n"/>
    </row>
    <row r="142" ht="12" customHeight="1" s="337"/>
    <row r="143" ht="12" customHeight="1" s="337"/>
    <row r="144" ht="12" customHeight="1" s="337"/>
    <row r="145" ht="12" customHeight="1" s="337"/>
  </sheetData>
  <mergeCells count="1880">
    <mergeCell ref="DJ78:DM78"/>
    <mergeCell ref="CJ47:CN47"/>
    <mergeCell ref="DD95:DH95"/>
    <mergeCell ref="CT96:CX96"/>
    <mergeCell ref="DD87:DH87"/>
    <mergeCell ref="CF91:CI91"/>
    <mergeCell ref="CP88:CS88"/>
    <mergeCell ref="CT37:CX37"/>
    <mergeCell ref="CP82:CS82"/>
    <mergeCell ref="I57:I58"/>
    <mergeCell ref="DD97:DH97"/>
    <mergeCell ref="DN119:DR119"/>
    <mergeCell ref="CT98:CX98"/>
    <mergeCell ref="DD89:DH89"/>
    <mergeCell ref="CZ114:DC114"/>
    <mergeCell ref="CF93:CI93"/>
    <mergeCell ref="H75:J75"/>
    <mergeCell ref="H111:J111"/>
    <mergeCell ref="DX109:EB109"/>
    <mergeCell ref="CJ63:CN63"/>
    <mergeCell ref="DJ104:DM104"/>
    <mergeCell ref="CP83:CS83"/>
    <mergeCell ref="F13:F14"/>
    <mergeCell ref="DN114:DR114"/>
    <mergeCell ref="B52:D55"/>
    <mergeCell ref="DD113:DH113"/>
    <mergeCell ref="DJ106:DM106"/>
    <mergeCell ref="CP85:CS85"/>
    <mergeCell ref="T127:V130"/>
    <mergeCell ref="CF109:CI109"/>
    <mergeCell ref="CT124:CX124"/>
    <mergeCell ref="DD115:DH115"/>
    <mergeCell ref="W8:CC11"/>
    <mergeCell ref="N32:P32"/>
    <mergeCell ref="CP141:CS141"/>
    <mergeCell ref="CF75:CI75"/>
    <mergeCell ref="CT126:CX126"/>
    <mergeCell ref="DD108:DH108"/>
    <mergeCell ref="DN130:DR130"/>
    <mergeCell ref="CP12:CS12"/>
    <mergeCell ref="CZ125:DC125"/>
    <mergeCell ref="DD141:DH141"/>
    <mergeCell ref="K44:M44"/>
    <mergeCell ref="DN132:DR132"/>
    <mergeCell ref="CP14:CS14"/>
    <mergeCell ref="CZ133:DC133"/>
    <mergeCell ref="CZ127:DC127"/>
    <mergeCell ref="DJ28:DM28"/>
    <mergeCell ref="H7:J7"/>
    <mergeCell ref="CP7:CS7"/>
    <mergeCell ref="T28:V31"/>
    <mergeCell ref="DT25:DW25"/>
    <mergeCell ref="CZ39:DC39"/>
    <mergeCell ref="CJ117:CN117"/>
    <mergeCell ref="CT108:CX108"/>
    <mergeCell ref="DJ30:DM30"/>
    <mergeCell ref="CZ128:DC128"/>
    <mergeCell ref="Q12:S15"/>
    <mergeCell ref="DD38:DH38"/>
    <mergeCell ref="CT139:CX139"/>
    <mergeCell ref="E24:G24"/>
    <mergeCell ref="DD40:DH40"/>
    <mergeCell ref="N47:P47"/>
    <mergeCell ref="F88:F89"/>
    <mergeCell ref="CP35:CS35"/>
    <mergeCell ref="CZ57:DC57"/>
    <mergeCell ref="CF36:CI36"/>
    <mergeCell ref="CT51:CX51"/>
    <mergeCell ref="DT105:DW105"/>
    <mergeCell ref="I124:I125"/>
    <mergeCell ref="BZ138:CC138"/>
    <mergeCell ref="DT107:DW107"/>
    <mergeCell ref="Q40:S43"/>
    <mergeCell ref="E19:G19"/>
    <mergeCell ref="DJ69:DR70"/>
    <mergeCell ref="DT73:DW73"/>
    <mergeCell ref="CJ130:CN130"/>
    <mergeCell ref="CJ132:CN132"/>
    <mergeCell ref="CF35:CI35"/>
    <mergeCell ref="CF62:CI62"/>
    <mergeCell ref="CT33:CX33"/>
    <mergeCell ref="CF64:CI64"/>
    <mergeCell ref="H71:J71"/>
    <mergeCell ref="CT35:CX35"/>
    <mergeCell ref="H107:J107"/>
    <mergeCell ref="CF69:CN70"/>
    <mergeCell ref="CF30:CI30"/>
    <mergeCell ref="DJ100:DM100"/>
    <mergeCell ref="CP79:CS79"/>
    <mergeCell ref="K118:M118"/>
    <mergeCell ref="DN85:DR85"/>
    <mergeCell ref="CT64:CX64"/>
    <mergeCell ref="CZ80:DC80"/>
    <mergeCell ref="DJ102:DM102"/>
    <mergeCell ref="CP81:CS81"/>
    <mergeCell ref="DJ129:DM129"/>
    <mergeCell ref="H102:J102"/>
    <mergeCell ref="T123:V126"/>
    <mergeCell ref="DT120:DW120"/>
    <mergeCell ref="DJ131:DM131"/>
    <mergeCell ref="CJ62:CN62"/>
    <mergeCell ref="K134:M134"/>
    <mergeCell ref="CJ56:CN56"/>
    <mergeCell ref="CP105:CS105"/>
    <mergeCell ref="DD112:DH112"/>
    <mergeCell ref="W95:CC98"/>
    <mergeCell ref="E90:G90"/>
    <mergeCell ref="DD106:DH106"/>
    <mergeCell ref="CP107:CS107"/>
    <mergeCell ref="CP99:CS99"/>
    <mergeCell ref="E119:G119"/>
    <mergeCell ref="DJ113:DM113"/>
    <mergeCell ref="E91:G91"/>
    <mergeCell ref="CJ82:CN82"/>
    <mergeCell ref="CJ118:CN118"/>
    <mergeCell ref="CZ124:DC124"/>
    <mergeCell ref="DJ115:DM115"/>
    <mergeCell ref="CZ126:DC126"/>
    <mergeCell ref="N16:P16"/>
    <mergeCell ref="CP125:CS125"/>
    <mergeCell ref="CJ119:CN119"/>
    <mergeCell ref="N51:P51"/>
    <mergeCell ref="N43:P43"/>
    <mergeCell ref="F84:F85"/>
    <mergeCell ref="DD125:DH125"/>
    <mergeCell ref="DX6:EB6"/>
    <mergeCell ref="CF129:CI129"/>
    <mergeCell ref="CP120:CS120"/>
    <mergeCell ref="W20:CC23"/>
    <mergeCell ref="CF131:CI131"/>
    <mergeCell ref="E15:G15"/>
    <mergeCell ref="Q36:S39"/>
    <mergeCell ref="N67:P67"/>
    <mergeCell ref="CZ23:DC23"/>
    <mergeCell ref="Q127:S130"/>
    <mergeCell ref="DN27:DR27"/>
    <mergeCell ref="L96:L97"/>
    <mergeCell ref="CF60:CI60"/>
    <mergeCell ref="DX17:EB17"/>
    <mergeCell ref="H78:J78"/>
    <mergeCell ref="DT34:DW34"/>
    <mergeCell ref="CP50:CS50"/>
    <mergeCell ref="W48:CC51"/>
    <mergeCell ref="DN22:DR22"/>
    <mergeCell ref="H44:J44"/>
    <mergeCell ref="W4:CC7"/>
    <mergeCell ref="DX19:EB19"/>
    <mergeCell ref="E35:G35"/>
    <mergeCell ref="I108:I109"/>
    <mergeCell ref="O5:O6"/>
    <mergeCell ref="E28:G28"/>
    <mergeCell ref="CJ25:CN25"/>
    <mergeCell ref="DD23:DH23"/>
    <mergeCell ref="F5:F6"/>
    <mergeCell ref="E59:G59"/>
    <mergeCell ref="N82:P82"/>
    <mergeCell ref="O29:O30"/>
    <mergeCell ref="CF71:CI71"/>
    <mergeCell ref="O65:O66"/>
    <mergeCell ref="CP103:CS103"/>
    <mergeCell ref="Q52:S55"/>
    <mergeCell ref="DX72:EB72"/>
    <mergeCell ref="CZ94:DC94"/>
    <mergeCell ref="CF73:CI73"/>
    <mergeCell ref="H126:J126"/>
    <mergeCell ref="E56:G56"/>
    <mergeCell ref="CT16:CX16"/>
    <mergeCell ref="CJ27:CN27"/>
    <mergeCell ref="CT18:CX18"/>
    <mergeCell ref="CT104:CX104"/>
    <mergeCell ref="N12:P12"/>
    <mergeCell ref="W119:CC122"/>
    <mergeCell ref="O49:O50"/>
    <mergeCell ref="CT106:CX106"/>
    <mergeCell ref="CF101:CI101"/>
    <mergeCell ref="DX83:EB83"/>
    <mergeCell ref="CP116:CS116"/>
    <mergeCell ref="F21:F22"/>
    <mergeCell ref="B32:D35"/>
    <mergeCell ref="CT101:CX101"/>
    <mergeCell ref="DX84:EB84"/>
    <mergeCell ref="CP118:CS118"/>
    <mergeCell ref="E102:G102"/>
    <mergeCell ref="CJ99:CN99"/>
    <mergeCell ref="K24:M24"/>
    <mergeCell ref="CJ128:CN128"/>
    <mergeCell ref="E127:G127"/>
    <mergeCell ref="L61:L62"/>
    <mergeCell ref="DX13:EB13"/>
    <mergeCell ref="E4:G4"/>
    <mergeCell ref="K51:M51"/>
    <mergeCell ref="T8:V11"/>
    <mergeCell ref="DJ8:DM8"/>
    <mergeCell ref="DX15:EB15"/>
    <mergeCell ref="W127:CC130"/>
    <mergeCell ref="DJ10:DM10"/>
    <mergeCell ref="DN138:DR138"/>
    <mergeCell ref="DN9:DR9"/>
    <mergeCell ref="N78:P78"/>
    <mergeCell ref="DX41:EB41"/>
    <mergeCell ref="DD20:DH20"/>
    <mergeCell ref="DN11:DR11"/>
    <mergeCell ref="DX43:EB43"/>
    <mergeCell ref="DD22:DH22"/>
    <mergeCell ref="N79:P79"/>
    <mergeCell ref="DJ21:DM21"/>
    <mergeCell ref="E52:G52"/>
    <mergeCell ref="CZ32:DC32"/>
    <mergeCell ref="CF13:CI13"/>
    <mergeCell ref="F116:F117"/>
    <mergeCell ref="CT14:CX14"/>
    <mergeCell ref="T16:V19"/>
    <mergeCell ref="CT13:CX13"/>
    <mergeCell ref="DD4:DH4"/>
    <mergeCell ref="DN64:DR64"/>
    <mergeCell ref="CT43:CX43"/>
    <mergeCell ref="CT15:CX15"/>
    <mergeCell ref="DX54:EB54"/>
    <mergeCell ref="DD33:DH33"/>
    <mergeCell ref="K98:M98"/>
    <mergeCell ref="BZ140:CC140"/>
    <mergeCell ref="DT71:DW71"/>
    <mergeCell ref="DN65:DR65"/>
    <mergeCell ref="DX81:EB81"/>
    <mergeCell ref="DX56:EB56"/>
    <mergeCell ref="O76:O77"/>
    <mergeCell ref="T103:V106"/>
    <mergeCell ref="CJ51:CN51"/>
    <mergeCell ref="DT100:DW100"/>
    <mergeCell ref="DT66:DW66"/>
    <mergeCell ref="G137:J137"/>
    <mergeCell ref="DJ77:DM77"/>
    <mergeCell ref="CF28:CI28"/>
    <mergeCell ref="DX107:EB107"/>
    <mergeCell ref="DD86:DH86"/>
    <mergeCell ref="CF108:CI108"/>
    <mergeCell ref="Q123:S126"/>
    <mergeCell ref="K20:M20"/>
    <mergeCell ref="L57:L58"/>
    <mergeCell ref="CZ103:DC103"/>
    <mergeCell ref="K111:M111"/>
    <mergeCell ref="DN78:DR78"/>
    <mergeCell ref="W123:CC126"/>
    <mergeCell ref="DJ6:DM6"/>
    <mergeCell ref="B16:D19"/>
    <mergeCell ref="DX110:EB110"/>
    <mergeCell ref="CJ64:CN64"/>
    <mergeCell ref="K4:M4"/>
    <mergeCell ref="F61:F62"/>
    <mergeCell ref="CZ131:DC131"/>
    <mergeCell ref="CF110:CI110"/>
    <mergeCell ref="DN7:DR7"/>
    <mergeCell ref="DN129:DR129"/>
    <mergeCell ref="DD105:DH105"/>
    <mergeCell ref="DX120:EB120"/>
    <mergeCell ref="T69:V70"/>
    <mergeCell ref="DT23:DW23"/>
    <mergeCell ref="DX39:EB39"/>
    <mergeCell ref="DN131:DR131"/>
    <mergeCell ref="DJ17:DM17"/>
    <mergeCell ref="K35:M35"/>
    <mergeCell ref="DX121:EB121"/>
    <mergeCell ref="CT141:CX141"/>
    <mergeCell ref="CJ75:CN75"/>
    <mergeCell ref="DT18:DW18"/>
    <mergeCell ref="DJ19:DM19"/>
    <mergeCell ref="DX123:EB123"/>
    <mergeCell ref="DT26:DW26"/>
    <mergeCell ref="B64:D67"/>
    <mergeCell ref="DT9:DW9"/>
    <mergeCell ref="K59:M59"/>
    <mergeCell ref="CP29:CS29"/>
    <mergeCell ref="DN35:DR35"/>
    <mergeCell ref="DJ20:DM20"/>
    <mergeCell ref="L104:L105"/>
    <mergeCell ref="DN28:DR28"/>
    <mergeCell ref="DX50:EB50"/>
    <mergeCell ref="DD29:DH29"/>
    <mergeCell ref="DJ45:DM45"/>
    <mergeCell ref="CP24:CS24"/>
    <mergeCell ref="H24:J24"/>
    <mergeCell ref="DD39:DH39"/>
    <mergeCell ref="CZ21:DC21"/>
    <mergeCell ref="DN30:DR30"/>
    <mergeCell ref="DX52:EB52"/>
    <mergeCell ref="DD31:DH31"/>
    <mergeCell ref="I88:I89"/>
    <mergeCell ref="DJ53:DM53"/>
    <mergeCell ref="DJ47:DM47"/>
    <mergeCell ref="CP26:CS26"/>
    <mergeCell ref="L124:L125"/>
    <mergeCell ref="DT96:DW96"/>
    <mergeCell ref="DJ46:DM46"/>
    <mergeCell ref="T40:V43"/>
    <mergeCell ref="DT62:DW62"/>
    <mergeCell ref="DT37:DW37"/>
    <mergeCell ref="CZ16:DC16"/>
    <mergeCell ref="H55:J55"/>
    <mergeCell ref="DT98:DW98"/>
    <mergeCell ref="CJ7:CN7"/>
    <mergeCell ref="N69:P70"/>
    <mergeCell ref="DJ48:DM48"/>
    <mergeCell ref="B83:D86"/>
    <mergeCell ref="N115:P115"/>
    <mergeCell ref="CF24:CI24"/>
    <mergeCell ref="DJ63:DM63"/>
    <mergeCell ref="CP42:CS42"/>
    <mergeCell ref="DD57:DH57"/>
    <mergeCell ref="W40:CC43"/>
    <mergeCell ref="CF17:CI17"/>
    <mergeCell ref="Q32:S35"/>
    <mergeCell ref="CZ74:DC74"/>
    <mergeCell ref="CF53:CI53"/>
    <mergeCell ref="CT24:CX24"/>
    <mergeCell ref="DX63:EB63"/>
    <mergeCell ref="CF19:CI19"/>
    <mergeCell ref="CZ67:DC67"/>
    <mergeCell ref="DT88:DW88"/>
    <mergeCell ref="K107:M107"/>
    <mergeCell ref="DT124:DW124"/>
    <mergeCell ref="DN74:DR74"/>
    <mergeCell ref="B12:D15"/>
    <mergeCell ref="DT117:DW117"/>
    <mergeCell ref="CF50:CI50"/>
    <mergeCell ref="T87:V90"/>
    <mergeCell ref="CJ60:CN60"/>
    <mergeCell ref="DN76:DR76"/>
    <mergeCell ref="CT84:CX84"/>
    <mergeCell ref="I13:I14"/>
    <mergeCell ref="DT119:DW119"/>
    <mergeCell ref="CF79:CI79"/>
    <mergeCell ref="CT50:CX50"/>
    <mergeCell ref="DN101:DR101"/>
    <mergeCell ref="CT80:CX80"/>
    <mergeCell ref="N134:P134"/>
    <mergeCell ref="CF81:CI81"/>
    <mergeCell ref="CT52:CX52"/>
    <mergeCell ref="CP97:CS97"/>
    <mergeCell ref="CT79:CX79"/>
    <mergeCell ref="DN100:DR100"/>
    <mergeCell ref="DJ117:DM117"/>
    <mergeCell ref="CP96:CS96"/>
    <mergeCell ref="DT108:DW108"/>
    <mergeCell ref="CZ87:DC87"/>
    <mergeCell ref="DN102:DR102"/>
    <mergeCell ref="CT81:CX81"/>
    <mergeCell ref="DD103:DH103"/>
    <mergeCell ref="CP98:CS98"/>
    <mergeCell ref="H119:J119"/>
    <mergeCell ref="CF63:CI63"/>
    <mergeCell ref="DX119:EB119"/>
    <mergeCell ref="DT139:DW139"/>
    <mergeCell ref="CJ79:CN79"/>
    <mergeCell ref="CJ73:CN73"/>
    <mergeCell ref="DT2:EB3"/>
    <mergeCell ref="CZ113:DC113"/>
    <mergeCell ref="CF92:CI92"/>
    <mergeCell ref="DD129:DH129"/>
    <mergeCell ref="CT63:CX63"/>
    <mergeCell ref="DT51:DW51"/>
    <mergeCell ref="DD123:DH123"/>
    <mergeCell ref="DN120:DR120"/>
    <mergeCell ref="CF5:CI5"/>
    <mergeCell ref="CT99:CX99"/>
    <mergeCell ref="L100:L101"/>
    <mergeCell ref="CJ74:CN74"/>
    <mergeCell ref="CZ115:DC115"/>
    <mergeCell ref="DD131:DH131"/>
    <mergeCell ref="DN113:DR113"/>
    <mergeCell ref="CZ17:DC17"/>
    <mergeCell ref="DN26:DR26"/>
    <mergeCell ref="DJ130:DM130"/>
    <mergeCell ref="I84:I85"/>
    <mergeCell ref="DD124:DH124"/>
    <mergeCell ref="CF6:CI6"/>
    <mergeCell ref="DN140:DR140"/>
    <mergeCell ref="DN115:DR115"/>
    <mergeCell ref="CP22:CS22"/>
    <mergeCell ref="CZ141:DC141"/>
    <mergeCell ref="CZ19:DC19"/>
    <mergeCell ref="DJ132:DM132"/>
    <mergeCell ref="CP2:CX3"/>
    <mergeCell ref="DD126:DH126"/>
    <mergeCell ref="K60:M60"/>
    <mergeCell ref="CJ107:CN107"/>
    <mergeCell ref="CJ101:CN101"/>
    <mergeCell ref="DT33:DW33"/>
    <mergeCell ref="CZ12:DC12"/>
    <mergeCell ref="H51:J51"/>
    <mergeCell ref="DX18:EB18"/>
    <mergeCell ref="B79:D82"/>
    <mergeCell ref="CZ14:DC14"/>
    <mergeCell ref="CJ92:CN92"/>
    <mergeCell ref="DT35:DW35"/>
    <mergeCell ref="DD53:DH53"/>
    <mergeCell ref="W36:CC39"/>
    <mergeCell ref="CP48:CS48"/>
    <mergeCell ref="DT64:DW64"/>
    <mergeCell ref="DD55:DH55"/>
    <mergeCell ref="I112:I113"/>
    <mergeCell ref="CF2:CN3"/>
    <mergeCell ref="CZ38:DC38"/>
    <mergeCell ref="CP33:CS33"/>
    <mergeCell ref="E32:G32"/>
    <mergeCell ref="F96:F97"/>
    <mergeCell ref="CZ65:DC65"/>
    <mergeCell ref="CZ40:DC40"/>
    <mergeCell ref="DJ62:DM62"/>
    <mergeCell ref="DJ56:DM56"/>
    <mergeCell ref="H35:J35"/>
    <mergeCell ref="L108:L109"/>
    <mergeCell ref="T83:V86"/>
    <mergeCell ref="N86:P86"/>
    <mergeCell ref="CP51:CS51"/>
    <mergeCell ref="B107:D110"/>
    <mergeCell ref="CJ120:CN120"/>
    <mergeCell ref="CP66:CS66"/>
    <mergeCell ref="CF77:CI77"/>
    <mergeCell ref="H59:J59"/>
    <mergeCell ref="DX87:EB87"/>
    <mergeCell ref="DD66:DH66"/>
    <mergeCell ref="K131:M131"/>
    <mergeCell ref="CP67:CS67"/>
    <mergeCell ref="DJ82:DM82"/>
    <mergeCell ref="CP61:CS61"/>
    <mergeCell ref="DN98:DR98"/>
    <mergeCell ref="CT77:CX77"/>
    <mergeCell ref="DX89:EB89"/>
    <mergeCell ref="CZ93:DC93"/>
    <mergeCell ref="CF72:CI72"/>
    <mergeCell ref="H90:J90"/>
    <mergeCell ref="T111:V114"/>
    <mergeCell ref="DX88:EB88"/>
    <mergeCell ref="CJ42:CN42"/>
    <mergeCell ref="CZ84:DC84"/>
    <mergeCell ref="DJ119:DM119"/>
    <mergeCell ref="CF59:CI59"/>
    <mergeCell ref="CJ44:CN44"/>
    <mergeCell ref="DJ85:DM85"/>
    <mergeCell ref="CP64:CS64"/>
    <mergeCell ref="CZ109:DC109"/>
    <mergeCell ref="CF88:CI88"/>
    <mergeCell ref="Q103:S106"/>
    <mergeCell ref="DD94:DH94"/>
    <mergeCell ref="CF54:CI54"/>
    <mergeCell ref="CZ111:DC111"/>
    <mergeCell ref="CF90:CI90"/>
    <mergeCell ref="CT61:CX61"/>
    <mergeCell ref="DN109:DR109"/>
    <mergeCell ref="CP122:CS122"/>
    <mergeCell ref="CJ72:CN72"/>
    <mergeCell ref="I49:I50"/>
    <mergeCell ref="DN111:DR111"/>
    <mergeCell ref="CT90:CX90"/>
    <mergeCell ref="CZ112:DC112"/>
    <mergeCell ref="CZ106:DC106"/>
    <mergeCell ref="CF85:CI85"/>
    <mergeCell ref="DD122:DH122"/>
    <mergeCell ref="CT121:CX121"/>
    <mergeCell ref="CF116:CI116"/>
    <mergeCell ref="CT87:CX87"/>
    <mergeCell ref="Q87:S90"/>
    <mergeCell ref="CJ126:CN126"/>
    <mergeCell ref="CT123:CX123"/>
    <mergeCell ref="CF118:CI118"/>
    <mergeCell ref="N31:P31"/>
    <mergeCell ref="CT116:CX116"/>
    <mergeCell ref="N24:P24"/>
    <mergeCell ref="CP133:CS133"/>
    <mergeCell ref="W131:CC134"/>
    <mergeCell ref="O61:O62"/>
    <mergeCell ref="CT118:CX118"/>
    <mergeCell ref="DD140:DH140"/>
    <mergeCell ref="DJ25:DM25"/>
    <mergeCell ref="CZ36:DC36"/>
    <mergeCell ref="CJ116:CN116"/>
    <mergeCell ref="CT134:CX134"/>
    <mergeCell ref="T56:V59"/>
    <mergeCell ref="CJ139:CN139"/>
    <mergeCell ref="CJ111:CN111"/>
    <mergeCell ref="N44:P44"/>
    <mergeCell ref="DT16:DW16"/>
    <mergeCell ref="DX32:EB32"/>
    <mergeCell ref="CT48:CX48"/>
    <mergeCell ref="DJ27:DM27"/>
    <mergeCell ref="CF43:CI43"/>
    <mergeCell ref="CP65:CS65"/>
    <mergeCell ref="H86:J86"/>
    <mergeCell ref="T107:V110"/>
    <mergeCell ref="CZ69:DH70"/>
    <mergeCell ref="DT104:DW104"/>
    <mergeCell ref="E16:G16"/>
    <mergeCell ref="DX27:EB27"/>
    <mergeCell ref="CZ49:DC49"/>
    <mergeCell ref="DT106:DW106"/>
    <mergeCell ref="N95:P95"/>
    <mergeCell ref="CP60:CS60"/>
    <mergeCell ref="DT99:DW99"/>
    <mergeCell ref="DX58:EB58"/>
    <mergeCell ref="O9:O10"/>
    <mergeCell ref="CF25:CI25"/>
    <mergeCell ref="DT101:DW101"/>
    <mergeCell ref="CJ41:CN41"/>
    <mergeCell ref="CF61:CI61"/>
    <mergeCell ref="K69:M70"/>
    <mergeCell ref="N98:P98"/>
    <mergeCell ref="CF56:CI56"/>
    <mergeCell ref="DJ99:DM99"/>
    <mergeCell ref="CP78:CS78"/>
    <mergeCell ref="H99:J99"/>
    <mergeCell ref="N123:P123"/>
    <mergeCell ref="CF112:CI112"/>
    <mergeCell ref="DD21:DH21"/>
    <mergeCell ref="Q83:S86"/>
    <mergeCell ref="CT32:CX32"/>
    <mergeCell ref="CF114:CI114"/>
    <mergeCell ref="CT112:CX112"/>
    <mergeCell ref="L21:L22"/>
    <mergeCell ref="CF107:CI107"/>
    <mergeCell ref="N20:P20"/>
    <mergeCell ref="CP104:CS104"/>
    <mergeCell ref="O57:O58"/>
    <mergeCell ref="CT114:CX114"/>
    <mergeCell ref="CP106:CS106"/>
    <mergeCell ref="H127:J127"/>
    <mergeCell ref="W87:CC90"/>
    <mergeCell ref="E82:G82"/>
    <mergeCell ref="Q2:S3"/>
    <mergeCell ref="CF100:CI100"/>
    <mergeCell ref="CZ121:DC121"/>
    <mergeCell ref="F65:F66"/>
    <mergeCell ref="CP101:CS101"/>
    <mergeCell ref="CF125:CI125"/>
    <mergeCell ref="CF127:CI127"/>
    <mergeCell ref="K39:M39"/>
    <mergeCell ref="N40:P40"/>
    <mergeCell ref="DN6:DR6"/>
    <mergeCell ref="L76:L77"/>
    <mergeCell ref="CT127:CX127"/>
    <mergeCell ref="CP30:CS30"/>
    <mergeCell ref="CF128:CI128"/>
    <mergeCell ref="E12:G12"/>
    <mergeCell ref="N35:P35"/>
    <mergeCell ref="DT13:DW13"/>
    <mergeCell ref="F49:F50"/>
    <mergeCell ref="CZ134:DC134"/>
    <mergeCell ref="DT15:DW15"/>
    <mergeCell ref="W44:CC47"/>
    <mergeCell ref="F80:F81"/>
    <mergeCell ref="O132:O133"/>
    <mergeCell ref="DN17:DR17"/>
    <mergeCell ref="DX139:EB139"/>
    <mergeCell ref="K52:M52"/>
    <mergeCell ref="DN19:DR19"/>
    <mergeCell ref="DX16:EB16"/>
    <mergeCell ref="F104:F105"/>
    <mergeCell ref="DX51:EB51"/>
    <mergeCell ref="L88:L89"/>
    <mergeCell ref="CF52:CI52"/>
    <mergeCell ref="DX9:EB9"/>
    <mergeCell ref="DX11:EB11"/>
    <mergeCell ref="DD17:DH17"/>
    <mergeCell ref="Q69:S70"/>
    <mergeCell ref="DX67:EB67"/>
    <mergeCell ref="DD46:DH46"/>
    <mergeCell ref="DT136:EB137"/>
    <mergeCell ref="CP41:CS41"/>
    <mergeCell ref="L17:L18"/>
    <mergeCell ref="DD12:DH12"/>
    <mergeCell ref="N122:P122"/>
    <mergeCell ref="DJ64:DM64"/>
    <mergeCell ref="B99:D102"/>
    <mergeCell ref="DX62:EB62"/>
    <mergeCell ref="H123:J123"/>
    <mergeCell ref="N107:P107"/>
    <mergeCell ref="DX64:EB64"/>
    <mergeCell ref="CJ24:CN24"/>
    <mergeCell ref="DN63:DR63"/>
    <mergeCell ref="CJ26:CN26"/>
    <mergeCell ref="DD74:DH74"/>
    <mergeCell ref="CF34:CI34"/>
    <mergeCell ref="L45:L46"/>
    <mergeCell ref="DD76:DH76"/>
    <mergeCell ref="DJ75:DM75"/>
    <mergeCell ref="I29:I30"/>
    <mergeCell ref="Q131:S134"/>
    <mergeCell ref="N4:P4"/>
    <mergeCell ref="DN91:DR91"/>
    <mergeCell ref="W111:CC114"/>
    <mergeCell ref="E106:G106"/>
    <mergeCell ref="H134:J134"/>
    <mergeCell ref="DX82:EB82"/>
    <mergeCell ref="CZ86:DC86"/>
    <mergeCell ref="CF124:CI124"/>
    <mergeCell ref="DN93:DR93"/>
    <mergeCell ref="CP115:CS115"/>
    <mergeCell ref="E107:G107"/>
    <mergeCell ref="CT67:CX67"/>
    <mergeCell ref="CP136:CX137"/>
    <mergeCell ref="B24:D27"/>
    <mergeCell ref="DN117:DR117"/>
    <mergeCell ref="DX108:EB108"/>
    <mergeCell ref="O92:O93"/>
    <mergeCell ref="O128:O129"/>
    <mergeCell ref="Q115:S118"/>
    <mergeCell ref="K23:M23"/>
    <mergeCell ref="DX12:EB12"/>
    <mergeCell ref="F100:F101"/>
    <mergeCell ref="DJ7:DM7"/>
    <mergeCell ref="L84:L85"/>
    <mergeCell ref="DX7:EB7"/>
    <mergeCell ref="DT24:DW24"/>
    <mergeCell ref="H4:J4"/>
    <mergeCell ref="CJ91:CN91"/>
    <mergeCell ref="DX38:EB38"/>
    <mergeCell ref="CT82:CX82"/>
    <mergeCell ref="DN43:DR43"/>
    <mergeCell ref="CT22:CX22"/>
    <mergeCell ref="DD19:DH19"/>
    <mergeCell ref="CP39:CS39"/>
    <mergeCell ref="L112:L113"/>
    <mergeCell ref="K67:M67"/>
    <mergeCell ref="DJ35:DM35"/>
    <mergeCell ref="DN51:DR51"/>
    <mergeCell ref="CZ30:DC30"/>
    <mergeCell ref="DX33:EB33"/>
    <mergeCell ref="DN34:DR34"/>
    <mergeCell ref="CT9:CX9"/>
    <mergeCell ref="H32:J32"/>
    <mergeCell ref="DX25:EB25"/>
    <mergeCell ref="DT50:DW50"/>
    <mergeCell ref="CZ29:DC29"/>
    <mergeCell ref="DX60:EB60"/>
    <mergeCell ref="DX35:EB35"/>
    <mergeCell ref="DD14:DH14"/>
    <mergeCell ref="DT80:DW80"/>
    <mergeCell ref="CJ20:CN20"/>
    <mergeCell ref="DT52:DW52"/>
    <mergeCell ref="CZ31:DC31"/>
    <mergeCell ref="DT79:DW79"/>
    <mergeCell ref="CJ22:CN22"/>
    <mergeCell ref="CT4:CX4"/>
    <mergeCell ref="L41:L42"/>
    <mergeCell ref="DT81:DW81"/>
    <mergeCell ref="CJ15:CN15"/>
    <mergeCell ref="K87:M87"/>
    <mergeCell ref="CT12:CX12"/>
    <mergeCell ref="DD72:DH72"/>
    <mergeCell ref="CF7:CI7"/>
    <mergeCell ref="K95:M95"/>
    <mergeCell ref="T71:V74"/>
    <mergeCell ref="DD65:DH65"/>
    <mergeCell ref="DX86:EB86"/>
    <mergeCell ref="DN62:DR62"/>
    <mergeCell ref="DX122:EB122"/>
    <mergeCell ref="N131:P131"/>
    <mergeCell ref="DN56:DR56"/>
    <mergeCell ref="DJ79:DM79"/>
    <mergeCell ref="BZ139:CC139"/>
    <mergeCell ref="E51:G51"/>
    <mergeCell ref="DJ73:DM73"/>
    <mergeCell ref="CF89:CI89"/>
    <mergeCell ref="CJ48:CN48"/>
    <mergeCell ref="K90:M90"/>
    <mergeCell ref="DT63:DW63"/>
    <mergeCell ref="CT38:CX38"/>
    <mergeCell ref="B20:D23"/>
    <mergeCell ref="CJ33:CN33"/>
    <mergeCell ref="DJ74:DM74"/>
    <mergeCell ref="T95:V98"/>
    <mergeCell ref="DJ110:DM110"/>
    <mergeCell ref="CJ43:CN43"/>
    <mergeCell ref="K115:M115"/>
    <mergeCell ref="CT40:CX40"/>
    <mergeCell ref="DX104:EB104"/>
    <mergeCell ref="DD83:DH83"/>
    <mergeCell ref="DJ76:DM76"/>
    <mergeCell ref="CP84:CS84"/>
    <mergeCell ref="CJ34:CN34"/>
    <mergeCell ref="CZ100:DC100"/>
    <mergeCell ref="DX106:EB106"/>
    <mergeCell ref="DD85:DH85"/>
    <mergeCell ref="K19:M19"/>
    <mergeCell ref="CZ110:DC110"/>
    <mergeCell ref="DJ101:DM101"/>
    <mergeCell ref="CP80:CS80"/>
    <mergeCell ref="DX105:EB105"/>
    <mergeCell ref="DD84:DH84"/>
    <mergeCell ref="DX99:EB99"/>
    <mergeCell ref="CJ59:CN59"/>
    <mergeCell ref="DN75:DR75"/>
    <mergeCell ref="L49:L50"/>
    <mergeCell ref="DJ92:DM92"/>
    <mergeCell ref="DX101:EB101"/>
    <mergeCell ref="DD80:DH80"/>
    <mergeCell ref="B48:D51"/>
    <mergeCell ref="CJ61:CN61"/>
    <mergeCell ref="DD109:DH109"/>
    <mergeCell ref="CF105:CI105"/>
    <mergeCell ref="DD111:DH111"/>
    <mergeCell ref="CT122:CX122"/>
    <mergeCell ref="E118:G118"/>
    <mergeCell ref="CT105:CX105"/>
    <mergeCell ref="CP8:CS8"/>
    <mergeCell ref="DN128:DR128"/>
    <mergeCell ref="CP10:CS10"/>
    <mergeCell ref="CZ129:DC129"/>
    <mergeCell ref="DX29:EB29"/>
    <mergeCell ref="DD8:DH8"/>
    <mergeCell ref="CZ123:DC123"/>
    <mergeCell ref="DX31:EB31"/>
    <mergeCell ref="DD10:DH10"/>
    <mergeCell ref="DJ26:DM26"/>
    <mergeCell ref="CP5:CS5"/>
    <mergeCell ref="CJ105:CN105"/>
    <mergeCell ref="Q8:S11"/>
    <mergeCell ref="CT133:CX133"/>
    <mergeCell ref="DT77:DW77"/>
    <mergeCell ref="F112:F113"/>
    <mergeCell ref="DJ42:DM42"/>
    <mergeCell ref="CP21:CS21"/>
    <mergeCell ref="DD36:DH36"/>
    <mergeCell ref="E20:G20"/>
    <mergeCell ref="DD28:DH28"/>
    <mergeCell ref="CZ53:DC53"/>
    <mergeCell ref="CF32:CI32"/>
    <mergeCell ref="DJ44:DM44"/>
    <mergeCell ref="CP23:CS23"/>
    <mergeCell ref="DN60:DR60"/>
    <mergeCell ref="K86:M86"/>
    <mergeCell ref="CZ55:DC55"/>
    <mergeCell ref="H16:J16"/>
    <mergeCell ref="CT5:CX5"/>
    <mergeCell ref="Q28:S31"/>
    <mergeCell ref="DX44:EB44"/>
    <mergeCell ref="CJ4:CN4"/>
    <mergeCell ref="N59:P59"/>
    <mergeCell ref="T91:V94"/>
    <mergeCell ref="CJ39:CN39"/>
    <mergeCell ref="DN55:DR55"/>
    <mergeCell ref="CT36:CX36"/>
    <mergeCell ref="CT30:CX30"/>
    <mergeCell ref="DD54:DH54"/>
    <mergeCell ref="DJ72:DM72"/>
    <mergeCell ref="CF58:CI58"/>
    <mergeCell ref="DT90:DW90"/>
    <mergeCell ref="CP49:CS49"/>
    <mergeCell ref="CT65:CX65"/>
    <mergeCell ref="DD56:DH56"/>
    <mergeCell ref="H67:J67"/>
    <mergeCell ref="CF16:CI16"/>
    <mergeCell ref="CT31:CX31"/>
    <mergeCell ref="CP76:CS76"/>
    <mergeCell ref="H103:J103"/>
    <mergeCell ref="I9:I10"/>
    <mergeCell ref="DD49:DH49"/>
    <mergeCell ref="DN71:DR71"/>
    <mergeCell ref="DJ96:DM96"/>
    <mergeCell ref="K114:M114"/>
    <mergeCell ref="CF18:CI18"/>
    <mergeCell ref="CZ66:DC66"/>
    <mergeCell ref="DT87:DW87"/>
    <mergeCell ref="DX103:EB103"/>
    <mergeCell ref="DX97:EB97"/>
    <mergeCell ref="CJ57:CN57"/>
    <mergeCell ref="DJ98:DM98"/>
    <mergeCell ref="CP77:CS77"/>
    <mergeCell ref="K99:M99"/>
    <mergeCell ref="H98:J98"/>
    <mergeCell ref="T119:V122"/>
    <mergeCell ref="DT116:DW116"/>
    <mergeCell ref="DD107:DH107"/>
    <mergeCell ref="B4:D7"/>
    <mergeCell ref="DJ83:DM83"/>
    <mergeCell ref="CF42:CI42"/>
    <mergeCell ref="DT118:DW118"/>
    <mergeCell ref="CJ58:CN58"/>
    <mergeCell ref="CF103:CI103"/>
    <mergeCell ref="K130:M130"/>
    <mergeCell ref="CJ52:CN52"/>
    <mergeCell ref="CT49:CX49"/>
    <mergeCell ref="CF44:CI44"/>
    <mergeCell ref="H131:J131"/>
    <mergeCell ref="W91:CC94"/>
    <mergeCell ref="H87:J87"/>
    <mergeCell ref="I37:I38"/>
    <mergeCell ref="DD102:DH102"/>
    <mergeCell ref="O21:O22"/>
    <mergeCell ref="CT78:CX78"/>
    <mergeCell ref="DN99:DR99"/>
    <mergeCell ref="CF98:CI98"/>
    <mergeCell ref="DJ116:DM116"/>
    <mergeCell ref="CP95:CS95"/>
    <mergeCell ref="DD110:DH110"/>
    <mergeCell ref="DT134:DW134"/>
    <mergeCell ref="DJ109:DM109"/>
    <mergeCell ref="K127:M127"/>
    <mergeCell ref="H82:J82"/>
    <mergeCell ref="DJ139:DM139"/>
    <mergeCell ref="DX116:EB116"/>
    <mergeCell ref="N11:P11"/>
    <mergeCell ref="F29:F30"/>
    <mergeCell ref="T2:V3"/>
    <mergeCell ref="CJ114:CN114"/>
    <mergeCell ref="DJ111:DM111"/>
    <mergeCell ref="I65:I66"/>
    <mergeCell ref="CP90:CS90"/>
    <mergeCell ref="DJ2:DR3"/>
    <mergeCell ref="CT129:CX129"/>
    <mergeCell ref="CZ122:DC122"/>
    <mergeCell ref="DT48:DW48"/>
    <mergeCell ref="DD120:DH120"/>
    <mergeCell ref="DJ140:DM140"/>
    <mergeCell ref="CP121:CS121"/>
    <mergeCell ref="DT14:DW14"/>
    <mergeCell ref="CJ71:CN71"/>
    <mergeCell ref="CT131:CX131"/>
    <mergeCell ref="CF126:CI126"/>
    <mergeCell ref="N39:P39"/>
    <mergeCell ref="DD121:DH121"/>
    <mergeCell ref="E99:G99"/>
    <mergeCell ref="L92:L93"/>
    <mergeCell ref="CZ138:DC138"/>
    <mergeCell ref="CZ132:DC132"/>
    <mergeCell ref="H12:J12"/>
    <mergeCell ref="CZ9:DC9"/>
    <mergeCell ref="H48:J48"/>
    <mergeCell ref="CZ140:DC140"/>
    <mergeCell ref="DJ41:DM41"/>
    <mergeCell ref="CT113:CX113"/>
    <mergeCell ref="H43:J43"/>
    <mergeCell ref="T64:V67"/>
    <mergeCell ref="CP45:CS45"/>
    <mergeCell ref="CP134:CS134"/>
    <mergeCell ref="CP47:CS47"/>
    <mergeCell ref="H74:J74"/>
    <mergeCell ref="W28:CC31"/>
    <mergeCell ref="CF139:CI139"/>
    <mergeCell ref="CP46:CS46"/>
    <mergeCell ref="DD134:DH134"/>
    <mergeCell ref="CZ37:DC37"/>
    <mergeCell ref="E31:G31"/>
    <mergeCell ref="DD47:DH47"/>
    <mergeCell ref="I104:I105"/>
    <mergeCell ref="DT32:DW32"/>
    <mergeCell ref="DT112:DW112"/>
    <mergeCell ref="CF38:CI38"/>
    <mergeCell ref="DT114:DW114"/>
    <mergeCell ref="CF40:CI40"/>
    <mergeCell ref="CF67:CI67"/>
    <mergeCell ref="DN36:DR36"/>
    <mergeCell ref="W56:CC59"/>
    <mergeCell ref="O17:O18"/>
    <mergeCell ref="CT76:CX76"/>
    <mergeCell ref="K123:M123"/>
    <mergeCell ref="CP59:CS59"/>
    <mergeCell ref="H122:J122"/>
    <mergeCell ref="E44:G44"/>
    <mergeCell ref="CP86:CS86"/>
    <mergeCell ref="DT125:DW125"/>
    <mergeCell ref="N8:P8"/>
    <mergeCell ref="CP117:CS117"/>
    <mergeCell ref="DT127:DW127"/>
    <mergeCell ref="O45:O46"/>
    <mergeCell ref="CF87:CI87"/>
    <mergeCell ref="CP119:CS119"/>
    <mergeCell ref="DX79:EB79"/>
    <mergeCell ref="DD117:DH117"/>
    <mergeCell ref="W75:CC78"/>
    <mergeCell ref="L29:L30"/>
    <mergeCell ref="CP112:CS112"/>
    <mergeCell ref="CF82:CI82"/>
    <mergeCell ref="DD119:DH119"/>
    <mergeCell ref="F9:F10"/>
    <mergeCell ref="CJ94:CN94"/>
    <mergeCell ref="CP114:CS114"/>
    <mergeCell ref="CF113:CI113"/>
    <mergeCell ref="B69:D70"/>
    <mergeCell ref="CJ129:CN129"/>
    <mergeCell ref="CJ123:CN123"/>
    <mergeCell ref="DJ120:DM120"/>
    <mergeCell ref="E98:G98"/>
    <mergeCell ref="CJ95:CN95"/>
    <mergeCell ref="CJ89:CN89"/>
    <mergeCell ref="CJ97:CN97"/>
    <mergeCell ref="CP130:CS130"/>
    <mergeCell ref="CJ124:CN124"/>
    <mergeCell ref="CT115:CX115"/>
    <mergeCell ref="CF141:CI141"/>
    <mergeCell ref="N23:P23"/>
    <mergeCell ref="CP132:CS132"/>
    <mergeCell ref="DD130:DH130"/>
    <mergeCell ref="I100:I101"/>
    <mergeCell ref="CZ35:DC35"/>
    <mergeCell ref="CJ113:CN113"/>
    <mergeCell ref="CP127:CS127"/>
    <mergeCell ref="N74:P74"/>
    <mergeCell ref="CJ108:CN108"/>
    <mergeCell ref="W52:CC55"/>
    <mergeCell ref="W60:CC63"/>
    <mergeCell ref="I120:I121"/>
    <mergeCell ref="DX24:EB24"/>
    <mergeCell ref="CP57:CS57"/>
    <mergeCell ref="CT10:CX10"/>
    <mergeCell ref="T99:V102"/>
    <mergeCell ref="CT39:CX39"/>
    <mergeCell ref="Q56:S59"/>
    <mergeCell ref="O41:O42"/>
    <mergeCell ref="DD30:DH30"/>
    <mergeCell ref="N87:P87"/>
    <mergeCell ref="W71:CC74"/>
    <mergeCell ref="DT67:DW67"/>
    <mergeCell ref="DX77:EB77"/>
    <mergeCell ref="O72:O73"/>
    <mergeCell ref="F132:F133"/>
    <mergeCell ref="E67:G67"/>
    <mergeCell ref="CJ32:CN32"/>
    <mergeCell ref="CT29:CX29"/>
    <mergeCell ref="CT23:CX23"/>
    <mergeCell ref="K106:M106"/>
    <mergeCell ref="CF104:CI104"/>
    <mergeCell ref="Q119:S122"/>
    <mergeCell ref="DN79:DR79"/>
    <mergeCell ref="Q75:S78"/>
    <mergeCell ref="DN73:DR73"/>
    <mergeCell ref="DX95:EB95"/>
    <mergeCell ref="L53:L54"/>
    <mergeCell ref="CF106:CI106"/>
    <mergeCell ref="N19:P19"/>
    <mergeCell ref="CJ122:CN122"/>
    <mergeCell ref="DX96:EB96"/>
    <mergeCell ref="DJ91:DM91"/>
    <mergeCell ref="DD100:DH100"/>
    <mergeCell ref="F57:F58"/>
    <mergeCell ref="K36:M36"/>
    <mergeCell ref="DN92:DR92"/>
    <mergeCell ref="DN5:DR5"/>
    <mergeCell ref="DX124:EB124"/>
    <mergeCell ref="DX118:EB118"/>
    <mergeCell ref="K31:M31"/>
    <mergeCell ref="DJ15:DM15"/>
    <mergeCell ref="DT12:DW12"/>
    <mergeCell ref="DX22:EB22"/>
    <mergeCell ref="DX134:EB134"/>
    <mergeCell ref="DT7:DW7"/>
    <mergeCell ref="DX46:EB46"/>
    <mergeCell ref="DN16:DR16"/>
    <mergeCell ref="H20:J20"/>
    <mergeCell ref="CP20:CS20"/>
    <mergeCell ref="DT38:DW38"/>
    <mergeCell ref="CZ11:DC11"/>
    <mergeCell ref="DJ33:DM33"/>
    <mergeCell ref="DX48:EB48"/>
    <mergeCell ref="DD27:DH27"/>
    <mergeCell ref="DN18:DR18"/>
    <mergeCell ref="DJ43:DM43"/>
    <mergeCell ref="DJ34:DM34"/>
    <mergeCell ref="CP9:CS9"/>
    <mergeCell ref="K75:M75"/>
    <mergeCell ref="W64:CC67"/>
    <mergeCell ref="DJ136:DR137"/>
    <mergeCell ref="DN42:DR42"/>
    <mergeCell ref="N111:P111"/>
    <mergeCell ref="CF20:CI20"/>
    <mergeCell ref="DJ59:DM59"/>
    <mergeCell ref="CJ5:CN5"/>
    <mergeCell ref="CP38:CS38"/>
    <mergeCell ref="DD9:DH9"/>
    <mergeCell ref="N119:P119"/>
    <mergeCell ref="DN44:DR44"/>
    <mergeCell ref="DD45:DH45"/>
    <mergeCell ref="O25:O26"/>
    <mergeCell ref="CP4:CS4"/>
    <mergeCell ref="CT20:CX20"/>
    <mergeCell ref="CP40:CS40"/>
    <mergeCell ref="DD11:DH11"/>
    <mergeCell ref="DX59:EB59"/>
    <mergeCell ref="CF15:CI15"/>
    <mergeCell ref="K103:M103"/>
    <mergeCell ref="CZ72:DC72"/>
    <mergeCell ref="CF51:CI51"/>
    <mergeCell ref="DJ54:DM54"/>
    <mergeCell ref="L9:L10"/>
    <mergeCell ref="CP92:CS92"/>
    <mergeCell ref="N114:P114"/>
    <mergeCell ref="DX61:EB61"/>
    <mergeCell ref="B8:D11"/>
    <mergeCell ref="DT122:DW122"/>
    <mergeCell ref="DT78:DW78"/>
    <mergeCell ref="H69:J70"/>
    <mergeCell ref="DN72:DR72"/>
    <mergeCell ref="CP94:CS94"/>
    <mergeCell ref="CT46:CX46"/>
    <mergeCell ref="DD37:DH37"/>
    <mergeCell ref="Q99:S102"/>
    <mergeCell ref="CJ16:CN16"/>
    <mergeCell ref="DD98:DH98"/>
    <mergeCell ref="N130:P130"/>
    <mergeCell ref="CF33:CI33"/>
    <mergeCell ref="CJ18:CN18"/>
    <mergeCell ref="DN88:DR88"/>
    <mergeCell ref="L37:L38"/>
    <mergeCell ref="CZ83:DC83"/>
    <mergeCell ref="DX114:EB114"/>
    <mergeCell ref="DD93:DH93"/>
    <mergeCell ref="DN90:DR90"/>
    <mergeCell ref="CZ85:DC85"/>
    <mergeCell ref="DT133:DW133"/>
    <mergeCell ref="I21:I22"/>
    <mergeCell ref="DN83:DR83"/>
    <mergeCell ref="CJ103:CN103"/>
    <mergeCell ref="W2:CC3"/>
    <mergeCell ref="CT66:CX66"/>
    <mergeCell ref="L65:L66"/>
    <mergeCell ref="CJ77:CN77"/>
    <mergeCell ref="CT59:CX59"/>
    <mergeCell ref="CJ98:CN98"/>
    <mergeCell ref="DN141:DR141"/>
    <mergeCell ref="DN116:DR116"/>
    <mergeCell ref="CT95:CX95"/>
    <mergeCell ref="DT39:DW39"/>
    <mergeCell ref="CT89:CX89"/>
    <mergeCell ref="DX132:EB132"/>
    <mergeCell ref="DT5:DW5"/>
    <mergeCell ref="K55:M55"/>
    <mergeCell ref="N56:P56"/>
    <mergeCell ref="CT97:CX97"/>
    <mergeCell ref="CZ13:DC13"/>
    <mergeCell ref="DJ4:DM4"/>
    <mergeCell ref="O120:O121"/>
    <mergeCell ref="DJ39:DM39"/>
    <mergeCell ref="DX133:EB133"/>
    <mergeCell ref="DX127:EB127"/>
    <mergeCell ref="CZ15:DC15"/>
    <mergeCell ref="K40:M40"/>
    <mergeCell ref="CJ87:CN87"/>
    <mergeCell ref="DT30:DW30"/>
    <mergeCell ref="DN13:DR13"/>
    <mergeCell ref="DJ128:DM128"/>
    <mergeCell ref="DX4:EB4"/>
    <mergeCell ref="DT29:DW29"/>
    <mergeCell ref="CZ8:DC8"/>
    <mergeCell ref="DT65:DW65"/>
    <mergeCell ref="K71:M71"/>
    <mergeCell ref="DN38:DR38"/>
    <mergeCell ref="DT31:DW31"/>
    <mergeCell ref="CZ10:DC10"/>
    <mergeCell ref="CJ88:CN88"/>
    <mergeCell ref="DT58:DW58"/>
    <mergeCell ref="CZ25:DC25"/>
    <mergeCell ref="DN40:DR40"/>
    <mergeCell ref="CJ90:CN90"/>
    <mergeCell ref="DD138:DH138"/>
    <mergeCell ref="DT60:DW60"/>
    <mergeCell ref="DD132:DH132"/>
    <mergeCell ref="DJ57:DM57"/>
    <mergeCell ref="CP36:CS36"/>
    <mergeCell ref="DD51:DH51"/>
    <mergeCell ref="K74:M74"/>
    <mergeCell ref="CF22:CI22"/>
    <mergeCell ref="DN41:DR41"/>
    <mergeCell ref="N110:P110"/>
    <mergeCell ref="E2:G3"/>
    <mergeCell ref="DJ58:DM58"/>
    <mergeCell ref="DJ52:DM52"/>
    <mergeCell ref="H31:J31"/>
    <mergeCell ref="CP31:CS31"/>
    <mergeCell ref="T79:V82"/>
    <mergeCell ref="CZ28:DC28"/>
    <mergeCell ref="DT49:DW49"/>
    <mergeCell ref="B87:D90"/>
    <mergeCell ref="DD67:DH67"/>
    <mergeCell ref="DJ60:DM60"/>
    <mergeCell ref="DT42:DW42"/>
    <mergeCell ref="H60:J60"/>
    <mergeCell ref="B95:D98"/>
    <mergeCell ref="CJ12:CN12"/>
    <mergeCell ref="DT44:DW44"/>
    <mergeCell ref="CF29:CI29"/>
    <mergeCell ref="CF4:CI4"/>
    <mergeCell ref="CJ14:CN14"/>
    <mergeCell ref="DD62:DH62"/>
    <mergeCell ref="DJ55:DM55"/>
    <mergeCell ref="DN59:DR59"/>
    <mergeCell ref="L33:L34"/>
    <mergeCell ref="CZ79:DC79"/>
    <mergeCell ref="CZ54:DC54"/>
    <mergeCell ref="DX85:EB85"/>
    <mergeCell ref="DD64:DH64"/>
    <mergeCell ref="DJ80:DM80"/>
    <mergeCell ref="CZ81:DC81"/>
    <mergeCell ref="CZ56:DC56"/>
    <mergeCell ref="DT129:DW129"/>
    <mergeCell ref="B115:D118"/>
    <mergeCell ref="CJ38:CN38"/>
    <mergeCell ref="DN54:DR54"/>
    <mergeCell ref="DJ71:DM71"/>
    <mergeCell ref="DT131:DW131"/>
    <mergeCell ref="E43:G43"/>
    <mergeCell ref="Q64:S67"/>
    <mergeCell ref="DN81:DR81"/>
    <mergeCell ref="CJ40:CN40"/>
    <mergeCell ref="CT62:CX62"/>
    <mergeCell ref="CZ76:DC76"/>
    <mergeCell ref="CF84:CI84"/>
    <mergeCell ref="CP75:CS75"/>
    <mergeCell ref="E131:G131"/>
    <mergeCell ref="DN112:DR112"/>
    <mergeCell ref="CT91:CX91"/>
    <mergeCell ref="DD82:DH82"/>
    <mergeCell ref="DT126:DW126"/>
    <mergeCell ref="K138:M138"/>
    <mergeCell ref="CZ107:DC107"/>
    <mergeCell ref="CF86:CI86"/>
    <mergeCell ref="CT57:CX57"/>
    <mergeCell ref="CT93:CX93"/>
    <mergeCell ref="DD75:DH75"/>
    <mergeCell ref="DT113:DW113"/>
    <mergeCell ref="CZ92:DC92"/>
    <mergeCell ref="DN107:DR107"/>
    <mergeCell ref="CT86:CX86"/>
    <mergeCell ref="CZ102:DC102"/>
    <mergeCell ref="I53:I54"/>
    <mergeCell ref="CT117:CX117"/>
    <mergeCell ref="E69:G70"/>
    <mergeCell ref="CZ6:DC6"/>
    <mergeCell ref="CJ84:CN84"/>
    <mergeCell ref="CT119:CX119"/>
    <mergeCell ref="E115:G115"/>
    <mergeCell ref="CT75:CX75"/>
    <mergeCell ref="N27:P27"/>
    <mergeCell ref="CJ86:CN86"/>
    <mergeCell ref="CJ80:CN80"/>
    <mergeCell ref="DN125:DR125"/>
    <mergeCell ref="CP129:CS129"/>
    <mergeCell ref="CZ120:DC120"/>
    <mergeCell ref="CF99:CI99"/>
    <mergeCell ref="DN127:DR127"/>
    <mergeCell ref="CP131:CS131"/>
    <mergeCell ref="DX28:EB28"/>
    <mergeCell ref="DJ23:DM23"/>
    <mergeCell ref="DN39:DR39"/>
    <mergeCell ref="CJ112:CN112"/>
    <mergeCell ref="CT130:CX130"/>
    <mergeCell ref="T52:V55"/>
    <mergeCell ref="CJ141:CN141"/>
    <mergeCell ref="DT40:DW40"/>
    <mergeCell ref="CT132:CX132"/>
    <mergeCell ref="DT76:DW76"/>
    <mergeCell ref="W16:CC19"/>
    <mergeCell ref="DJ51:DM51"/>
    <mergeCell ref="CZ50:DC50"/>
    <mergeCell ref="DD35:DH35"/>
    <mergeCell ref="CP55:CS55"/>
    <mergeCell ref="K83:M83"/>
    <mergeCell ref="CZ52:DC52"/>
    <mergeCell ref="CF31:CI31"/>
    <mergeCell ref="DN50:DR50"/>
    <mergeCell ref="L120:L121"/>
    <mergeCell ref="CT25:CX25"/>
    <mergeCell ref="CZ45:DC45"/>
    <mergeCell ref="B119:D122"/>
    <mergeCell ref="DT102:DW102"/>
    <mergeCell ref="E39:G39"/>
    <mergeCell ref="CJ36:CN36"/>
    <mergeCell ref="Q136:S136"/>
    <mergeCell ref="CZ47:DC47"/>
    <mergeCell ref="CF26:CI26"/>
    <mergeCell ref="CJ125:CN125"/>
    <mergeCell ref="DT95:DW95"/>
    <mergeCell ref="CJ127:CN127"/>
    <mergeCell ref="DT97:DW97"/>
    <mergeCell ref="CF57:CI57"/>
    <mergeCell ref="CT28:CX28"/>
    <mergeCell ref="CP73:CS73"/>
    <mergeCell ref="CF23:CI23"/>
    <mergeCell ref="CZ63:DC63"/>
    <mergeCell ref="DJ95:DM95"/>
    <mergeCell ref="CP74:CS74"/>
    <mergeCell ref="DJ89:DM89"/>
    <mergeCell ref="H95:J95"/>
    <mergeCell ref="I132:I133"/>
    <mergeCell ref="DD104:DH104"/>
    <mergeCell ref="DJ97:DM97"/>
    <mergeCell ref="DJ124:DM124"/>
    <mergeCell ref="Q79:S82"/>
    <mergeCell ref="DT115:DW115"/>
    <mergeCell ref="CJ49:CN49"/>
    <mergeCell ref="CZ91:DC91"/>
    <mergeCell ref="DJ126:DM126"/>
    <mergeCell ref="BW139:BY139"/>
    <mergeCell ref="E83:G83"/>
    <mergeCell ref="DD99:DH99"/>
    <mergeCell ref="N106:P106"/>
    <mergeCell ref="DT141:DW141"/>
    <mergeCell ref="B127:D130"/>
    <mergeCell ref="CZ116:DC116"/>
    <mergeCell ref="O53:O54"/>
    <mergeCell ref="CF95:CI95"/>
    <mergeCell ref="CT110:CX110"/>
    <mergeCell ref="DD101:DH101"/>
    <mergeCell ref="CP102:CS102"/>
    <mergeCell ref="CZ118:DC118"/>
    <mergeCell ref="CF97:CI97"/>
    <mergeCell ref="W83:CC86"/>
    <mergeCell ref="E78:G78"/>
    <mergeCell ref="H115:J115"/>
    <mergeCell ref="E114:G114"/>
    <mergeCell ref="CZ117:DC117"/>
    <mergeCell ref="CF96:CI96"/>
    <mergeCell ref="DJ108:DM108"/>
    <mergeCell ref="E86:G86"/>
    <mergeCell ref="CP87:CS87"/>
    <mergeCell ref="Q107:S110"/>
    <mergeCell ref="H27:J27"/>
    <mergeCell ref="T48:V51"/>
    <mergeCell ref="CZ119:DC119"/>
    <mergeCell ref="CT128:CX128"/>
    <mergeCell ref="W12:CC15"/>
    <mergeCell ref="CF123:CI123"/>
    <mergeCell ref="N36:P36"/>
    <mergeCell ref="L72:L73"/>
    <mergeCell ref="O100:O101"/>
    <mergeCell ref="CP138:CS138"/>
    <mergeCell ref="CP113:CS113"/>
    <mergeCell ref="K2:M3"/>
    <mergeCell ref="CF136:CN137"/>
    <mergeCell ref="E8:G8"/>
    <mergeCell ref="CZ139:DC139"/>
    <mergeCell ref="CP140:CS140"/>
    <mergeCell ref="CZ130:DC130"/>
    <mergeCell ref="CJ121:CN121"/>
    <mergeCell ref="DN20:DR20"/>
    <mergeCell ref="N64:P64"/>
    <mergeCell ref="F76:F77"/>
    <mergeCell ref="CF134:CI134"/>
    <mergeCell ref="DT93:DW93"/>
    <mergeCell ref="CP44:CS44"/>
    <mergeCell ref="K48:M48"/>
    <mergeCell ref="CF55:CI55"/>
    <mergeCell ref="DN15:DR15"/>
    <mergeCell ref="CP37:CS37"/>
    <mergeCell ref="CT53:CX53"/>
    <mergeCell ref="DD44:DH44"/>
    <mergeCell ref="CF48:CI48"/>
    <mergeCell ref="F92:F93"/>
    <mergeCell ref="CT55:CX55"/>
    <mergeCell ref="I128:I129"/>
    <mergeCell ref="Q44:S47"/>
    <mergeCell ref="E23:G23"/>
    <mergeCell ref="N75:P75"/>
    <mergeCell ref="CJ134:CN134"/>
    <mergeCell ref="CF37:CI37"/>
    <mergeCell ref="DN33:DR33"/>
    <mergeCell ref="N102:P102"/>
    <mergeCell ref="L13:L14"/>
    <mergeCell ref="B123:D126"/>
    <mergeCell ref="DX65:EB65"/>
    <mergeCell ref="CF66:CI66"/>
    <mergeCell ref="CZ89:DC89"/>
    <mergeCell ref="W79:CC82"/>
    <mergeCell ref="N103:P103"/>
    <mergeCell ref="I25:I26"/>
    <mergeCell ref="DN87:DR87"/>
    <mergeCell ref="E110:G110"/>
    <mergeCell ref="CZ82:DC82"/>
    <mergeCell ref="DN89:DR89"/>
    <mergeCell ref="H106:J106"/>
    <mergeCell ref="CF119:CI119"/>
    <mergeCell ref="N7:P7"/>
    <mergeCell ref="O96:O97"/>
    <mergeCell ref="CP109:CS109"/>
    <mergeCell ref="W107:CC110"/>
    <mergeCell ref="H130:J130"/>
    <mergeCell ref="DX78:EB78"/>
    <mergeCell ref="O37:O38"/>
    <mergeCell ref="CT94:CX94"/>
    <mergeCell ref="W99:CC102"/>
    <mergeCell ref="E94:G94"/>
    <mergeCell ref="K122:M122"/>
    <mergeCell ref="CP111:CS111"/>
    <mergeCell ref="DX80:EB80"/>
    <mergeCell ref="CF122:CI122"/>
    <mergeCell ref="E95:G95"/>
    <mergeCell ref="F45:F46"/>
    <mergeCell ref="N60:P60"/>
    <mergeCell ref="F72:F73"/>
    <mergeCell ref="DN105:DR105"/>
    <mergeCell ref="O124:O125"/>
    <mergeCell ref="Q111:S114"/>
    <mergeCell ref="CF138:CI138"/>
    <mergeCell ref="CF132:CI132"/>
    <mergeCell ref="DX8:EB8"/>
    <mergeCell ref="N55:P55"/>
    <mergeCell ref="DX10:EB10"/>
    <mergeCell ref="CF133:CI133"/>
    <mergeCell ref="E123:G123"/>
    <mergeCell ref="DJ5:DM5"/>
    <mergeCell ref="B40:D43"/>
    <mergeCell ref="H64:J64"/>
    <mergeCell ref="DT20:DW20"/>
    <mergeCell ref="N71:P71"/>
    <mergeCell ref="DX5:EB5"/>
    <mergeCell ref="O108:O109"/>
    <mergeCell ref="DD13:DH13"/>
    <mergeCell ref="DN29:DR29"/>
    <mergeCell ref="DN4:DR4"/>
    <mergeCell ref="DT22:DW22"/>
    <mergeCell ref="DD15:DH15"/>
    <mergeCell ref="DX30:EB30"/>
    <mergeCell ref="DN31:DR31"/>
    <mergeCell ref="DN24:DR24"/>
    <mergeCell ref="DX21:EB21"/>
    <mergeCell ref="DT46:DW46"/>
    <mergeCell ref="E134:G134"/>
    <mergeCell ref="DJ16:DM16"/>
    <mergeCell ref="H2:J3"/>
    <mergeCell ref="DN32:DR32"/>
    <mergeCell ref="E47:G47"/>
    <mergeCell ref="CT7:CX7"/>
    <mergeCell ref="DX23:EB23"/>
    <mergeCell ref="CZ27:DC27"/>
    <mergeCell ref="DJ18:DM18"/>
    <mergeCell ref="DN57:DR57"/>
    <mergeCell ref="CT8:CX8"/>
    <mergeCell ref="E63:G63"/>
    <mergeCell ref="K91:M91"/>
    <mergeCell ref="DN58:DR58"/>
    <mergeCell ref="W103:CC106"/>
    <mergeCell ref="DN52:DR52"/>
    <mergeCell ref="DX74:EB74"/>
    <mergeCell ref="DX49:EB49"/>
    <mergeCell ref="O33:O34"/>
    <mergeCell ref="BW136:CC137"/>
    <mergeCell ref="DX76:EB76"/>
    <mergeCell ref="DT59:DW59"/>
    <mergeCell ref="DT89:DW89"/>
    <mergeCell ref="CJ29:CN29"/>
    <mergeCell ref="F41:F42"/>
    <mergeCell ref="DT61:DW61"/>
    <mergeCell ref="CJ31:CN31"/>
    <mergeCell ref="DD79:DH79"/>
    <mergeCell ref="DX100:EB100"/>
    <mergeCell ref="CT21:CX21"/>
    <mergeCell ref="DX102:EB102"/>
    <mergeCell ref="DD81:DH81"/>
    <mergeCell ref="E122:G122"/>
    <mergeCell ref="K15:M15"/>
    <mergeCell ref="DN96:DR96"/>
    <mergeCell ref="DX131:EB131"/>
    <mergeCell ref="DJ88:DM88"/>
    <mergeCell ref="F25:F26"/>
    <mergeCell ref="B36:D39"/>
    <mergeCell ref="T75:V78"/>
    <mergeCell ref="DJ90:DM90"/>
    <mergeCell ref="DX113:EB113"/>
    <mergeCell ref="DD92:DH92"/>
    <mergeCell ref="DN124:DR124"/>
    <mergeCell ref="CT103:CX103"/>
    <mergeCell ref="CP6:CS6"/>
    <mergeCell ref="DX115:EB115"/>
    <mergeCell ref="K28:M28"/>
    <mergeCell ref="DN126:DR126"/>
    <mergeCell ref="E130:G130"/>
    <mergeCell ref="DJ12:DM12"/>
    <mergeCell ref="T12:V15"/>
    <mergeCell ref="DD6:DH6"/>
    <mergeCell ref="CT92:CX92"/>
    <mergeCell ref="DJ14:DM14"/>
    <mergeCell ref="DJ13:DM13"/>
    <mergeCell ref="DT4:DW4"/>
    <mergeCell ref="DX14:EB14"/>
    <mergeCell ref="CJ96:CN96"/>
    <mergeCell ref="T36:V39"/>
    <mergeCell ref="DJ38:DM38"/>
    <mergeCell ref="K56:M56"/>
    <mergeCell ref="CP17:CS17"/>
    <mergeCell ref="CT6:CX6"/>
    <mergeCell ref="H11:J11"/>
    <mergeCell ref="DX45:EB45"/>
    <mergeCell ref="DD24:DH24"/>
    <mergeCell ref="DD18:DH18"/>
    <mergeCell ref="DJ40:DM40"/>
    <mergeCell ref="H19:J19"/>
    <mergeCell ref="CP19:CS19"/>
    <mergeCell ref="CZ41:DC41"/>
    <mergeCell ref="B75:D78"/>
    <mergeCell ref="DX47:EB47"/>
    <mergeCell ref="DD26:DH26"/>
    <mergeCell ref="CZ51:DC51"/>
    <mergeCell ref="DN139:DR139"/>
    <mergeCell ref="CZ34:DC34"/>
    <mergeCell ref="DT91:DW91"/>
    <mergeCell ref="Q24:S27"/>
    <mergeCell ref="DX40:EB40"/>
    <mergeCell ref="CT60:CX60"/>
    <mergeCell ref="DT57:DW57"/>
    <mergeCell ref="DT84:DW84"/>
    <mergeCell ref="F120:F121"/>
    <mergeCell ref="DD50:DH50"/>
    <mergeCell ref="DN66:DR66"/>
    <mergeCell ref="B103:D106"/>
    <mergeCell ref="DT86:DW86"/>
    <mergeCell ref="CF46:CI46"/>
    <mergeCell ref="DD16:DH16"/>
    <mergeCell ref="CT17:CX17"/>
    <mergeCell ref="DX98:EB98"/>
    <mergeCell ref="DD77:DH77"/>
    <mergeCell ref="CT11:CX11"/>
    <mergeCell ref="DD52:DH52"/>
    <mergeCell ref="CF12:CI12"/>
    <mergeCell ref="K94:M94"/>
    <mergeCell ref="CT19:CX19"/>
    <mergeCell ref="DN67:DR67"/>
    <mergeCell ref="CF14:CI14"/>
    <mergeCell ref="CZ62:DC62"/>
    <mergeCell ref="CF41:CI41"/>
    <mergeCell ref="DJ84:DM84"/>
    <mergeCell ref="K102:M102"/>
    <mergeCell ref="BW141:BY141"/>
    <mergeCell ref="DX93:EB93"/>
    <mergeCell ref="DT75:DW75"/>
    <mergeCell ref="CJ53:CN53"/>
    <mergeCell ref="CT44:CX44"/>
    <mergeCell ref="CZ64:DC64"/>
    <mergeCell ref="DJ86:DM86"/>
    <mergeCell ref="L132:L133"/>
    <mergeCell ref="CJ55:CN55"/>
    <mergeCell ref="DN94:DR94"/>
    <mergeCell ref="CT73:CX73"/>
    <mergeCell ref="B131:D134"/>
    <mergeCell ref="CT45:CX45"/>
    <mergeCell ref="DD88:DH88"/>
    <mergeCell ref="DD63:DH63"/>
    <mergeCell ref="DJ81:DM81"/>
    <mergeCell ref="O104:O105"/>
    <mergeCell ref="CT47:CX47"/>
    <mergeCell ref="DN95:DR95"/>
    <mergeCell ref="CT74:CX74"/>
    <mergeCell ref="DX117:EB117"/>
    <mergeCell ref="DD96:DH96"/>
    <mergeCell ref="DX111:EB111"/>
    <mergeCell ref="DD90:DH90"/>
    <mergeCell ref="DJ112:DM112"/>
    <mergeCell ref="CP91:CS91"/>
    <mergeCell ref="DN122:DR122"/>
    <mergeCell ref="DN97:DR97"/>
    <mergeCell ref="DT130:DW130"/>
    <mergeCell ref="B60:D63"/>
    <mergeCell ref="DJ105:DM105"/>
    <mergeCell ref="DT43:DW43"/>
    <mergeCell ref="CP93:CS93"/>
    <mergeCell ref="DJ141:DM141"/>
    <mergeCell ref="CZ75:DC75"/>
    <mergeCell ref="H114:J114"/>
    <mergeCell ref="DD91:DH91"/>
    <mergeCell ref="DX112:EB112"/>
    <mergeCell ref="DT132:DW132"/>
    <mergeCell ref="CJ66:CN66"/>
    <mergeCell ref="DN82:DR82"/>
    <mergeCell ref="DJ107:DM107"/>
    <mergeCell ref="DX141:EB141"/>
    <mergeCell ref="DD116:DH116"/>
    <mergeCell ref="Q91:S94"/>
    <mergeCell ref="CJ67:CN67"/>
    <mergeCell ref="T32:V35"/>
    <mergeCell ref="DD118:DH118"/>
    <mergeCell ref="CP13:CS13"/>
    <mergeCell ref="CZ4:DC4"/>
    <mergeCell ref="DN133:DR133"/>
    <mergeCell ref="DN108:DR108"/>
    <mergeCell ref="DJ36:DM36"/>
    <mergeCell ref="H15:J15"/>
    <mergeCell ref="CP15:CS15"/>
    <mergeCell ref="DX130:EB130"/>
    <mergeCell ref="B71:D74"/>
    <mergeCell ref="N2:P3"/>
    <mergeCell ref="DJ125:DM125"/>
    <mergeCell ref="H8:J8"/>
    <mergeCell ref="Q20:S23"/>
    <mergeCell ref="DJ127:DM127"/>
    <mergeCell ref="DX125:EB125"/>
    <mergeCell ref="DT28:DW28"/>
    <mergeCell ref="CZ7:DC7"/>
    <mergeCell ref="CF140:CI140"/>
    <mergeCell ref="DT69:EB70"/>
    <mergeCell ref="DN37:DR37"/>
    <mergeCell ref="CT138:CX138"/>
    <mergeCell ref="H39:J39"/>
    <mergeCell ref="T60:V63"/>
    <mergeCell ref="K63:M63"/>
    <mergeCell ref="I76:I77"/>
    <mergeCell ref="DD48:DH48"/>
    <mergeCell ref="CF8:CI8"/>
    <mergeCell ref="CT140:CX140"/>
    <mergeCell ref="CP43:CS43"/>
    <mergeCell ref="W24:CC27"/>
    <mergeCell ref="N48:P48"/>
    <mergeCell ref="CZ58:DC58"/>
    <mergeCell ref="CP34:CS34"/>
    <mergeCell ref="W32:CC35"/>
    <mergeCell ref="DJ49:DM49"/>
    <mergeCell ref="H28:J28"/>
    <mergeCell ref="E27:G27"/>
    <mergeCell ref="CP28:CS28"/>
    <mergeCell ref="DD43:DH43"/>
    <mergeCell ref="Q48:S51"/>
    <mergeCell ref="I92:I93"/>
    <mergeCell ref="CZ60:DC60"/>
    <mergeCell ref="CF39:CI39"/>
    <mergeCell ref="CJ138:CN138"/>
    <mergeCell ref="I5:I6"/>
    <mergeCell ref="L128:L129"/>
    <mergeCell ref="CJ9:CN9"/>
    <mergeCell ref="BZ141:CC141"/>
    <mergeCell ref="DJ50:DM50"/>
    <mergeCell ref="DT110:DW110"/>
    <mergeCell ref="T44:V47"/>
    <mergeCell ref="H23:J23"/>
    <mergeCell ref="CP25:CS25"/>
    <mergeCell ref="CT41:CX41"/>
    <mergeCell ref="CJ11:CN11"/>
    <mergeCell ref="DD59:DH59"/>
    <mergeCell ref="CJ133:CN133"/>
    <mergeCell ref="CP54:CS54"/>
    <mergeCell ref="O13:O14"/>
    <mergeCell ref="DD61:DH61"/>
    <mergeCell ref="CF65:CI65"/>
    <mergeCell ref="K126:M126"/>
    <mergeCell ref="CP62:CS62"/>
    <mergeCell ref="CF21:CI21"/>
    <mergeCell ref="CP56:CS56"/>
    <mergeCell ref="H56:J56"/>
    <mergeCell ref="CZ78:DC78"/>
    <mergeCell ref="H83:J83"/>
    <mergeCell ref="CT72:CX72"/>
    <mergeCell ref="K119:M119"/>
    <mergeCell ref="DT92:DW92"/>
    <mergeCell ref="CZ71:DC71"/>
    <mergeCell ref="H110:J110"/>
    <mergeCell ref="T131:V134"/>
    <mergeCell ref="DT128:DW128"/>
    <mergeCell ref="E40:G40"/>
    <mergeCell ref="CP69:CX70"/>
    <mergeCell ref="CJ37:CN37"/>
    <mergeCell ref="DJ103:DM103"/>
    <mergeCell ref="CZ73:DC73"/>
    <mergeCell ref="DT121:DW121"/>
    <mergeCell ref="CT88:CX88"/>
    <mergeCell ref="I17:I18"/>
    <mergeCell ref="DT123:DW123"/>
    <mergeCell ref="CZ104:DC104"/>
    <mergeCell ref="CF83:CI83"/>
    <mergeCell ref="CT54:CX54"/>
    <mergeCell ref="DD114:DH114"/>
    <mergeCell ref="CJ93:CN93"/>
    <mergeCell ref="CF49:CI49"/>
    <mergeCell ref="CJ65:CN65"/>
    <mergeCell ref="K137:M137"/>
    <mergeCell ref="CT56:CX56"/>
    <mergeCell ref="DN104:DR104"/>
    <mergeCell ref="CT83:CX83"/>
    <mergeCell ref="CZ105:DC105"/>
    <mergeCell ref="CZ99:DC99"/>
    <mergeCell ref="CF78:CI78"/>
    <mergeCell ref="DJ121:DM121"/>
    <mergeCell ref="CP100:CS100"/>
    <mergeCell ref="K139:M139"/>
    <mergeCell ref="DN106:DR106"/>
    <mergeCell ref="CT85:CX85"/>
    <mergeCell ref="CP110:CS110"/>
    <mergeCell ref="L80:L81"/>
    <mergeCell ref="B44:D47"/>
    <mergeCell ref="CZ101:DC101"/>
    <mergeCell ref="CF80:CI80"/>
    <mergeCell ref="DJ123:DM123"/>
    <mergeCell ref="I45:I46"/>
    <mergeCell ref="CT109:CX109"/>
    <mergeCell ref="CJ83:CN83"/>
    <mergeCell ref="DT53:DW53"/>
    <mergeCell ref="DJ118:DM118"/>
    <mergeCell ref="I72:I73"/>
    <mergeCell ref="K8:M8"/>
    <mergeCell ref="CT111:CX111"/>
    <mergeCell ref="DD133:DH133"/>
    <mergeCell ref="DT55:DW55"/>
    <mergeCell ref="DD127:DH127"/>
    <mergeCell ref="CP128:CS128"/>
    <mergeCell ref="F33:F34"/>
    <mergeCell ref="CJ78:CN78"/>
    <mergeCell ref="I96:I97"/>
    <mergeCell ref="DJ134:DM134"/>
    <mergeCell ref="DD128:DH128"/>
    <mergeCell ref="CJ109:CN109"/>
    <mergeCell ref="CF10:CI10"/>
    <mergeCell ref="CP123:CS123"/>
    <mergeCell ref="Q4:S7"/>
    <mergeCell ref="CJ104:CN104"/>
    <mergeCell ref="CJ140:CN140"/>
    <mergeCell ref="CJ106:CN106"/>
    <mergeCell ref="CP58:CS58"/>
    <mergeCell ref="H52:J52"/>
    <mergeCell ref="CP52:CS52"/>
    <mergeCell ref="H79:J79"/>
    <mergeCell ref="I116:I117"/>
    <mergeCell ref="DX20:EB20"/>
    <mergeCell ref="CZ42:DC42"/>
    <mergeCell ref="E36:G36"/>
    <mergeCell ref="E11:G11"/>
    <mergeCell ref="CP53:CS53"/>
    <mergeCell ref="H47:J47"/>
    <mergeCell ref="CZ44:DC44"/>
    <mergeCell ref="CJ35:CN35"/>
    <mergeCell ref="B2:D3"/>
    <mergeCell ref="N90:P90"/>
    <mergeCell ref="B111:D114"/>
    <mergeCell ref="DT94:DW94"/>
    <mergeCell ref="N83:P83"/>
    <mergeCell ref="CF45:CI45"/>
    <mergeCell ref="Q60:S63"/>
    <mergeCell ref="CJ30:CN30"/>
    <mergeCell ref="H63:J63"/>
    <mergeCell ref="CP63:CS63"/>
    <mergeCell ref="N91:P91"/>
    <mergeCell ref="CZ95:DC95"/>
    <mergeCell ref="CF74:CI74"/>
    <mergeCell ref="CP71:CS71"/>
    <mergeCell ref="E64:G64"/>
    <mergeCell ref="F128:F129"/>
    <mergeCell ref="CZ97:DC97"/>
    <mergeCell ref="CF76:CI76"/>
    <mergeCell ref="H94:J94"/>
    <mergeCell ref="T115:V118"/>
    <mergeCell ref="DJ87:DM87"/>
    <mergeCell ref="I41:I42"/>
    <mergeCell ref="CZ98:DC98"/>
    <mergeCell ref="O84:O85"/>
    <mergeCell ref="Q71:S74"/>
    <mergeCell ref="DX91:EB91"/>
    <mergeCell ref="CT107:CX107"/>
    <mergeCell ref="O80:O81"/>
    <mergeCell ref="CF102:CI102"/>
    <mergeCell ref="N15:P15"/>
    <mergeCell ref="CP124:CS124"/>
    <mergeCell ref="CF94:CI94"/>
    <mergeCell ref="E75:G75"/>
    <mergeCell ref="CP126:CS126"/>
    <mergeCell ref="CZ108:DC108"/>
    <mergeCell ref="CZ136:DH137"/>
    <mergeCell ref="CJ46:CN46"/>
    <mergeCell ref="CT125:CX125"/>
    <mergeCell ref="E103:G103"/>
    <mergeCell ref="F53:F54"/>
    <mergeCell ref="CJ100:CN100"/>
    <mergeCell ref="CF120:CI120"/>
    <mergeCell ref="K32:M32"/>
    <mergeCell ref="CJ102:CN102"/>
    <mergeCell ref="CT120:CX120"/>
    <mergeCell ref="CF121:CI121"/>
    <mergeCell ref="CF115:CI115"/>
    <mergeCell ref="N28:P28"/>
    <mergeCell ref="K27:M27"/>
    <mergeCell ref="CJ131:CN131"/>
    <mergeCell ref="E7:G7"/>
    <mergeCell ref="CP139:CS139"/>
    <mergeCell ref="DT8:DW8"/>
    <mergeCell ref="F37:F38"/>
    <mergeCell ref="DT10:DW10"/>
    <mergeCell ref="K16:M16"/>
    <mergeCell ref="DN12:DR12"/>
    <mergeCell ref="DX34:EB34"/>
    <mergeCell ref="K11:M11"/>
    <mergeCell ref="CJ115:CN115"/>
    <mergeCell ref="DJ29:DM29"/>
    <mergeCell ref="K47:M47"/>
    <mergeCell ref="E60:G60"/>
    <mergeCell ref="DN14:DR14"/>
    <mergeCell ref="DX36:EB36"/>
    <mergeCell ref="F124:F125"/>
    <mergeCell ref="DJ31:DM31"/>
    <mergeCell ref="CF47:CI47"/>
    <mergeCell ref="DJ24:DM24"/>
    <mergeCell ref="T24:V27"/>
    <mergeCell ref="DT21:DW21"/>
    <mergeCell ref="DJ32:DM32"/>
    <mergeCell ref="N99:P99"/>
    <mergeCell ref="DD41:DH41"/>
    <mergeCell ref="DJ114:DM114"/>
    <mergeCell ref="DD7:DH7"/>
    <mergeCell ref="DD34:DH34"/>
    <mergeCell ref="CP89:CS89"/>
    <mergeCell ref="E71:G71"/>
    <mergeCell ref="DN25:DR25"/>
    <mergeCell ref="N94:P94"/>
    <mergeCell ref="DX57:EB57"/>
    <mergeCell ref="E79:G79"/>
    <mergeCell ref="H118:J118"/>
    <mergeCell ref="CJ17:CN17"/>
    <mergeCell ref="N127:P127"/>
    <mergeCell ref="DT103:DW103"/>
    <mergeCell ref="E74:G74"/>
    <mergeCell ref="Q95:S98"/>
    <mergeCell ref="CT34:CX34"/>
    <mergeCell ref="G138:J138"/>
    <mergeCell ref="DD25:DH25"/>
    <mergeCell ref="DN84:DR84"/>
    <mergeCell ref="DX75:EB75"/>
    <mergeCell ref="CF117:CI117"/>
    <mergeCell ref="L25:L26"/>
    <mergeCell ref="CF111:CI111"/>
    <mergeCell ref="DN86:DR86"/>
    <mergeCell ref="CP108:CS108"/>
    <mergeCell ref="DN80:DR80"/>
    <mergeCell ref="DT6:DW6"/>
    <mergeCell ref="I80:I81"/>
    <mergeCell ref="E87:G87"/>
    <mergeCell ref="DX128:EB128"/>
    <mergeCell ref="DN8:DR8"/>
    <mergeCell ref="N52:P52"/>
    <mergeCell ref="K43:M43"/>
    <mergeCell ref="O116:O117"/>
    <mergeCell ref="DN10:DR10"/>
    <mergeCell ref="DX129:EB129"/>
    <mergeCell ref="O88:O89"/>
    <mergeCell ref="CF130:CI130"/>
    <mergeCell ref="CZ5:DC5"/>
    <mergeCell ref="T20:V23"/>
    <mergeCell ref="CJ85:CN85"/>
    <mergeCell ref="DT17:DW17"/>
    <mergeCell ref="DT11:DW11"/>
    <mergeCell ref="DT27:DW27"/>
    <mergeCell ref="DJ22:DM22"/>
    <mergeCell ref="DT19:DW19"/>
    <mergeCell ref="N63:P63"/>
    <mergeCell ref="CP32:CS32"/>
    <mergeCell ref="W69:CC70"/>
    <mergeCell ref="DN21:DR21"/>
    <mergeCell ref="K64:M64"/>
    <mergeCell ref="DX53:EB53"/>
    <mergeCell ref="DD32:DH32"/>
    <mergeCell ref="CJ13:CN13"/>
    <mergeCell ref="DN23:DR23"/>
    <mergeCell ref="CP27:CS27"/>
    <mergeCell ref="DT45:DW45"/>
    <mergeCell ref="CZ24:DC24"/>
    <mergeCell ref="CZ18:DC18"/>
    <mergeCell ref="F108:F109"/>
    <mergeCell ref="DX55:EB55"/>
    <mergeCell ref="L5:L6"/>
    <mergeCell ref="B91:D94"/>
    <mergeCell ref="CZ26:DC26"/>
    <mergeCell ref="DT47:DW47"/>
    <mergeCell ref="DT74:DW74"/>
    <mergeCell ref="CJ8:CN8"/>
    <mergeCell ref="CJ10:CN10"/>
    <mergeCell ref="DD58:DH58"/>
    <mergeCell ref="K82:M82"/>
    <mergeCell ref="G136:J136"/>
    <mergeCell ref="DN49:DR49"/>
    <mergeCell ref="DX71:EB71"/>
    <mergeCell ref="N118:P118"/>
    <mergeCell ref="DJ66:DM66"/>
    <mergeCell ref="DD60:DH60"/>
    <mergeCell ref="N126:P126"/>
    <mergeCell ref="DX73:EB73"/>
    <mergeCell ref="CZ77:DC77"/>
    <mergeCell ref="DX66:EB66"/>
    <mergeCell ref="E126:G126"/>
    <mergeCell ref="K110:M110"/>
    <mergeCell ref="DJ67:DM67"/>
    <mergeCell ref="DJ61:DM61"/>
    <mergeCell ref="H40:J40"/>
    <mergeCell ref="DT83:DW83"/>
    <mergeCell ref="DN77:DR77"/>
    <mergeCell ref="CJ28:CN28"/>
    <mergeCell ref="DD42:DH42"/>
    <mergeCell ref="CJ21:CN21"/>
    <mergeCell ref="DD78:DH78"/>
    <mergeCell ref="K12:M12"/>
    <mergeCell ref="DJ94:DM94"/>
    <mergeCell ref="DN110:DR110"/>
    <mergeCell ref="CJ23:CN23"/>
    <mergeCell ref="DD71:DH71"/>
    <mergeCell ref="DX92:EB92"/>
    <mergeCell ref="O112:O113"/>
    <mergeCell ref="K136:M136"/>
    <mergeCell ref="CZ88:DC88"/>
    <mergeCell ref="DN103:DR103"/>
    <mergeCell ref="I33:I34"/>
    <mergeCell ref="DD73:DH73"/>
    <mergeCell ref="DX94:EB94"/>
    <mergeCell ref="K7:M7"/>
    <mergeCell ref="CJ54:CN54"/>
    <mergeCell ref="W115:CC118"/>
    <mergeCell ref="CZ96:DC96"/>
    <mergeCell ref="CZ90:DC90"/>
    <mergeCell ref="DT138:DW138"/>
    <mergeCell ref="CJ81:CN81"/>
    <mergeCell ref="DT140:DW140"/>
    <mergeCell ref="E111:G111"/>
    <mergeCell ref="CT71:CX71"/>
    <mergeCell ref="CJ110:CN110"/>
    <mergeCell ref="B28:D31"/>
    <mergeCell ref="CJ76:CN76"/>
    <mergeCell ref="DN121:DR121"/>
    <mergeCell ref="CT100:CX100"/>
    <mergeCell ref="DJ138:DM138"/>
    <mergeCell ref="I61:I62"/>
    <mergeCell ref="DN123:DR123"/>
    <mergeCell ref="CT102:CX102"/>
    <mergeCell ref="DJ9:DM9"/>
    <mergeCell ref="DX138:EB138"/>
    <mergeCell ref="DT41:DW41"/>
    <mergeCell ref="CZ20:DC20"/>
    <mergeCell ref="DJ11:DM11"/>
    <mergeCell ref="DJ133:DM133"/>
    <mergeCell ref="DD5:DH5"/>
    <mergeCell ref="DX26:EB26"/>
    <mergeCell ref="F17:F18"/>
    <mergeCell ref="DN118:DR118"/>
    <mergeCell ref="DX140:EB140"/>
    <mergeCell ref="CZ22:DC22"/>
    <mergeCell ref="T4:V7"/>
    <mergeCell ref="B56:D59"/>
    <mergeCell ref="CZ2:DH3"/>
    <mergeCell ref="DT36:DW36"/>
    <mergeCell ref="DT72:DW72"/>
    <mergeCell ref="CJ6:CN6"/>
    <mergeCell ref="K78:M78"/>
    <mergeCell ref="DN45:DR45"/>
    <mergeCell ref="DX42:EB42"/>
    <mergeCell ref="CZ46:DC46"/>
    <mergeCell ref="DN134:DR134"/>
    <mergeCell ref="DJ37:DM37"/>
    <mergeCell ref="CP16:CS16"/>
    <mergeCell ref="DN53:DR53"/>
    <mergeCell ref="DN47:DR47"/>
    <mergeCell ref="K79:M79"/>
    <mergeCell ref="CZ48:DC48"/>
    <mergeCell ref="CF27:CI27"/>
    <mergeCell ref="DD139:DH139"/>
    <mergeCell ref="DN46:DR46"/>
    <mergeCell ref="L116:L117"/>
    <mergeCell ref="CP18:CS18"/>
    <mergeCell ref="DX37:EB37"/>
    <mergeCell ref="H36:J36"/>
    <mergeCell ref="CP11:CS11"/>
    <mergeCell ref="DT54:DW54"/>
    <mergeCell ref="CZ33:DC33"/>
    <mergeCell ref="DN48:DR48"/>
    <mergeCell ref="CT27:CX27"/>
    <mergeCell ref="DJ93:DM93"/>
    <mergeCell ref="CZ43:DC43"/>
    <mergeCell ref="DJ65:DM65"/>
    <mergeCell ref="DT56:DW56"/>
    <mergeCell ref="Q16:S19"/>
    <mergeCell ref="CT58:CX58"/>
    <mergeCell ref="CF9:CI9"/>
    <mergeCell ref="DT85:DW85"/>
    <mergeCell ref="CJ19:CN19"/>
    <mergeCell ref="CF11:CI11"/>
    <mergeCell ref="CT26:CX26"/>
    <mergeCell ref="CZ59:DC59"/>
    <mergeCell ref="BW138:BY138"/>
    <mergeCell ref="DX90:EB90"/>
    <mergeCell ref="CJ50:CN50"/>
    <mergeCell ref="DX126:EB126"/>
    <mergeCell ref="H91:J91"/>
    <mergeCell ref="CZ61:DC61"/>
    <mergeCell ref="DT82:DW82"/>
    <mergeCell ref="DT109:DW109"/>
    <mergeCell ref="E55:G55"/>
    <mergeCell ref="BW140:BY140"/>
    <mergeCell ref="CP72:CS72"/>
    <mergeCell ref="DT111:DW111"/>
    <mergeCell ref="E48:G48"/>
    <mergeCell ref="CJ45:CN45"/>
    <mergeCell ref="DN61:DR61"/>
    <mergeCell ref="CT42:CX42"/>
    <mergeCell ref="DJ122:DM122"/>
  </mergeCells>
  <dataValidations count="7">
    <dataValidation sqref="Q68:S68 Q135:S135" showDropDown="0" showInputMessage="1" showErrorMessage="1" allowBlank="1" type="list">
      <formula1>$Q$137:$Q$139</formula1>
    </dataValidation>
    <dataValidation sqref="H7:J7 H11:J11 H15:J15 H19:J19 H23:J23 H27:J27 H31:J31 H35:J35 H39:J39 H43:J43 H47:J47 H51:J51 H55:J55 H59:J59 H63:J63 H67:J68 H74:J74 H78:J78 H82:J82 H86:J86 H90:J90 H94:J94 H98:J98 H102:J102 H106:J106 H110:J110 H114:J114 H118:J118 H122:J122 H126:J126 H130:J130 H134:J135" showDropDown="0" showInputMessage="1" showErrorMessage="1" allowBlank="1" error="17時以降は時間外に記入してください。" type="time">
      <formula1>0.333333333333333</formula1>
      <formula2>0.708333333333333</formula2>
    </dataValidation>
    <dataValidation sqref="H4:J4 H8:J8 H12:J12 H16:J16 H20:J20 H24:J24 H28:J28 H32:J32 H36:J36 H40:J40 H44:J44 H48:J48 H52:J52 H56:J56 H60:J60 H64:J64 H71:J71 H75:J75 H79:J79 H83:J83 H87:J87 H91:J91 H95:J95 H99:J99 H103:J103 H107:J107 H111:J111 H115:J115 H119:J119 H123:J123 H127:J127 H131:J131" showDropDown="0" showInputMessage="1" showErrorMessage="1" allowBlank="1" error="8時以前は時間外に記入してください。" type="time">
      <formula1>0.333333333333333</formula1>
      <formula2>0.708333333333333</formula2>
    </dataValidation>
    <dataValidation sqref="K5:M6" showDropDown="0" showInputMessage="1" showErrorMessage="1" allowBlank="1" type="custom">
      <formula1>AND(K1048514&gt;=$K$136,K1048514&lt;=$K$137)+AND(K1048514&gt;=$K$138,K1048514&lt;=$K$139)</formula1>
    </dataValidation>
    <dataValidation sqref="K7:M67 K71:M134" showDropDown="0" showInputMessage="1" showErrorMessage="1" allowBlank="1" error="時間外のみ記載してください。" type="custom">
      <formula1>AND(K7&gt;=$K$136,K7&lt;=$K$137)+AND(K7&gt;=$K$138,K7&lt;=$K$139)</formula1>
    </dataValidation>
    <dataValidation sqref="K4:M4" showDropDown="0" showInputMessage="1" showErrorMessage="1" allowBlank="1" type="custom">
      <formula1>AND(K4&gt;=$K$136,K4&lt;=$K$137)+AND(K4&gt;=$K$138,K4&lt;=$K$139)</formula1>
    </dataValidation>
    <dataValidation sqref="Q4:S67 Q71:S134" showDropDown="0" showInputMessage="1" showErrorMessage="1" allowBlank="1" type="list">
      <formula1>$Q$137:$Q$141</formula1>
    </dataValidation>
  </dataValidations>
  <pageMargins left="0.3149606299212598" right="0.1181102362204725" top="0.3149606299212598" bottom="0" header="0.1968503937007874" footer="0.1968503937007874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B141"/>
  <sheetViews>
    <sheetView showZeros="0" zoomScaleNormal="100" workbookViewId="0">
      <pane xSplit="1" ySplit="3" topLeftCell="B4" activePane="bottomRight" state="frozen"/>
      <selection activeCell="E35" sqref="E35:G35 E32:G32"/>
      <selection pane="topRight" activeCell="E35" sqref="E35:G35 E32:G32"/>
      <selection pane="bottomLeft" activeCell="E35" sqref="E35:G35 E32:G32"/>
      <selection pane="bottomRight" activeCell="W28" sqref="W28:CC31"/>
    </sheetView>
  </sheetViews>
  <sheetFormatPr baseColWidth="8" defaultRowHeight="18.75"/>
  <cols>
    <col width="1.625" customWidth="1" style="1" min="1" max="1"/>
    <col width="3.375" customWidth="1" style="1" min="2" max="2"/>
    <col width="1.625" customWidth="1" style="1" min="3" max="5"/>
    <col width="2.375" customWidth="1" style="1" min="6" max="6"/>
    <col width="2.125" customWidth="1" style="1" min="7" max="7"/>
    <col width="1.625" customWidth="1" style="1" min="8" max="8"/>
    <col width="2.375" customWidth="1" style="1" min="9" max="9"/>
    <col width="2.125" customWidth="1" style="1" min="10" max="10"/>
    <col width="1.625" customWidth="1" style="1" min="11" max="11"/>
    <col width="2.375" customWidth="1" style="1" min="12" max="12"/>
    <col width="2.125" customWidth="1" style="1" min="13" max="13"/>
    <col width="1.625" customWidth="1" style="1" min="14" max="14"/>
    <col width="2.375" customWidth="1" style="1" min="15" max="15"/>
    <col width="2.125" customWidth="1" style="1" min="16" max="16"/>
    <col width="1.875" customWidth="1" style="1" min="17" max="18"/>
    <col width="2.375" customWidth="1" style="1" min="19" max="19"/>
    <col width="1.875" customWidth="1" style="1" min="20" max="21"/>
    <col width="2.375" customWidth="1" style="1" min="22" max="22"/>
    <col width="1.625" customWidth="1" style="1" min="23" max="24"/>
    <col width="3.375" customWidth="1" style="1" min="25" max="25"/>
    <col width="1.125" customWidth="1" style="1" min="26" max="30"/>
    <col width="1.625" customWidth="1" style="1" min="31" max="49"/>
    <col width="3.375" customWidth="1" style="1" min="50" max="50"/>
    <col width="1.625" customWidth="1" style="1" min="51" max="64"/>
    <col width="3.375" customWidth="1" style="1" min="65" max="65"/>
    <col width="1.625" customWidth="1" style="1" min="66" max="75"/>
    <col width="3.375" customWidth="1" style="1" min="76" max="76"/>
    <col width="1.625" customWidth="1" style="1" min="77" max="78"/>
    <col width="1.75" customWidth="1" style="1" min="79" max="85"/>
    <col width="1.625" customWidth="1" style="1" min="86" max="132"/>
    <col width="4.125" customWidth="1" style="1" min="133" max="184"/>
    <col width="9" customWidth="1" style="1" min="185" max="16384"/>
  </cols>
  <sheetData>
    <row r="1" ht="9.949999999999999" customHeight="1" s="337"/>
    <row r="2" ht="14.1" customHeight="1" s="337">
      <c r="B2" s="355" t="inlineStr">
        <is>
          <t>月／日</t>
        </is>
      </c>
      <c r="C2" s="342" t="n"/>
      <c r="D2" s="356" t="n"/>
      <c r="E2" s="357" t="inlineStr">
        <is>
          <t>移 動</t>
        </is>
      </c>
      <c r="F2" s="342" t="n"/>
      <c r="G2" s="356" t="n"/>
      <c r="H2" s="358" t="inlineStr">
        <is>
          <t>作業内　(平日)</t>
        </is>
      </c>
      <c r="I2" s="342" t="n"/>
      <c r="J2" s="356" t="n"/>
      <c r="K2" s="358" t="inlineStr">
        <is>
          <t>作業外　(平日)</t>
        </is>
      </c>
      <c r="L2" s="342" t="n"/>
      <c r="M2" s="356" t="n"/>
      <c r="N2" s="357" t="inlineStr">
        <is>
          <t>休日</t>
        </is>
      </c>
      <c r="O2" s="342" t="n"/>
      <c r="P2" s="356" t="n"/>
      <c r="Q2" s="359" t="inlineStr">
        <is>
          <t>作業者</t>
        </is>
      </c>
      <c r="R2" s="342" t="n"/>
      <c r="S2" s="356" t="n"/>
      <c r="T2" s="359" t="inlineStr">
        <is>
          <t>場  所</t>
        </is>
      </c>
      <c r="U2" s="342" t="n"/>
      <c r="V2" s="356" t="n"/>
      <c r="W2" s="360" t="inlineStr">
        <is>
          <t xml:space="preserve">   作　　　　    　　業　　　    　 　内　　　  　  　　容　</t>
        </is>
      </c>
      <c r="X2" s="342" t="n"/>
      <c r="Y2" s="342" t="n"/>
      <c r="Z2" s="342" t="n"/>
      <c r="AA2" s="342" t="n"/>
      <c r="AB2" s="342" t="n"/>
      <c r="AC2" s="342" t="n"/>
      <c r="AD2" s="342" t="n"/>
      <c r="AE2" s="342" t="n"/>
      <c r="AF2" s="342" t="n"/>
      <c r="AG2" s="342" t="n"/>
      <c r="AH2" s="342" t="n"/>
      <c r="AI2" s="342" t="n"/>
      <c r="AJ2" s="342" t="n"/>
      <c r="AK2" s="342" t="n"/>
      <c r="AL2" s="342" t="n"/>
      <c r="AM2" s="342" t="n"/>
      <c r="AN2" s="342" t="n"/>
      <c r="AO2" s="342" t="n"/>
      <c r="AP2" s="342" t="n"/>
      <c r="AQ2" s="342" t="n"/>
      <c r="AR2" s="342" t="n"/>
      <c r="AS2" s="342" t="n"/>
      <c r="AT2" s="342" t="n"/>
      <c r="AU2" s="342" t="n"/>
      <c r="AV2" s="342" t="n"/>
      <c r="AW2" s="342" t="n"/>
      <c r="AX2" s="342" t="n"/>
      <c r="AY2" s="342" t="n"/>
      <c r="AZ2" s="342" t="n"/>
      <c r="BA2" s="342" t="n"/>
      <c r="BB2" s="342" t="n"/>
      <c r="BC2" s="342" t="n"/>
      <c r="BD2" s="342" t="n"/>
      <c r="BE2" s="342" t="n"/>
      <c r="BF2" s="342" t="n"/>
      <c r="BG2" s="342" t="n"/>
      <c r="BH2" s="342" t="n"/>
      <c r="BI2" s="342" t="n"/>
      <c r="BJ2" s="342" t="n"/>
      <c r="BK2" s="342" t="n"/>
      <c r="BL2" s="342" t="n"/>
      <c r="BM2" s="342" t="n"/>
      <c r="BN2" s="342" t="n"/>
      <c r="BO2" s="342" t="n"/>
      <c r="BP2" s="342" t="n"/>
      <c r="BQ2" s="342" t="n"/>
      <c r="BR2" s="342" t="n"/>
      <c r="BS2" s="342" t="n"/>
      <c r="BT2" s="342" t="n"/>
      <c r="BU2" s="342" t="n"/>
      <c r="BV2" s="342" t="n"/>
      <c r="BW2" s="342" t="n"/>
      <c r="BX2" s="342" t="n"/>
      <c r="BY2" s="342" t="n"/>
      <c r="BZ2" s="342" t="n"/>
      <c r="CA2" s="342" t="n"/>
      <c r="CB2" s="342" t="n"/>
      <c r="CC2" s="343" t="n"/>
      <c r="CF2" s="361" t="inlineStr">
        <is>
          <t>所要時間　作業者1</t>
        </is>
      </c>
      <c r="CG2" s="362" t="n"/>
      <c r="CH2" s="362" t="n"/>
      <c r="CI2" s="362" t="n"/>
      <c r="CJ2" s="362" t="n"/>
      <c r="CK2" s="362" t="n"/>
      <c r="CL2" s="362" t="n"/>
      <c r="CM2" s="362" t="n"/>
      <c r="CN2" s="363" t="n"/>
      <c r="CP2" s="361" t="inlineStr">
        <is>
          <t>所要時間　作業者2</t>
        </is>
      </c>
      <c r="CQ2" s="362" t="n"/>
      <c r="CR2" s="362" t="n"/>
      <c r="CS2" s="362" t="n"/>
      <c r="CT2" s="362" t="n"/>
      <c r="CU2" s="362" t="n"/>
      <c r="CV2" s="362" t="n"/>
      <c r="CW2" s="362" t="n"/>
      <c r="CX2" s="363" t="n"/>
      <c r="CZ2" s="361" t="inlineStr">
        <is>
          <t>所要時間　作業者3</t>
        </is>
      </c>
      <c r="DA2" s="362" t="n"/>
      <c r="DB2" s="362" t="n"/>
      <c r="DC2" s="362" t="n"/>
      <c r="DD2" s="362" t="n"/>
      <c r="DE2" s="362" t="n"/>
      <c r="DF2" s="362" t="n"/>
      <c r="DG2" s="362" t="n"/>
      <c r="DH2" s="363" t="n"/>
      <c r="DJ2" s="361" t="inlineStr">
        <is>
          <t>所要時間　作業者4</t>
        </is>
      </c>
      <c r="DK2" s="362" t="n"/>
      <c r="DL2" s="362" t="n"/>
      <c r="DM2" s="362" t="n"/>
      <c r="DN2" s="362" t="n"/>
      <c r="DO2" s="362" t="n"/>
      <c r="DP2" s="362" t="n"/>
      <c r="DQ2" s="362" t="n"/>
      <c r="DR2" s="363" t="n"/>
      <c r="DT2" s="361" t="inlineStr">
        <is>
          <t>所要時間　作業者5</t>
        </is>
      </c>
      <c r="DU2" s="362" t="n"/>
      <c r="DV2" s="362" t="n"/>
      <c r="DW2" s="362" t="n"/>
      <c r="DX2" s="362" t="n"/>
      <c r="DY2" s="362" t="n"/>
      <c r="DZ2" s="362" t="n"/>
      <c r="EA2" s="362" t="n"/>
      <c r="EB2" s="363" t="n"/>
    </row>
    <row r="3" ht="14.1" customHeight="1" s="337">
      <c r="B3" s="353" t="n"/>
      <c r="C3" s="339" t="n"/>
      <c r="D3" s="364" t="n"/>
      <c r="E3" s="365" t="n"/>
      <c r="F3" s="339" t="n"/>
      <c r="G3" s="364" t="n"/>
      <c r="H3" s="365" t="n"/>
      <c r="I3" s="339" t="n"/>
      <c r="J3" s="364" t="n"/>
      <c r="K3" s="365" t="n"/>
      <c r="L3" s="339" t="n"/>
      <c r="M3" s="364" t="n"/>
      <c r="N3" s="365" t="n"/>
      <c r="O3" s="339" t="n"/>
      <c r="P3" s="364" t="n"/>
      <c r="Q3" s="365" t="n"/>
      <c r="R3" s="339" t="n"/>
      <c r="S3" s="364" t="n"/>
      <c r="T3" s="365" t="n"/>
      <c r="U3" s="339" t="n"/>
      <c r="V3" s="364" t="n"/>
      <c r="W3" s="365" t="n"/>
      <c r="X3" s="339" t="n"/>
      <c r="Y3" s="339" t="n"/>
      <c r="Z3" s="339" t="n"/>
      <c r="AA3" s="339" t="n"/>
      <c r="AB3" s="339" t="n"/>
      <c r="AC3" s="339" t="n"/>
      <c r="AD3" s="339" t="n"/>
      <c r="AE3" s="339" t="n"/>
      <c r="AF3" s="339" t="n"/>
      <c r="AG3" s="339" t="n"/>
      <c r="AH3" s="339" t="n"/>
      <c r="AI3" s="339" t="n"/>
      <c r="AJ3" s="339" t="n"/>
      <c r="AK3" s="339" t="n"/>
      <c r="AL3" s="339" t="n"/>
      <c r="AM3" s="339" t="n"/>
      <c r="AN3" s="339" t="n"/>
      <c r="AO3" s="339" t="n"/>
      <c r="AP3" s="339" t="n"/>
      <c r="AQ3" s="339" t="n"/>
      <c r="AR3" s="339" t="n"/>
      <c r="AS3" s="339" t="n"/>
      <c r="AT3" s="339" t="n"/>
      <c r="AU3" s="339" t="n"/>
      <c r="AV3" s="339" t="n"/>
      <c r="AW3" s="339" t="n"/>
      <c r="AX3" s="339" t="n"/>
      <c r="AY3" s="339" t="n"/>
      <c r="AZ3" s="339" t="n"/>
      <c r="BA3" s="339" t="n"/>
      <c r="BB3" s="339" t="n"/>
      <c r="BC3" s="339" t="n"/>
      <c r="BD3" s="339" t="n"/>
      <c r="BE3" s="339" t="n"/>
      <c r="BF3" s="339" t="n"/>
      <c r="BG3" s="339" t="n"/>
      <c r="BH3" s="339" t="n"/>
      <c r="BI3" s="339" t="n"/>
      <c r="BJ3" s="339" t="n"/>
      <c r="BK3" s="339" t="n"/>
      <c r="BL3" s="339" t="n"/>
      <c r="BM3" s="339" t="n"/>
      <c r="BN3" s="339" t="n"/>
      <c r="BO3" s="339" t="n"/>
      <c r="BP3" s="339" t="n"/>
      <c r="BQ3" s="339" t="n"/>
      <c r="BR3" s="339" t="n"/>
      <c r="BS3" s="339" t="n"/>
      <c r="BT3" s="339" t="n"/>
      <c r="BU3" s="339" t="n"/>
      <c r="BV3" s="339" t="n"/>
      <c r="BW3" s="339" t="n"/>
      <c r="BX3" s="339" t="n"/>
      <c r="BY3" s="339" t="n"/>
      <c r="BZ3" s="339" t="n"/>
      <c r="CA3" s="339" t="n"/>
      <c r="CB3" s="339" t="n"/>
      <c r="CC3" s="354" t="n"/>
      <c r="CF3" s="366" t="n"/>
      <c r="CG3" s="367" t="n"/>
      <c r="CH3" s="367" t="n"/>
      <c r="CI3" s="367" t="n"/>
      <c r="CJ3" s="367" t="n"/>
      <c r="CK3" s="367" t="n"/>
      <c r="CL3" s="367" t="n"/>
      <c r="CM3" s="367" t="n"/>
      <c r="CN3" s="368" t="n"/>
      <c r="CP3" s="366" t="n"/>
      <c r="CQ3" s="367" t="n"/>
      <c r="CR3" s="367" t="n"/>
      <c r="CS3" s="367" t="n"/>
      <c r="CT3" s="367" t="n"/>
      <c r="CU3" s="367" t="n"/>
      <c r="CV3" s="367" t="n"/>
      <c r="CW3" s="367" t="n"/>
      <c r="CX3" s="368" t="n"/>
      <c r="CZ3" s="366" t="n"/>
      <c r="DA3" s="367" t="n"/>
      <c r="DB3" s="367" t="n"/>
      <c r="DC3" s="367" t="n"/>
      <c r="DD3" s="367" t="n"/>
      <c r="DE3" s="367" t="n"/>
      <c r="DF3" s="367" t="n"/>
      <c r="DG3" s="367" t="n"/>
      <c r="DH3" s="368" t="n"/>
      <c r="DJ3" s="366" t="n"/>
      <c r="DK3" s="367" t="n"/>
      <c r="DL3" s="367" t="n"/>
      <c r="DM3" s="367" t="n"/>
      <c r="DN3" s="367" t="n"/>
      <c r="DO3" s="367" t="n"/>
      <c r="DP3" s="367" t="n"/>
      <c r="DQ3" s="367" t="n"/>
      <c r="DR3" s="368" t="n"/>
      <c r="DT3" s="366" t="n"/>
      <c r="DU3" s="367" t="n"/>
      <c r="DV3" s="367" t="n"/>
      <c r="DW3" s="367" t="n"/>
      <c r="DX3" s="367" t="n"/>
      <c r="DY3" s="367" t="n"/>
      <c r="DZ3" s="367" t="n"/>
      <c r="EA3" s="367" t="n"/>
      <c r="EB3" s="368" t="n"/>
    </row>
    <row r="4" ht="9" customHeight="1" s="337">
      <c r="B4" s="440" t="n"/>
      <c r="C4" s="338" t="n"/>
      <c r="D4" s="380" t="n"/>
      <c r="E4" s="421" t="n"/>
      <c r="F4" s="338" t="n"/>
      <c r="G4" s="380" t="n"/>
      <c r="H4" s="421" t="n"/>
      <c r="I4" s="338" t="n"/>
      <c r="J4" s="380" t="n"/>
      <c r="K4" s="421" t="n"/>
      <c r="L4" s="338" t="n"/>
      <c r="M4" s="380" t="n"/>
      <c r="N4" s="421" t="n"/>
      <c r="O4" s="338" t="n"/>
      <c r="P4" s="380" t="n"/>
      <c r="Q4" s="441" t="n"/>
      <c r="R4" s="338" t="n"/>
      <c r="S4" s="380" t="n"/>
      <c r="T4" s="422" t="n"/>
      <c r="U4" s="338" t="n"/>
      <c r="V4" s="380" t="n"/>
      <c r="W4" s="442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83" t="n"/>
      <c r="CD4" s="30" t="n"/>
      <c r="CE4" s="31" t="n"/>
      <c r="CF4" s="248" t="inlineStr">
        <is>
          <t>移動</t>
        </is>
      </c>
      <c r="CG4" s="377" t="n"/>
      <c r="CH4" s="377" t="n"/>
      <c r="CI4" s="378" t="n"/>
      <c r="CJ4" s="379">
        <f>IF(Q4="作業者1",E7-E4,0)</f>
        <v/>
      </c>
      <c r="CK4" s="377" t="n"/>
      <c r="CL4" s="377" t="n"/>
      <c r="CM4" s="377" t="n"/>
      <c r="CN4" s="378" t="n"/>
      <c r="CP4" s="248" t="inlineStr">
        <is>
          <t>移動</t>
        </is>
      </c>
      <c r="CQ4" s="377" t="n"/>
      <c r="CR4" s="377" t="n"/>
      <c r="CS4" s="378" t="n"/>
      <c r="CT4" s="379">
        <f>IF(Q4="作業者2",E7-E4,0)</f>
        <v/>
      </c>
      <c r="CU4" s="377" t="n"/>
      <c r="CV4" s="377" t="n"/>
      <c r="CW4" s="377" t="n"/>
      <c r="CX4" s="378" t="n"/>
      <c r="CZ4" s="248" t="inlineStr">
        <is>
          <t>移動</t>
        </is>
      </c>
      <c r="DA4" s="377" t="n"/>
      <c r="DB4" s="377" t="n"/>
      <c r="DC4" s="378" t="n"/>
      <c r="DD4" s="379">
        <f>IF(Q4="作業者3",E7-E4,0)</f>
        <v/>
      </c>
      <c r="DE4" s="377" t="n"/>
      <c r="DF4" s="377" t="n"/>
      <c r="DG4" s="377" t="n"/>
      <c r="DH4" s="378" t="n"/>
      <c r="DJ4" s="248" t="inlineStr">
        <is>
          <t>移動</t>
        </is>
      </c>
      <c r="DK4" s="377" t="n"/>
      <c r="DL4" s="377" t="n"/>
      <c r="DM4" s="378" t="n"/>
      <c r="DN4" s="379">
        <f>IF(Q4="作業者4",E7-E4,0)</f>
        <v/>
      </c>
      <c r="DO4" s="377" t="n"/>
      <c r="DP4" s="377" t="n"/>
      <c r="DQ4" s="377" t="n"/>
      <c r="DR4" s="378" t="n"/>
      <c r="DT4" s="248" t="inlineStr">
        <is>
          <t>移動</t>
        </is>
      </c>
      <c r="DU4" s="377" t="n"/>
      <c r="DV4" s="377" t="n"/>
      <c r="DW4" s="378" t="n"/>
      <c r="DX4" s="379">
        <f>IF(Q4="作業者5",E7-E4,0)</f>
        <v/>
      </c>
      <c r="DY4" s="377" t="n"/>
      <c r="DZ4" s="377" t="n"/>
      <c r="EA4" s="377" t="n"/>
      <c r="EB4" s="378" t="n"/>
    </row>
    <row r="5" ht="9" customHeight="1" s="337">
      <c r="B5" s="350" t="n"/>
      <c r="C5" s="338" t="n"/>
      <c r="D5" s="380" t="n"/>
      <c r="E5" s="381" t="n"/>
      <c r="F5" s="122" t="inlineStr">
        <is>
          <t>～</t>
        </is>
      </c>
      <c r="G5" s="22" t="n"/>
      <c r="H5" s="381" t="n"/>
      <c r="I5" s="122" t="inlineStr">
        <is>
          <t>～</t>
        </is>
      </c>
      <c r="J5" s="22" t="n"/>
      <c r="K5" s="381" t="n"/>
      <c r="L5" s="122" t="inlineStr">
        <is>
          <t>～</t>
        </is>
      </c>
      <c r="M5" s="22" t="n"/>
      <c r="N5" s="381" t="n"/>
      <c r="O5" s="122" t="inlineStr">
        <is>
          <t>～</t>
        </is>
      </c>
      <c r="P5" s="22" t="n"/>
      <c r="Q5" s="382" t="n"/>
      <c r="R5" s="338" t="n"/>
      <c r="S5" s="380" t="n"/>
      <c r="T5" s="382" t="n"/>
      <c r="U5" s="338" t="n"/>
      <c r="V5" s="380" t="n"/>
      <c r="W5" s="382" t="n"/>
      <c r="X5" s="338" t="n"/>
      <c r="Y5" s="338" t="n"/>
      <c r="Z5" s="338" t="n"/>
      <c r="AA5" s="338" t="n"/>
      <c r="AB5" s="338" t="n"/>
      <c r="AC5" s="338" t="n"/>
      <c r="AD5" s="338" t="n"/>
      <c r="AE5" s="338" t="n"/>
      <c r="AF5" s="338" t="n"/>
      <c r="AG5" s="338" t="n"/>
      <c r="AH5" s="338" t="n"/>
      <c r="AI5" s="338" t="n"/>
      <c r="AJ5" s="338" t="n"/>
      <c r="AK5" s="338" t="n"/>
      <c r="AL5" s="338" t="n"/>
      <c r="AM5" s="338" t="n"/>
      <c r="AN5" s="338" t="n"/>
      <c r="AO5" s="338" t="n"/>
      <c r="AP5" s="338" t="n"/>
      <c r="AQ5" s="338" t="n"/>
      <c r="AR5" s="338" t="n"/>
      <c r="AS5" s="338" t="n"/>
      <c r="AT5" s="338" t="n"/>
      <c r="AU5" s="338" t="n"/>
      <c r="AV5" s="338" t="n"/>
      <c r="AW5" s="338" t="n"/>
      <c r="AX5" s="338" t="n"/>
      <c r="AY5" s="338" t="n"/>
      <c r="AZ5" s="338" t="n"/>
      <c r="BA5" s="338" t="n"/>
      <c r="BB5" s="338" t="n"/>
      <c r="BC5" s="338" t="n"/>
      <c r="BD5" s="338" t="n"/>
      <c r="BE5" s="338" t="n"/>
      <c r="BF5" s="338" t="n"/>
      <c r="BG5" s="338" t="n"/>
      <c r="BH5" s="338" t="n"/>
      <c r="BI5" s="338" t="n"/>
      <c r="BJ5" s="338" t="n"/>
      <c r="BK5" s="338" t="n"/>
      <c r="BL5" s="338" t="n"/>
      <c r="BM5" s="338" t="n"/>
      <c r="BN5" s="338" t="n"/>
      <c r="BO5" s="338" t="n"/>
      <c r="BP5" s="338" t="n"/>
      <c r="BQ5" s="338" t="n"/>
      <c r="BR5" s="338" t="n"/>
      <c r="BS5" s="338" t="n"/>
      <c r="BT5" s="338" t="n"/>
      <c r="BU5" s="338" t="n"/>
      <c r="BV5" s="338" t="n"/>
      <c r="BW5" s="338" t="n"/>
      <c r="BX5" s="338" t="n"/>
      <c r="BY5" s="338" t="n"/>
      <c r="BZ5" s="338" t="n"/>
      <c r="CA5" s="338" t="n"/>
      <c r="CB5" s="338" t="n"/>
      <c r="CC5" s="383" t="n"/>
      <c r="CD5" s="30" t="n"/>
      <c r="CE5" s="31" t="n"/>
      <c r="CF5" s="253" t="inlineStr">
        <is>
          <t>時間内</t>
        </is>
      </c>
      <c r="CG5" s="384" t="n"/>
      <c r="CH5" s="384" t="n"/>
      <c r="CI5" s="385" t="n"/>
      <c r="CJ5" s="386">
        <f>IF(Q4="作業者1",H7-H4,0)</f>
        <v/>
      </c>
      <c r="CK5" s="387" t="n"/>
      <c r="CL5" s="387" t="n"/>
      <c r="CM5" s="387" t="n"/>
      <c r="CN5" s="388" t="n"/>
      <c r="CP5" s="253" t="inlineStr">
        <is>
          <t>時間内</t>
        </is>
      </c>
      <c r="CQ5" s="384" t="n"/>
      <c r="CR5" s="384" t="n"/>
      <c r="CS5" s="385" t="n"/>
      <c r="CT5" s="386">
        <f>IF(Q4="作業者2",H7-H4,0)</f>
        <v/>
      </c>
      <c r="CU5" s="387" t="n"/>
      <c r="CV5" s="387" t="n"/>
      <c r="CW5" s="387" t="n"/>
      <c r="CX5" s="388" t="n"/>
      <c r="CZ5" s="253" t="inlineStr">
        <is>
          <t>時間内</t>
        </is>
      </c>
      <c r="DA5" s="384" t="n"/>
      <c r="DB5" s="384" t="n"/>
      <c r="DC5" s="385" t="n"/>
      <c r="DD5" s="386">
        <f>IF(Q4="作業者3",H7-H4,0)</f>
        <v/>
      </c>
      <c r="DE5" s="387" t="n"/>
      <c r="DF5" s="387" t="n"/>
      <c r="DG5" s="387" t="n"/>
      <c r="DH5" s="388" t="n"/>
      <c r="DJ5" s="253" t="inlineStr">
        <is>
          <t>時間内</t>
        </is>
      </c>
      <c r="DK5" s="384" t="n"/>
      <c r="DL5" s="384" t="n"/>
      <c r="DM5" s="385" t="n"/>
      <c r="DN5" s="386">
        <f>IF(Q4="作業者4",H7-H4,0)</f>
        <v/>
      </c>
      <c r="DO5" s="387" t="n"/>
      <c r="DP5" s="387" t="n"/>
      <c r="DQ5" s="387" t="n"/>
      <c r="DR5" s="388" t="n"/>
      <c r="DT5" s="253" t="inlineStr">
        <is>
          <t>時間内</t>
        </is>
      </c>
      <c r="DU5" s="384" t="n"/>
      <c r="DV5" s="384" t="n"/>
      <c r="DW5" s="385" t="n"/>
      <c r="DX5" s="386">
        <f>IF(Q4="作業者5",H7-H4,0)</f>
        <v/>
      </c>
      <c r="DY5" s="387" t="n"/>
      <c r="DZ5" s="387" t="n"/>
      <c r="EA5" s="387" t="n"/>
      <c r="EB5" s="388" t="n"/>
    </row>
    <row r="6" ht="9" customHeight="1" s="337">
      <c r="B6" s="350" t="n"/>
      <c r="C6" s="338" t="n"/>
      <c r="D6" s="380" t="n"/>
      <c r="E6" s="23" t="n"/>
      <c r="F6" s="338" t="n"/>
      <c r="G6" s="24" t="n"/>
      <c r="H6" s="23" t="n"/>
      <c r="I6" s="338" t="n"/>
      <c r="J6" s="24" t="n"/>
      <c r="K6" s="23" t="n"/>
      <c r="L6" s="338" t="n"/>
      <c r="M6" s="24" t="n"/>
      <c r="N6" s="23" t="n"/>
      <c r="O6" s="338" t="n"/>
      <c r="P6" s="24" t="n"/>
      <c r="Q6" s="382" t="n"/>
      <c r="R6" s="338" t="n"/>
      <c r="S6" s="380" t="n"/>
      <c r="T6" s="382" t="n"/>
      <c r="U6" s="338" t="n"/>
      <c r="V6" s="380" t="n"/>
      <c r="W6" s="382" t="n"/>
      <c r="X6" s="338" t="n"/>
      <c r="Y6" s="338" t="n"/>
      <c r="Z6" s="338" t="n"/>
      <c r="AA6" s="338" t="n"/>
      <c r="AB6" s="338" t="n"/>
      <c r="AC6" s="338" t="n"/>
      <c r="AD6" s="338" t="n"/>
      <c r="AE6" s="338" t="n"/>
      <c r="AF6" s="338" t="n"/>
      <c r="AG6" s="338" t="n"/>
      <c r="AH6" s="338" t="n"/>
      <c r="AI6" s="338" t="n"/>
      <c r="AJ6" s="338" t="n"/>
      <c r="AK6" s="338" t="n"/>
      <c r="AL6" s="338" t="n"/>
      <c r="AM6" s="338" t="n"/>
      <c r="AN6" s="338" t="n"/>
      <c r="AO6" s="338" t="n"/>
      <c r="AP6" s="338" t="n"/>
      <c r="AQ6" s="338" t="n"/>
      <c r="AR6" s="338" t="n"/>
      <c r="AS6" s="338" t="n"/>
      <c r="AT6" s="338" t="n"/>
      <c r="AU6" s="338" t="n"/>
      <c r="AV6" s="338" t="n"/>
      <c r="AW6" s="338" t="n"/>
      <c r="AX6" s="338" t="n"/>
      <c r="AY6" s="338" t="n"/>
      <c r="AZ6" s="338" t="n"/>
      <c r="BA6" s="338" t="n"/>
      <c r="BB6" s="338" t="n"/>
      <c r="BC6" s="338" t="n"/>
      <c r="BD6" s="338" t="n"/>
      <c r="BE6" s="338" t="n"/>
      <c r="BF6" s="338" t="n"/>
      <c r="BG6" s="338" t="n"/>
      <c r="BH6" s="338" t="n"/>
      <c r="BI6" s="338" t="n"/>
      <c r="BJ6" s="338" t="n"/>
      <c r="BK6" s="338" t="n"/>
      <c r="BL6" s="338" t="n"/>
      <c r="BM6" s="338" t="n"/>
      <c r="BN6" s="338" t="n"/>
      <c r="BO6" s="338" t="n"/>
      <c r="BP6" s="338" t="n"/>
      <c r="BQ6" s="338" t="n"/>
      <c r="BR6" s="338" t="n"/>
      <c r="BS6" s="338" t="n"/>
      <c r="BT6" s="338" t="n"/>
      <c r="BU6" s="338" t="n"/>
      <c r="BV6" s="338" t="n"/>
      <c r="BW6" s="338" t="n"/>
      <c r="BX6" s="338" t="n"/>
      <c r="BY6" s="338" t="n"/>
      <c r="BZ6" s="338" t="n"/>
      <c r="CA6" s="338" t="n"/>
      <c r="CB6" s="338" t="n"/>
      <c r="CC6" s="383" t="n"/>
      <c r="CD6" s="30" t="n"/>
      <c r="CE6" s="31" t="n"/>
      <c r="CF6" s="253" t="inlineStr">
        <is>
          <t>時間外</t>
        </is>
      </c>
      <c r="CG6" s="384" t="n"/>
      <c r="CH6" s="384" t="n"/>
      <c r="CI6" s="385" t="n"/>
      <c r="CJ6" s="386">
        <f>IF(Q4="作業者1",K7-K4,0)</f>
        <v/>
      </c>
      <c r="CK6" s="387" t="n"/>
      <c r="CL6" s="387" t="n"/>
      <c r="CM6" s="387" t="n"/>
      <c r="CN6" s="388" t="n"/>
      <c r="CP6" s="253" t="inlineStr">
        <is>
          <t>時間外</t>
        </is>
      </c>
      <c r="CQ6" s="384" t="n"/>
      <c r="CR6" s="384" t="n"/>
      <c r="CS6" s="385" t="n"/>
      <c r="CT6" s="386">
        <f>IF(Q4="作業者2",K7-K4,0)</f>
        <v/>
      </c>
      <c r="CU6" s="387" t="n"/>
      <c r="CV6" s="387" t="n"/>
      <c r="CW6" s="387" t="n"/>
      <c r="CX6" s="388" t="n"/>
      <c r="CZ6" s="253" t="inlineStr">
        <is>
          <t>時間外</t>
        </is>
      </c>
      <c r="DA6" s="384" t="n"/>
      <c r="DB6" s="384" t="n"/>
      <c r="DC6" s="385" t="n"/>
      <c r="DD6" s="386">
        <f>IF(Q4="作業者3",K7-K4,0)</f>
        <v/>
      </c>
      <c r="DE6" s="387" t="n"/>
      <c r="DF6" s="387" t="n"/>
      <c r="DG6" s="387" t="n"/>
      <c r="DH6" s="388" t="n"/>
      <c r="DJ6" s="253" t="inlineStr">
        <is>
          <t>時間外</t>
        </is>
      </c>
      <c r="DK6" s="384" t="n"/>
      <c r="DL6" s="384" t="n"/>
      <c r="DM6" s="385" t="n"/>
      <c r="DN6" s="386">
        <f>IF(Q4="作業者4",K7-K4,0)</f>
        <v/>
      </c>
      <c r="DO6" s="387" t="n"/>
      <c r="DP6" s="387" t="n"/>
      <c r="DQ6" s="387" t="n"/>
      <c r="DR6" s="388" t="n"/>
      <c r="DT6" s="253" t="inlineStr">
        <is>
          <t>時間外</t>
        </is>
      </c>
      <c r="DU6" s="384" t="n"/>
      <c r="DV6" s="384" t="n"/>
      <c r="DW6" s="385" t="n"/>
      <c r="DX6" s="386">
        <f>IF(Q4="作業者5",K7-K4,0)</f>
        <v/>
      </c>
      <c r="DY6" s="387" t="n"/>
      <c r="DZ6" s="387" t="n"/>
      <c r="EA6" s="387" t="n"/>
      <c r="EB6" s="388" t="n"/>
    </row>
    <row r="7" ht="9" customHeight="1" s="337">
      <c r="B7" s="389" t="n"/>
      <c r="C7" s="390" t="n"/>
      <c r="D7" s="391" t="n"/>
      <c r="E7" s="392" t="n"/>
      <c r="F7" s="390" t="n"/>
      <c r="G7" s="391" t="n"/>
      <c r="H7" s="392" t="n"/>
      <c r="I7" s="390" t="n"/>
      <c r="J7" s="391" t="n"/>
      <c r="K7" s="392" t="n"/>
      <c r="L7" s="390" t="n"/>
      <c r="M7" s="391" t="n"/>
      <c r="N7" s="392" t="n"/>
      <c r="O7" s="390" t="n"/>
      <c r="P7" s="391" t="n"/>
      <c r="Q7" s="382" t="n"/>
      <c r="R7" s="338" t="n"/>
      <c r="S7" s="380" t="n"/>
      <c r="T7" s="393" t="n"/>
      <c r="U7" s="390" t="n"/>
      <c r="V7" s="391" t="n"/>
      <c r="W7" s="393" t="n"/>
      <c r="X7" s="390" t="n"/>
      <c r="Y7" s="390" t="n"/>
      <c r="Z7" s="390" t="n"/>
      <c r="AA7" s="390" t="n"/>
      <c r="AB7" s="390" t="n"/>
      <c r="AC7" s="390" t="n"/>
      <c r="AD7" s="390" t="n"/>
      <c r="AE7" s="390" t="n"/>
      <c r="AF7" s="390" t="n"/>
      <c r="AG7" s="390" t="n"/>
      <c r="AH7" s="390" t="n"/>
      <c r="AI7" s="390" t="n"/>
      <c r="AJ7" s="390" t="n"/>
      <c r="AK7" s="390" t="n"/>
      <c r="AL7" s="390" t="n"/>
      <c r="AM7" s="390" t="n"/>
      <c r="AN7" s="390" t="n"/>
      <c r="AO7" s="390" t="n"/>
      <c r="AP7" s="390" t="n"/>
      <c r="AQ7" s="390" t="n"/>
      <c r="AR7" s="390" t="n"/>
      <c r="AS7" s="390" t="n"/>
      <c r="AT7" s="390" t="n"/>
      <c r="AU7" s="390" t="n"/>
      <c r="AV7" s="390" t="n"/>
      <c r="AW7" s="390" t="n"/>
      <c r="AX7" s="390" t="n"/>
      <c r="AY7" s="390" t="n"/>
      <c r="AZ7" s="390" t="n"/>
      <c r="BA7" s="390" t="n"/>
      <c r="BB7" s="390" t="n"/>
      <c r="BC7" s="390" t="n"/>
      <c r="BD7" s="390" t="n"/>
      <c r="BE7" s="390" t="n"/>
      <c r="BF7" s="390" t="n"/>
      <c r="BG7" s="390" t="n"/>
      <c r="BH7" s="390" t="n"/>
      <c r="BI7" s="390" t="n"/>
      <c r="BJ7" s="390" t="n"/>
      <c r="BK7" s="390" t="n"/>
      <c r="BL7" s="390" t="n"/>
      <c r="BM7" s="390" t="n"/>
      <c r="BN7" s="390" t="n"/>
      <c r="BO7" s="390" t="n"/>
      <c r="BP7" s="390" t="n"/>
      <c r="BQ7" s="390" t="n"/>
      <c r="BR7" s="390" t="n"/>
      <c r="BS7" s="390" t="n"/>
      <c r="BT7" s="390" t="n"/>
      <c r="BU7" s="390" t="n"/>
      <c r="BV7" s="390" t="n"/>
      <c r="BW7" s="390" t="n"/>
      <c r="BX7" s="390" t="n"/>
      <c r="BY7" s="390" t="n"/>
      <c r="BZ7" s="390" t="n"/>
      <c r="CA7" s="390" t="n"/>
      <c r="CB7" s="390" t="n"/>
      <c r="CC7" s="394" t="n"/>
      <c r="CD7" s="30" t="n"/>
      <c r="CE7" s="31" t="n"/>
      <c r="CF7" s="254" t="inlineStr">
        <is>
          <t>休日</t>
        </is>
      </c>
      <c r="CG7" s="395" t="n"/>
      <c r="CH7" s="395" t="n"/>
      <c r="CI7" s="396" t="n"/>
      <c r="CJ7" s="386">
        <f>IF(Q4="作業者1",N7-N4,0)</f>
        <v/>
      </c>
      <c r="CK7" s="387" t="n"/>
      <c r="CL7" s="387" t="n"/>
      <c r="CM7" s="387" t="n"/>
      <c r="CN7" s="388" t="n"/>
      <c r="CP7" s="253" t="inlineStr">
        <is>
          <t>休日</t>
        </is>
      </c>
      <c r="CQ7" s="384" t="n"/>
      <c r="CR7" s="384" t="n"/>
      <c r="CS7" s="385" t="n"/>
      <c r="CT7" s="386">
        <f>IF(Q4="作業者2",N7-N4,0)</f>
        <v/>
      </c>
      <c r="CU7" s="387" t="n"/>
      <c r="CV7" s="387" t="n"/>
      <c r="CW7" s="387" t="n"/>
      <c r="CX7" s="388" t="n"/>
      <c r="CZ7" s="254" t="inlineStr">
        <is>
          <t>休日</t>
        </is>
      </c>
      <c r="DA7" s="395" t="n"/>
      <c r="DB7" s="395" t="n"/>
      <c r="DC7" s="396" t="n"/>
      <c r="DD7" s="397">
        <f>IF(Q4="作業者3",N7-N4,0)</f>
        <v/>
      </c>
      <c r="DE7" s="395" t="n"/>
      <c r="DF7" s="395" t="n"/>
      <c r="DG7" s="395" t="n"/>
      <c r="DH7" s="396" t="n"/>
      <c r="DJ7" s="254" t="inlineStr">
        <is>
          <t>休日</t>
        </is>
      </c>
      <c r="DK7" s="395" t="n"/>
      <c r="DL7" s="395" t="n"/>
      <c r="DM7" s="396" t="n"/>
      <c r="DN7" s="397">
        <f>IF(Q4="作業者4",N7-N4,0)</f>
        <v/>
      </c>
      <c r="DO7" s="395" t="n"/>
      <c r="DP7" s="395" t="n"/>
      <c r="DQ7" s="395" t="n"/>
      <c r="DR7" s="396" t="n"/>
      <c r="DT7" s="254" t="inlineStr">
        <is>
          <t>休日</t>
        </is>
      </c>
      <c r="DU7" s="395" t="n"/>
      <c r="DV7" s="395" t="n"/>
      <c r="DW7" s="396" t="n"/>
      <c r="DX7" s="397">
        <f>IF(Q4="作業者5",N7-N4,0)</f>
        <v/>
      </c>
      <c r="DY7" s="395" t="n"/>
      <c r="DZ7" s="395" t="n"/>
      <c r="EA7" s="395" t="n"/>
      <c r="EB7" s="396" t="n"/>
    </row>
    <row r="8" ht="9" customHeight="1" s="337">
      <c r="B8" s="398" t="n"/>
      <c r="C8" s="372" t="n"/>
      <c r="D8" s="373" t="n"/>
      <c r="E8" s="399" t="n"/>
      <c r="F8" s="372" t="n"/>
      <c r="G8" s="373" t="n"/>
      <c r="H8" s="399" t="n"/>
      <c r="I8" s="372" t="n"/>
      <c r="J8" s="373" t="n"/>
      <c r="K8" s="399" t="n"/>
      <c r="L8" s="372" t="n"/>
      <c r="M8" s="373" t="n"/>
      <c r="N8" s="399" t="n"/>
      <c r="O8" s="372" t="n"/>
      <c r="P8" s="373" t="n"/>
      <c r="Q8" s="371" t="n"/>
      <c r="R8" s="372" t="n"/>
      <c r="S8" s="373" t="n"/>
      <c r="T8" s="400" t="n"/>
      <c r="U8" s="372" t="n"/>
      <c r="V8" s="373" t="n"/>
      <c r="W8" s="443" t="n"/>
      <c r="X8" s="372" t="n"/>
      <c r="Y8" s="372" t="n"/>
      <c r="Z8" s="372" t="n"/>
      <c r="AA8" s="372" t="n"/>
      <c r="AB8" s="372" t="n"/>
      <c r="AC8" s="372" t="n"/>
      <c r="AD8" s="372" t="n"/>
      <c r="AE8" s="372" t="n"/>
      <c r="AF8" s="372" t="n"/>
      <c r="AG8" s="372" t="n"/>
      <c r="AH8" s="372" t="n"/>
      <c r="AI8" s="372" t="n"/>
      <c r="AJ8" s="372" t="n"/>
      <c r="AK8" s="372" t="n"/>
      <c r="AL8" s="372" t="n"/>
      <c r="AM8" s="372" t="n"/>
      <c r="AN8" s="372" t="n"/>
      <c r="AO8" s="372" t="n"/>
      <c r="AP8" s="372" t="n"/>
      <c r="AQ8" s="372" t="n"/>
      <c r="AR8" s="372" t="n"/>
      <c r="AS8" s="372" t="n"/>
      <c r="AT8" s="372" t="n"/>
      <c r="AU8" s="372" t="n"/>
      <c r="AV8" s="372" t="n"/>
      <c r="AW8" s="372" t="n"/>
      <c r="AX8" s="372" t="n"/>
      <c r="AY8" s="372" t="n"/>
      <c r="AZ8" s="372" t="n"/>
      <c r="BA8" s="372" t="n"/>
      <c r="BB8" s="372" t="n"/>
      <c r="BC8" s="372" t="n"/>
      <c r="BD8" s="372" t="n"/>
      <c r="BE8" s="372" t="n"/>
      <c r="BF8" s="372" t="n"/>
      <c r="BG8" s="372" t="n"/>
      <c r="BH8" s="372" t="n"/>
      <c r="BI8" s="372" t="n"/>
      <c r="BJ8" s="372" t="n"/>
      <c r="BK8" s="372" t="n"/>
      <c r="BL8" s="372" t="n"/>
      <c r="BM8" s="372" t="n"/>
      <c r="BN8" s="372" t="n"/>
      <c r="BO8" s="372" t="n"/>
      <c r="BP8" s="372" t="n"/>
      <c r="BQ8" s="372" t="n"/>
      <c r="BR8" s="372" t="n"/>
      <c r="BS8" s="372" t="n"/>
      <c r="BT8" s="372" t="n"/>
      <c r="BU8" s="372" t="n"/>
      <c r="BV8" s="372" t="n"/>
      <c r="BW8" s="372" t="n"/>
      <c r="BX8" s="372" t="n"/>
      <c r="BY8" s="372" t="n"/>
      <c r="BZ8" s="372" t="n"/>
      <c r="CA8" s="372" t="n"/>
      <c r="CB8" s="372" t="n"/>
      <c r="CC8" s="402" t="n"/>
      <c r="CD8" s="30" t="n"/>
      <c r="CE8" s="31" t="n"/>
      <c r="CF8" s="259" t="inlineStr">
        <is>
          <t>移動</t>
        </is>
      </c>
      <c r="CG8" s="403" t="n"/>
      <c r="CH8" s="403" t="n"/>
      <c r="CI8" s="404" t="n"/>
      <c r="CJ8" s="379">
        <f>IF(Q8="作業者1",E11-E8,0)</f>
        <v/>
      </c>
      <c r="CK8" s="377" t="n"/>
      <c r="CL8" s="377" t="n"/>
      <c r="CM8" s="377" t="n"/>
      <c r="CN8" s="378" t="n"/>
      <c r="CP8" s="248" t="inlineStr">
        <is>
          <t>移動</t>
        </is>
      </c>
      <c r="CQ8" s="377" t="n"/>
      <c r="CR8" s="377" t="n"/>
      <c r="CS8" s="378" t="n"/>
      <c r="CT8" s="379">
        <f>IF(Q8="作業者2",E11-E8,0)</f>
        <v/>
      </c>
      <c r="CU8" s="377" t="n"/>
      <c r="CV8" s="377" t="n"/>
      <c r="CW8" s="377" t="n"/>
      <c r="CX8" s="378" t="n"/>
      <c r="CZ8" s="259" t="inlineStr">
        <is>
          <t>移動</t>
        </is>
      </c>
      <c r="DA8" s="403" t="n"/>
      <c r="DB8" s="403" t="n"/>
      <c r="DC8" s="404" t="n"/>
      <c r="DD8" s="405">
        <f>IF(Q8="作業者3",E11-E8,0)</f>
        <v/>
      </c>
      <c r="DE8" s="406" t="n"/>
      <c r="DF8" s="406" t="n"/>
      <c r="DG8" s="406" t="n"/>
      <c r="DH8" s="407" t="n"/>
      <c r="DJ8" s="259" t="inlineStr">
        <is>
          <t>移動</t>
        </is>
      </c>
      <c r="DK8" s="403" t="n"/>
      <c r="DL8" s="403" t="n"/>
      <c r="DM8" s="404" t="n"/>
      <c r="DN8" s="379">
        <f>IF(Q8="作業者4",E11-E8,0)</f>
        <v/>
      </c>
      <c r="DO8" s="377" t="n"/>
      <c r="DP8" s="377" t="n"/>
      <c r="DQ8" s="377" t="n"/>
      <c r="DR8" s="378" t="n"/>
      <c r="DT8" s="259" t="inlineStr">
        <is>
          <t>移動</t>
        </is>
      </c>
      <c r="DU8" s="403" t="n"/>
      <c r="DV8" s="403" t="n"/>
      <c r="DW8" s="404" t="n"/>
      <c r="DX8" s="379">
        <f>IF(Q8="作業者5",E11-E8,0)</f>
        <v/>
      </c>
      <c r="DY8" s="377" t="n"/>
      <c r="DZ8" s="377" t="n"/>
      <c r="EA8" s="377" t="n"/>
      <c r="EB8" s="378" t="n"/>
    </row>
    <row r="9" ht="9" customHeight="1" s="337">
      <c r="B9" s="350" t="n"/>
      <c r="C9" s="338" t="n"/>
      <c r="D9" s="380" t="n"/>
      <c r="E9" s="381" t="n"/>
      <c r="F9" s="122" t="inlineStr">
        <is>
          <t>～</t>
        </is>
      </c>
      <c r="G9" s="22" t="n"/>
      <c r="H9" s="381" t="n"/>
      <c r="I9" s="122" t="inlineStr">
        <is>
          <t>～</t>
        </is>
      </c>
      <c r="J9" s="22" t="n"/>
      <c r="K9" s="381" t="n"/>
      <c r="L9" s="122" t="inlineStr">
        <is>
          <t>～</t>
        </is>
      </c>
      <c r="M9" s="22" t="n"/>
      <c r="N9" s="381" t="n"/>
      <c r="O9" s="122" t="inlineStr">
        <is>
          <t>～</t>
        </is>
      </c>
      <c r="P9" s="22" t="n"/>
      <c r="Q9" s="382" t="n"/>
      <c r="R9" s="338" t="n"/>
      <c r="S9" s="380" t="n"/>
      <c r="T9" s="382" t="n"/>
      <c r="U9" s="338" t="n"/>
      <c r="V9" s="380" t="n"/>
      <c r="W9" s="382" t="n"/>
      <c r="X9" s="338" t="n"/>
      <c r="Y9" s="338" t="n"/>
      <c r="Z9" s="338" t="n"/>
      <c r="AA9" s="338" t="n"/>
      <c r="AB9" s="338" t="n"/>
      <c r="AC9" s="338" t="n"/>
      <c r="AD9" s="338" t="n"/>
      <c r="AE9" s="338" t="n"/>
      <c r="AF9" s="338" t="n"/>
      <c r="AG9" s="338" t="n"/>
      <c r="AH9" s="338" t="n"/>
      <c r="AI9" s="338" t="n"/>
      <c r="AJ9" s="338" t="n"/>
      <c r="AK9" s="338" t="n"/>
      <c r="AL9" s="338" t="n"/>
      <c r="AM9" s="338" t="n"/>
      <c r="AN9" s="338" t="n"/>
      <c r="AO9" s="338" t="n"/>
      <c r="AP9" s="338" t="n"/>
      <c r="AQ9" s="338" t="n"/>
      <c r="AR9" s="338" t="n"/>
      <c r="AS9" s="338" t="n"/>
      <c r="AT9" s="338" t="n"/>
      <c r="AU9" s="338" t="n"/>
      <c r="AV9" s="338" t="n"/>
      <c r="AW9" s="338" t="n"/>
      <c r="AX9" s="338" t="n"/>
      <c r="AY9" s="338" t="n"/>
      <c r="AZ9" s="338" t="n"/>
      <c r="BA9" s="338" t="n"/>
      <c r="BB9" s="338" t="n"/>
      <c r="BC9" s="338" t="n"/>
      <c r="BD9" s="338" t="n"/>
      <c r="BE9" s="338" t="n"/>
      <c r="BF9" s="338" t="n"/>
      <c r="BG9" s="338" t="n"/>
      <c r="BH9" s="338" t="n"/>
      <c r="BI9" s="338" t="n"/>
      <c r="BJ9" s="338" t="n"/>
      <c r="BK9" s="338" t="n"/>
      <c r="BL9" s="338" t="n"/>
      <c r="BM9" s="338" t="n"/>
      <c r="BN9" s="338" t="n"/>
      <c r="BO9" s="338" t="n"/>
      <c r="BP9" s="338" t="n"/>
      <c r="BQ9" s="338" t="n"/>
      <c r="BR9" s="338" t="n"/>
      <c r="BS9" s="338" t="n"/>
      <c r="BT9" s="338" t="n"/>
      <c r="BU9" s="338" t="n"/>
      <c r="BV9" s="338" t="n"/>
      <c r="BW9" s="338" t="n"/>
      <c r="BX9" s="338" t="n"/>
      <c r="BY9" s="338" t="n"/>
      <c r="BZ9" s="338" t="n"/>
      <c r="CA9" s="338" t="n"/>
      <c r="CB9" s="338" t="n"/>
      <c r="CC9" s="383" t="n"/>
      <c r="CD9" s="30" t="n"/>
      <c r="CE9" s="31" t="n"/>
      <c r="CF9" s="253" t="inlineStr">
        <is>
          <t>時間内</t>
        </is>
      </c>
      <c r="CG9" s="384" t="n"/>
      <c r="CH9" s="384" t="n"/>
      <c r="CI9" s="385" t="n"/>
      <c r="CJ9" s="386">
        <f>IF(Q8="作業者1",H11-H8,0)</f>
        <v/>
      </c>
      <c r="CK9" s="387" t="n"/>
      <c r="CL9" s="387" t="n"/>
      <c r="CM9" s="387" t="n"/>
      <c r="CN9" s="388" t="n"/>
      <c r="CP9" s="253" t="inlineStr">
        <is>
          <t>時間内</t>
        </is>
      </c>
      <c r="CQ9" s="384" t="n"/>
      <c r="CR9" s="384" t="n"/>
      <c r="CS9" s="385" t="n"/>
      <c r="CT9" s="386">
        <f>IF(Q8="作業者2",H11-H8,0)</f>
        <v/>
      </c>
      <c r="CU9" s="387" t="n"/>
      <c r="CV9" s="387" t="n"/>
      <c r="CW9" s="387" t="n"/>
      <c r="CX9" s="388" t="n"/>
      <c r="CZ9" s="253" t="inlineStr">
        <is>
          <t>時間内</t>
        </is>
      </c>
      <c r="DA9" s="384" t="n"/>
      <c r="DB9" s="384" t="n"/>
      <c r="DC9" s="385" t="n"/>
      <c r="DD9" s="386">
        <f>IF(Q8="作業者3",H11-H8,0)</f>
        <v/>
      </c>
      <c r="DE9" s="387" t="n"/>
      <c r="DF9" s="387" t="n"/>
      <c r="DG9" s="387" t="n"/>
      <c r="DH9" s="388" t="n"/>
      <c r="DJ9" s="253" t="inlineStr">
        <is>
          <t>時間内</t>
        </is>
      </c>
      <c r="DK9" s="384" t="n"/>
      <c r="DL9" s="384" t="n"/>
      <c r="DM9" s="385" t="n"/>
      <c r="DN9" s="386">
        <f>IF(Q8="作業者4",H11-H8,0)</f>
        <v/>
      </c>
      <c r="DO9" s="387" t="n"/>
      <c r="DP9" s="387" t="n"/>
      <c r="DQ9" s="387" t="n"/>
      <c r="DR9" s="388" t="n"/>
      <c r="DT9" s="253" t="inlineStr">
        <is>
          <t>時間内</t>
        </is>
      </c>
      <c r="DU9" s="384" t="n"/>
      <c r="DV9" s="384" t="n"/>
      <c r="DW9" s="385" t="n"/>
      <c r="DX9" s="386">
        <f>IF(Q8="作業者5",H11-H8,0)</f>
        <v/>
      </c>
      <c r="DY9" s="387" t="n"/>
      <c r="DZ9" s="387" t="n"/>
      <c r="EA9" s="387" t="n"/>
      <c r="EB9" s="388" t="n"/>
    </row>
    <row r="10" ht="9" customHeight="1" s="337">
      <c r="B10" s="350" t="n"/>
      <c r="C10" s="338" t="n"/>
      <c r="D10" s="380" t="n"/>
      <c r="E10" s="23" t="n"/>
      <c r="F10" s="338" t="n"/>
      <c r="G10" s="24" t="n"/>
      <c r="H10" s="23" t="n"/>
      <c r="I10" s="338" t="n"/>
      <c r="J10" s="24" t="n"/>
      <c r="K10" s="23" t="n"/>
      <c r="L10" s="338" t="n"/>
      <c r="M10" s="24" t="n"/>
      <c r="N10" s="23" t="n"/>
      <c r="O10" s="338" t="n"/>
      <c r="P10" s="24" t="n"/>
      <c r="Q10" s="382" t="n"/>
      <c r="R10" s="338" t="n"/>
      <c r="S10" s="380" t="n"/>
      <c r="T10" s="382" t="n"/>
      <c r="U10" s="338" t="n"/>
      <c r="V10" s="380" t="n"/>
      <c r="W10" s="382" t="n"/>
      <c r="X10" s="338" t="n"/>
      <c r="Y10" s="338" t="n"/>
      <c r="Z10" s="338" t="n"/>
      <c r="AA10" s="338" t="n"/>
      <c r="AB10" s="338" t="n"/>
      <c r="AC10" s="338" t="n"/>
      <c r="AD10" s="338" t="n"/>
      <c r="AE10" s="338" t="n"/>
      <c r="AF10" s="338" t="n"/>
      <c r="AG10" s="338" t="n"/>
      <c r="AH10" s="338" t="n"/>
      <c r="AI10" s="338" t="n"/>
      <c r="AJ10" s="338" t="n"/>
      <c r="AK10" s="338" t="n"/>
      <c r="AL10" s="338" t="n"/>
      <c r="AM10" s="338" t="n"/>
      <c r="AN10" s="338" t="n"/>
      <c r="AO10" s="338" t="n"/>
      <c r="AP10" s="338" t="n"/>
      <c r="AQ10" s="338" t="n"/>
      <c r="AR10" s="338" t="n"/>
      <c r="AS10" s="338" t="n"/>
      <c r="AT10" s="338" t="n"/>
      <c r="AU10" s="338" t="n"/>
      <c r="AV10" s="338" t="n"/>
      <c r="AW10" s="338" t="n"/>
      <c r="AX10" s="338" t="n"/>
      <c r="AY10" s="338" t="n"/>
      <c r="AZ10" s="338" t="n"/>
      <c r="BA10" s="338" t="n"/>
      <c r="BB10" s="338" t="n"/>
      <c r="BC10" s="338" t="n"/>
      <c r="BD10" s="338" t="n"/>
      <c r="BE10" s="338" t="n"/>
      <c r="BF10" s="338" t="n"/>
      <c r="BG10" s="338" t="n"/>
      <c r="BH10" s="338" t="n"/>
      <c r="BI10" s="338" t="n"/>
      <c r="BJ10" s="338" t="n"/>
      <c r="BK10" s="338" t="n"/>
      <c r="BL10" s="338" t="n"/>
      <c r="BM10" s="338" t="n"/>
      <c r="BN10" s="338" t="n"/>
      <c r="BO10" s="338" t="n"/>
      <c r="BP10" s="338" t="n"/>
      <c r="BQ10" s="338" t="n"/>
      <c r="BR10" s="338" t="n"/>
      <c r="BS10" s="338" t="n"/>
      <c r="BT10" s="338" t="n"/>
      <c r="BU10" s="338" t="n"/>
      <c r="BV10" s="338" t="n"/>
      <c r="BW10" s="338" t="n"/>
      <c r="BX10" s="338" t="n"/>
      <c r="BY10" s="338" t="n"/>
      <c r="BZ10" s="338" t="n"/>
      <c r="CA10" s="338" t="n"/>
      <c r="CB10" s="338" t="n"/>
      <c r="CC10" s="383" t="n"/>
      <c r="CD10" s="30" t="n"/>
      <c r="CE10" s="31" t="n"/>
      <c r="CF10" s="253" t="inlineStr">
        <is>
          <t>時間外</t>
        </is>
      </c>
      <c r="CG10" s="384" t="n"/>
      <c r="CH10" s="384" t="n"/>
      <c r="CI10" s="385" t="n"/>
      <c r="CJ10" s="386">
        <f>IF(Q8="作業者1",K11-K8,0)</f>
        <v/>
      </c>
      <c r="CK10" s="387" t="n"/>
      <c r="CL10" s="387" t="n"/>
      <c r="CM10" s="387" t="n"/>
      <c r="CN10" s="388" t="n"/>
      <c r="CP10" s="253" t="inlineStr">
        <is>
          <t>時間外</t>
        </is>
      </c>
      <c r="CQ10" s="384" t="n"/>
      <c r="CR10" s="384" t="n"/>
      <c r="CS10" s="385" t="n"/>
      <c r="CT10" s="386">
        <f>IF(Q8="作業者2",K11-K8,0)</f>
        <v/>
      </c>
      <c r="CU10" s="387" t="n"/>
      <c r="CV10" s="387" t="n"/>
      <c r="CW10" s="387" t="n"/>
      <c r="CX10" s="388" t="n"/>
      <c r="CZ10" s="253" t="inlineStr">
        <is>
          <t>時間外</t>
        </is>
      </c>
      <c r="DA10" s="384" t="n"/>
      <c r="DB10" s="384" t="n"/>
      <c r="DC10" s="385" t="n"/>
      <c r="DD10" s="386">
        <f>IF(Q8="作業者3",K11-K8,0)</f>
        <v/>
      </c>
      <c r="DE10" s="387" t="n"/>
      <c r="DF10" s="387" t="n"/>
      <c r="DG10" s="387" t="n"/>
      <c r="DH10" s="388" t="n"/>
      <c r="DJ10" s="253" t="inlineStr">
        <is>
          <t>時間外</t>
        </is>
      </c>
      <c r="DK10" s="384" t="n"/>
      <c r="DL10" s="384" t="n"/>
      <c r="DM10" s="385" t="n"/>
      <c r="DN10" s="386">
        <f>IF(Q8="作業者4",K11-K8,0)</f>
        <v/>
      </c>
      <c r="DO10" s="387" t="n"/>
      <c r="DP10" s="387" t="n"/>
      <c r="DQ10" s="387" t="n"/>
      <c r="DR10" s="388" t="n"/>
      <c r="DT10" s="253" t="inlineStr">
        <is>
          <t>時間外</t>
        </is>
      </c>
      <c r="DU10" s="384" t="n"/>
      <c r="DV10" s="384" t="n"/>
      <c r="DW10" s="385" t="n"/>
      <c r="DX10" s="386">
        <f>IF(Q8="作業者5",K11-K8,0)</f>
        <v/>
      </c>
      <c r="DY10" s="387" t="n"/>
      <c r="DZ10" s="387" t="n"/>
      <c r="EA10" s="387" t="n"/>
      <c r="EB10" s="388" t="n"/>
    </row>
    <row r="11" ht="9" customHeight="1" s="337">
      <c r="B11" s="389" t="n"/>
      <c r="C11" s="390" t="n"/>
      <c r="D11" s="391" t="n"/>
      <c r="E11" s="392" t="n"/>
      <c r="F11" s="390" t="n"/>
      <c r="G11" s="391" t="n"/>
      <c r="H11" s="392" t="n"/>
      <c r="I11" s="390" t="n"/>
      <c r="J11" s="391" t="n"/>
      <c r="K11" s="392" t="n"/>
      <c r="L11" s="390" t="n"/>
      <c r="M11" s="391" t="n"/>
      <c r="N11" s="392" t="n"/>
      <c r="O11" s="390" t="n"/>
      <c r="P11" s="391" t="n"/>
      <c r="Q11" s="393" t="n"/>
      <c r="R11" s="390" t="n"/>
      <c r="S11" s="391" t="n"/>
      <c r="T11" s="393" t="n"/>
      <c r="U11" s="390" t="n"/>
      <c r="V11" s="391" t="n"/>
      <c r="W11" s="393" t="n"/>
      <c r="X11" s="390" t="n"/>
      <c r="Y11" s="390" t="n"/>
      <c r="Z11" s="390" t="n"/>
      <c r="AA11" s="390" t="n"/>
      <c r="AB11" s="390" t="n"/>
      <c r="AC11" s="390" t="n"/>
      <c r="AD11" s="390" t="n"/>
      <c r="AE11" s="390" t="n"/>
      <c r="AF11" s="390" t="n"/>
      <c r="AG11" s="390" t="n"/>
      <c r="AH11" s="390" t="n"/>
      <c r="AI11" s="390" t="n"/>
      <c r="AJ11" s="390" t="n"/>
      <c r="AK11" s="390" t="n"/>
      <c r="AL11" s="390" t="n"/>
      <c r="AM11" s="390" t="n"/>
      <c r="AN11" s="390" t="n"/>
      <c r="AO11" s="390" t="n"/>
      <c r="AP11" s="390" t="n"/>
      <c r="AQ11" s="390" t="n"/>
      <c r="AR11" s="390" t="n"/>
      <c r="AS11" s="390" t="n"/>
      <c r="AT11" s="390" t="n"/>
      <c r="AU11" s="390" t="n"/>
      <c r="AV11" s="390" t="n"/>
      <c r="AW11" s="390" t="n"/>
      <c r="AX11" s="390" t="n"/>
      <c r="AY11" s="390" t="n"/>
      <c r="AZ11" s="390" t="n"/>
      <c r="BA11" s="390" t="n"/>
      <c r="BB11" s="390" t="n"/>
      <c r="BC11" s="390" t="n"/>
      <c r="BD11" s="390" t="n"/>
      <c r="BE11" s="390" t="n"/>
      <c r="BF11" s="390" t="n"/>
      <c r="BG11" s="390" t="n"/>
      <c r="BH11" s="390" t="n"/>
      <c r="BI11" s="390" t="n"/>
      <c r="BJ11" s="390" t="n"/>
      <c r="BK11" s="390" t="n"/>
      <c r="BL11" s="390" t="n"/>
      <c r="BM11" s="390" t="n"/>
      <c r="BN11" s="390" t="n"/>
      <c r="BO11" s="390" t="n"/>
      <c r="BP11" s="390" t="n"/>
      <c r="BQ11" s="390" t="n"/>
      <c r="BR11" s="390" t="n"/>
      <c r="BS11" s="390" t="n"/>
      <c r="BT11" s="390" t="n"/>
      <c r="BU11" s="390" t="n"/>
      <c r="BV11" s="390" t="n"/>
      <c r="BW11" s="390" t="n"/>
      <c r="BX11" s="390" t="n"/>
      <c r="BY11" s="390" t="n"/>
      <c r="BZ11" s="390" t="n"/>
      <c r="CA11" s="390" t="n"/>
      <c r="CB11" s="390" t="n"/>
      <c r="CC11" s="394" t="n"/>
      <c r="CD11" s="30" t="n"/>
      <c r="CE11" s="31" t="n"/>
      <c r="CF11" s="249" t="inlineStr">
        <is>
          <t>休日</t>
        </is>
      </c>
      <c r="CG11" s="408" t="n"/>
      <c r="CH11" s="408" t="n"/>
      <c r="CI11" s="409" t="n"/>
      <c r="CJ11" s="386">
        <f>IF(Q8="作業者1",N11-N8,0)</f>
        <v/>
      </c>
      <c r="CK11" s="387" t="n"/>
      <c r="CL11" s="387" t="n"/>
      <c r="CM11" s="387" t="n"/>
      <c r="CN11" s="388" t="n"/>
      <c r="CP11" s="253" t="inlineStr">
        <is>
          <t>休日</t>
        </is>
      </c>
      <c r="CQ11" s="384" t="n"/>
      <c r="CR11" s="384" t="n"/>
      <c r="CS11" s="385" t="n"/>
      <c r="CT11" s="386">
        <f>IF(Q8="作業者2",N11-N8,0)</f>
        <v/>
      </c>
      <c r="CU11" s="387" t="n"/>
      <c r="CV11" s="387" t="n"/>
      <c r="CW11" s="387" t="n"/>
      <c r="CX11" s="388" t="n"/>
      <c r="CZ11" s="254" t="inlineStr">
        <is>
          <t>休日</t>
        </is>
      </c>
      <c r="DA11" s="395" t="n"/>
      <c r="DB11" s="395" t="n"/>
      <c r="DC11" s="396" t="n"/>
      <c r="DD11" s="397">
        <f>IF(Q8="作業者3",N11-N8,0)</f>
        <v/>
      </c>
      <c r="DE11" s="395" t="n"/>
      <c r="DF11" s="395" t="n"/>
      <c r="DG11" s="395" t="n"/>
      <c r="DH11" s="396" t="n"/>
      <c r="DJ11" s="254" t="inlineStr">
        <is>
          <t>休日</t>
        </is>
      </c>
      <c r="DK11" s="395" t="n"/>
      <c r="DL11" s="395" t="n"/>
      <c r="DM11" s="396" t="n"/>
      <c r="DN11" s="397">
        <f>IF(Q8="作業者4",N11-N8,0)</f>
        <v/>
      </c>
      <c r="DO11" s="395" t="n"/>
      <c r="DP11" s="395" t="n"/>
      <c r="DQ11" s="395" t="n"/>
      <c r="DR11" s="396" t="n"/>
      <c r="DT11" s="254" t="inlineStr">
        <is>
          <t>休日</t>
        </is>
      </c>
      <c r="DU11" s="395" t="n"/>
      <c r="DV11" s="395" t="n"/>
      <c r="DW11" s="396" t="n"/>
      <c r="DX11" s="397">
        <f>IF(Q8="作業者5",N11-N8,0)</f>
        <v/>
      </c>
      <c r="DY11" s="395" t="n"/>
      <c r="DZ11" s="395" t="n"/>
      <c r="EA11" s="395" t="n"/>
      <c r="EB11" s="396" t="n"/>
    </row>
    <row r="12" ht="9" customHeight="1" s="337">
      <c r="B12" s="398" t="n"/>
      <c r="C12" s="372" t="n"/>
      <c r="D12" s="373" t="n"/>
      <c r="E12" s="399" t="n"/>
      <c r="F12" s="372" t="n"/>
      <c r="G12" s="373" t="n"/>
      <c r="H12" s="399" t="n"/>
      <c r="I12" s="372" t="n"/>
      <c r="J12" s="373" t="n"/>
      <c r="K12" s="399" t="n"/>
      <c r="L12" s="372" t="n"/>
      <c r="M12" s="373" t="n"/>
      <c r="N12" s="399" t="n"/>
      <c r="O12" s="372" t="n"/>
      <c r="P12" s="373" t="n"/>
      <c r="Q12" s="371" t="n"/>
      <c r="R12" s="372" t="n"/>
      <c r="S12" s="373" t="n"/>
      <c r="T12" s="371" t="n"/>
      <c r="U12" s="372" t="n"/>
      <c r="V12" s="373" t="n"/>
      <c r="W12" s="443" t="n"/>
      <c r="X12" s="372" t="n"/>
      <c r="Y12" s="372" t="n"/>
      <c r="Z12" s="372" t="n"/>
      <c r="AA12" s="372" t="n"/>
      <c r="AB12" s="372" t="n"/>
      <c r="AC12" s="372" t="n"/>
      <c r="AD12" s="372" t="n"/>
      <c r="AE12" s="372" t="n"/>
      <c r="AF12" s="372" t="n"/>
      <c r="AG12" s="372" t="n"/>
      <c r="AH12" s="372" t="n"/>
      <c r="AI12" s="372" t="n"/>
      <c r="AJ12" s="372" t="n"/>
      <c r="AK12" s="372" t="n"/>
      <c r="AL12" s="372" t="n"/>
      <c r="AM12" s="372" t="n"/>
      <c r="AN12" s="372" t="n"/>
      <c r="AO12" s="372" t="n"/>
      <c r="AP12" s="372" t="n"/>
      <c r="AQ12" s="372" t="n"/>
      <c r="AR12" s="372" t="n"/>
      <c r="AS12" s="372" t="n"/>
      <c r="AT12" s="372" t="n"/>
      <c r="AU12" s="372" t="n"/>
      <c r="AV12" s="372" t="n"/>
      <c r="AW12" s="372" t="n"/>
      <c r="AX12" s="372" t="n"/>
      <c r="AY12" s="372" t="n"/>
      <c r="AZ12" s="372" t="n"/>
      <c r="BA12" s="372" t="n"/>
      <c r="BB12" s="372" t="n"/>
      <c r="BC12" s="372" t="n"/>
      <c r="BD12" s="372" t="n"/>
      <c r="BE12" s="372" t="n"/>
      <c r="BF12" s="372" t="n"/>
      <c r="BG12" s="372" t="n"/>
      <c r="BH12" s="372" t="n"/>
      <c r="BI12" s="372" t="n"/>
      <c r="BJ12" s="372" t="n"/>
      <c r="BK12" s="372" t="n"/>
      <c r="BL12" s="372" t="n"/>
      <c r="BM12" s="372" t="n"/>
      <c r="BN12" s="372" t="n"/>
      <c r="BO12" s="372" t="n"/>
      <c r="BP12" s="372" t="n"/>
      <c r="BQ12" s="372" t="n"/>
      <c r="BR12" s="372" t="n"/>
      <c r="BS12" s="372" t="n"/>
      <c r="BT12" s="372" t="n"/>
      <c r="BU12" s="372" t="n"/>
      <c r="BV12" s="372" t="n"/>
      <c r="BW12" s="372" t="n"/>
      <c r="BX12" s="372" t="n"/>
      <c r="BY12" s="372" t="n"/>
      <c r="BZ12" s="372" t="n"/>
      <c r="CA12" s="372" t="n"/>
      <c r="CB12" s="372" t="n"/>
      <c r="CC12" s="402" t="n"/>
      <c r="CF12" s="248" t="inlineStr">
        <is>
          <t>移動</t>
        </is>
      </c>
      <c r="CG12" s="377" t="n"/>
      <c r="CH12" s="377" t="n"/>
      <c r="CI12" s="378" t="n"/>
      <c r="CJ12" s="379">
        <f>IF(Q12="作業者1",E15-E12,0)</f>
        <v/>
      </c>
      <c r="CK12" s="377" t="n"/>
      <c r="CL12" s="377" t="n"/>
      <c r="CM12" s="377" t="n"/>
      <c r="CN12" s="378" t="n"/>
      <c r="CP12" s="248" t="inlineStr">
        <is>
          <t>移動</t>
        </is>
      </c>
      <c r="CQ12" s="377" t="n"/>
      <c r="CR12" s="377" t="n"/>
      <c r="CS12" s="378" t="n"/>
      <c r="CT12" s="379">
        <f>IF(Q12="作業者2",E15-E12,0)</f>
        <v/>
      </c>
      <c r="CU12" s="377" t="n"/>
      <c r="CV12" s="377" t="n"/>
      <c r="CW12" s="377" t="n"/>
      <c r="CX12" s="378" t="n"/>
      <c r="CZ12" s="259" t="inlineStr">
        <is>
          <t>移動</t>
        </is>
      </c>
      <c r="DA12" s="403" t="n"/>
      <c r="DB12" s="403" t="n"/>
      <c r="DC12" s="404" t="n"/>
      <c r="DD12" s="405">
        <f>IF(Q12="作業者3",E15-E12,0)</f>
        <v/>
      </c>
      <c r="DE12" s="406" t="n"/>
      <c r="DF12" s="406" t="n"/>
      <c r="DG12" s="406" t="n"/>
      <c r="DH12" s="407" t="n"/>
      <c r="DJ12" s="259" t="inlineStr">
        <is>
          <t>移動</t>
        </is>
      </c>
      <c r="DK12" s="403" t="n"/>
      <c r="DL12" s="403" t="n"/>
      <c r="DM12" s="404" t="n"/>
      <c r="DN12" s="379">
        <f>IF(Q12="作業者4",E15-E12,0)</f>
        <v/>
      </c>
      <c r="DO12" s="377" t="n"/>
      <c r="DP12" s="377" t="n"/>
      <c r="DQ12" s="377" t="n"/>
      <c r="DR12" s="378" t="n"/>
      <c r="DT12" s="259" t="inlineStr">
        <is>
          <t>移動</t>
        </is>
      </c>
      <c r="DU12" s="403" t="n"/>
      <c r="DV12" s="403" t="n"/>
      <c r="DW12" s="404" t="n"/>
      <c r="DX12" s="379">
        <f>IF(Q12="作業者5",E15-E12,0)</f>
        <v/>
      </c>
      <c r="DY12" s="377" t="n"/>
      <c r="DZ12" s="377" t="n"/>
      <c r="EA12" s="377" t="n"/>
      <c r="EB12" s="378" t="n"/>
    </row>
    <row r="13" ht="9" customHeight="1" s="337">
      <c r="B13" s="350" t="n"/>
      <c r="C13" s="338" t="n"/>
      <c r="D13" s="380" t="n"/>
      <c r="E13" s="381" t="n"/>
      <c r="F13" s="122" t="inlineStr">
        <is>
          <t>～</t>
        </is>
      </c>
      <c r="G13" s="22" t="n"/>
      <c r="H13" s="381" t="n"/>
      <c r="I13" s="122" t="inlineStr">
        <is>
          <t>～</t>
        </is>
      </c>
      <c r="J13" s="22" t="n"/>
      <c r="K13" s="381" t="n"/>
      <c r="L13" s="122" t="inlineStr">
        <is>
          <t>～</t>
        </is>
      </c>
      <c r="M13" s="22" t="n"/>
      <c r="N13" s="381" t="n"/>
      <c r="O13" s="122" t="inlineStr">
        <is>
          <t>～</t>
        </is>
      </c>
      <c r="P13" s="22" t="n"/>
      <c r="Q13" s="382" t="n"/>
      <c r="R13" s="338" t="n"/>
      <c r="S13" s="380" t="n"/>
      <c r="T13" s="382" t="n"/>
      <c r="U13" s="338" t="n"/>
      <c r="V13" s="380" t="n"/>
      <c r="W13" s="382" t="n"/>
      <c r="X13" s="338" t="n"/>
      <c r="Y13" s="338" t="n"/>
      <c r="Z13" s="338" t="n"/>
      <c r="AA13" s="338" t="n"/>
      <c r="AB13" s="338" t="n"/>
      <c r="AC13" s="338" t="n"/>
      <c r="AD13" s="338" t="n"/>
      <c r="AE13" s="338" t="n"/>
      <c r="AF13" s="338" t="n"/>
      <c r="AG13" s="338" t="n"/>
      <c r="AH13" s="338" t="n"/>
      <c r="AI13" s="338" t="n"/>
      <c r="AJ13" s="338" t="n"/>
      <c r="AK13" s="338" t="n"/>
      <c r="AL13" s="338" t="n"/>
      <c r="AM13" s="338" t="n"/>
      <c r="AN13" s="338" t="n"/>
      <c r="AO13" s="338" t="n"/>
      <c r="AP13" s="338" t="n"/>
      <c r="AQ13" s="338" t="n"/>
      <c r="AR13" s="338" t="n"/>
      <c r="AS13" s="338" t="n"/>
      <c r="AT13" s="338" t="n"/>
      <c r="AU13" s="338" t="n"/>
      <c r="AV13" s="338" t="n"/>
      <c r="AW13" s="338" t="n"/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8" t="n"/>
      <c r="BH13" s="338" t="n"/>
      <c r="BI13" s="338" t="n"/>
      <c r="BJ13" s="338" t="n"/>
      <c r="BK13" s="338" t="n"/>
      <c r="BL13" s="338" t="n"/>
      <c r="BM13" s="338" t="n"/>
      <c r="BN13" s="338" t="n"/>
      <c r="BO13" s="338" t="n"/>
      <c r="BP13" s="338" t="n"/>
      <c r="BQ13" s="338" t="n"/>
      <c r="BR13" s="338" t="n"/>
      <c r="BS13" s="338" t="n"/>
      <c r="BT13" s="338" t="n"/>
      <c r="BU13" s="338" t="n"/>
      <c r="BV13" s="338" t="n"/>
      <c r="BW13" s="338" t="n"/>
      <c r="BX13" s="338" t="n"/>
      <c r="BY13" s="338" t="n"/>
      <c r="BZ13" s="338" t="n"/>
      <c r="CA13" s="338" t="n"/>
      <c r="CB13" s="338" t="n"/>
      <c r="CC13" s="383" t="n"/>
      <c r="CF13" s="253" t="inlineStr">
        <is>
          <t>時間内</t>
        </is>
      </c>
      <c r="CG13" s="384" t="n"/>
      <c r="CH13" s="384" t="n"/>
      <c r="CI13" s="385" t="n"/>
      <c r="CJ13" s="386">
        <f>IF(Q12="作業者1",H15-H12,0)</f>
        <v/>
      </c>
      <c r="CK13" s="387" t="n"/>
      <c r="CL13" s="387" t="n"/>
      <c r="CM13" s="387" t="n"/>
      <c r="CN13" s="388" t="n"/>
      <c r="CP13" s="253" t="inlineStr">
        <is>
          <t>時間内</t>
        </is>
      </c>
      <c r="CQ13" s="384" t="n"/>
      <c r="CR13" s="384" t="n"/>
      <c r="CS13" s="385" t="n"/>
      <c r="CT13" s="386">
        <f>IF(Q12="作業者2",H15-H12,0)</f>
        <v/>
      </c>
      <c r="CU13" s="387" t="n"/>
      <c r="CV13" s="387" t="n"/>
      <c r="CW13" s="387" t="n"/>
      <c r="CX13" s="388" t="n"/>
      <c r="CZ13" s="253" t="inlineStr">
        <is>
          <t>時間内</t>
        </is>
      </c>
      <c r="DA13" s="384" t="n"/>
      <c r="DB13" s="384" t="n"/>
      <c r="DC13" s="385" t="n"/>
      <c r="DD13" s="386">
        <f>IF(Q12="作業者3",H15-H12,0)</f>
        <v/>
      </c>
      <c r="DE13" s="387" t="n"/>
      <c r="DF13" s="387" t="n"/>
      <c r="DG13" s="387" t="n"/>
      <c r="DH13" s="388" t="n"/>
      <c r="DJ13" s="253" t="inlineStr">
        <is>
          <t>時間内</t>
        </is>
      </c>
      <c r="DK13" s="384" t="n"/>
      <c r="DL13" s="384" t="n"/>
      <c r="DM13" s="385" t="n"/>
      <c r="DN13" s="386">
        <f>IF(Q12="作業者4",H15-H12,0)</f>
        <v/>
      </c>
      <c r="DO13" s="387" t="n"/>
      <c r="DP13" s="387" t="n"/>
      <c r="DQ13" s="387" t="n"/>
      <c r="DR13" s="388" t="n"/>
      <c r="DT13" s="253" t="inlineStr">
        <is>
          <t>時間内</t>
        </is>
      </c>
      <c r="DU13" s="384" t="n"/>
      <c r="DV13" s="384" t="n"/>
      <c r="DW13" s="385" t="n"/>
      <c r="DX13" s="386">
        <f>IF(Q12="作業者5",H15-H12,0)</f>
        <v/>
      </c>
      <c r="DY13" s="387" t="n"/>
      <c r="DZ13" s="387" t="n"/>
      <c r="EA13" s="387" t="n"/>
      <c r="EB13" s="388" t="n"/>
    </row>
    <row r="14" ht="9" customHeight="1" s="337">
      <c r="B14" s="350" t="n"/>
      <c r="C14" s="338" t="n"/>
      <c r="D14" s="380" t="n"/>
      <c r="E14" s="44" t="n"/>
      <c r="F14" s="338" t="n"/>
      <c r="G14" s="24" t="n"/>
      <c r="H14" s="44" t="n"/>
      <c r="I14" s="338" t="n"/>
      <c r="J14" s="24" t="n"/>
      <c r="K14" s="44" t="n"/>
      <c r="L14" s="338" t="n"/>
      <c r="M14" s="24" t="n"/>
      <c r="N14" s="44" t="n"/>
      <c r="O14" s="338" t="n"/>
      <c r="P14" s="24" t="n"/>
      <c r="Q14" s="382" t="n"/>
      <c r="R14" s="338" t="n"/>
      <c r="S14" s="380" t="n"/>
      <c r="T14" s="382" t="n"/>
      <c r="U14" s="338" t="n"/>
      <c r="V14" s="380" t="n"/>
      <c r="W14" s="382" t="n"/>
      <c r="X14" s="338" t="n"/>
      <c r="Y14" s="338" t="n"/>
      <c r="Z14" s="338" t="n"/>
      <c r="AA14" s="338" t="n"/>
      <c r="AB14" s="338" t="n"/>
      <c r="AC14" s="338" t="n"/>
      <c r="AD14" s="338" t="n"/>
      <c r="AE14" s="338" t="n"/>
      <c r="AF14" s="338" t="n"/>
      <c r="AG14" s="338" t="n"/>
      <c r="AH14" s="338" t="n"/>
      <c r="AI14" s="338" t="n"/>
      <c r="AJ14" s="338" t="n"/>
      <c r="AK14" s="338" t="n"/>
      <c r="AL14" s="338" t="n"/>
      <c r="AM14" s="338" t="n"/>
      <c r="AN14" s="338" t="n"/>
      <c r="AO14" s="338" t="n"/>
      <c r="AP14" s="338" t="n"/>
      <c r="AQ14" s="338" t="n"/>
      <c r="AR14" s="338" t="n"/>
      <c r="AS14" s="338" t="n"/>
      <c r="AT14" s="338" t="n"/>
      <c r="AU14" s="338" t="n"/>
      <c r="AV14" s="338" t="n"/>
      <c r="AW14" s="338" t="n"/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8" t="n"/>
      <c r="BH14" s="338" t="n"/>
      <c r="BI14" s="338" t="n"/>
      <c r="BJ14" s="338" t="n"/>
      <c r="BK14" s="338" t="n"/>
      <c r="BL14" s="338" t="n"/>
      <c r="BM14" s="338" t="n"/>
      <c r="BN14" s="338" t="n"/>
      <c r="BO14" s="338" t="n"/>
      <c r="BP14" s="338" t="n"/>
      <c r="BQ14" s="338" t="n"/>
      <c r="BR14" s="338" t="n"/>
      <c r="BS14" s="338" t="n"/>
      <c r="BT14" s="338" t="n"/>
      <c r="BU14" s="338" t="n"/>
      <c r="BV14" s="338" t="n"/>
      <c r="BW14" s="338" t="n"/>
      <c r="BX14" s="338" t="n"/>
      <c r="BY14" s="338" t="n"/>
      <c r="BZ14" s="338" t="n"/>
      <c r="CA14" s="338" t="n"/>
      <c r="CB14" s="338" t="n"/>
      <c r="CC14" s="383" t="n"/>
      <c r="CF14" s="253" t="inlineStr">
        <is>
          <t>時間外</t>
        </is>
      </c>
      <c r="CG14" s="384" t="n"/>
      <c r="CH14" s="384" t="n"/>
      <c r="CI14" s="385" t="n"/>
      <c r="CJ14" s="386">
        <f>IF(Q12="作業者1",K15-K12,0)</f>
        <v/>
      </c>
      <c r="CK14" s="387" t="n"/>
      <c r="CL14" s="387" t="n"/>
      <c r="CM14" s="387" t="n"/>
      <c r="CN14" s="388" t="n"/>
      <c r="CP14" s="253" t="inlineStr">
        <is>
          <t>時間外</t>
        </is>
      </c>
      <c r="CQ14" s="384" t="n"/>
      <c r="CR14" s="384" t="n"/>
      <c r="CS14" s="385" t="n"/>
      <c r="CT14" s="386">
        <f>IF(Q12="作業者2",K15-K12,0)</f>
        <v/>
      </c>
      <c r="CU14" s="387" t="n"/>
      <c r="CV14" s="387" t="n"/>
      <c r="CW14" s="387" t="n"/>
      <c r="CX14" s="388" t="n"/>
      <c r="CZ14" s="253" t="inlineStr">
        <is>
          <t>時間外</t>
        </is>
      </c>
      <c r="DA14" s="384" t="n"/>
      <c r="DB14" s="384" t="n"/>
      <c r="DC14" s="385" t="n"/>
      <c r="DD14" s="386">
        <f>IF(Q12="作業者3",K15-K12,0)</f>
        <v/>
      </c>
      <c r="DE14" s="387" t="n"/>
      <c r="DF14" s="387" t="n"/>
      <c r="DG14" s="387" t="n"/>
      <c r="DH14" s="388" t="n"/>
      <c r="DJ14" s="253" t="inlineStr">
        <is>
          <t>時間外</t>
        </is>
      </c>
      <c r="DK14" s="384" t="n"/>
      <c r="DL14" s="384" t="n"/>
      <c r="DM14" s="385" t="n"/>
      <c r="DN14" s="386">
        <f>IF(Q12="作業者4",K15-K12,0)</f>
        <v/>
      </c>
      <c r="DO14" s="387" t="n"/>
      <c r="DP14" s="387" t="n"/>
      <c r="DQ14" s="387" t="n"/>
      <c r="DR14" s="388" t="n"/>
      <c r="DT14" s="253" t="inlineStr">
        <is>
          <t>時間外</t>
        </is>
      </c>
      <c r="DU14" s="384" t="n"/>
      <c r="DV14" s="384" t="n"/>
      <c r="DW14" s="385" t="n"/>
      <c r="DX14" s="386">
        <f>IF(Q12="作業者5",K15-K12,0)</f>
        <v/>
      </c>
      <c r="DY14" s="387" t="n"/>
      <c r="DZ14" s="387" t="n"/>
      <c r="EA14" s="387" t="n"/>
      <c r="EB14" s="388" t="n"/>
    </row>
    <row r="15" ht="9" customHeight="1" s="337">
      <c r="B15" s="389" t="n"/>
      <c r="C15" s="390" t="n"/>
      <c r="D15" s="391" t="n"/>
      <c r="E15" s="392" t="n"/>
      <c r="F15" s="390" t="n"/>
      <c r="G15" s="391" t="n"/>
      <c r="H15" s="392" t="n"/>
      <c r="I15" s="390" t="n"/>
      <c r="J15" s="391" t="n"/>
      <c r="K15" s="392" t="n"/>
      <c r="L15" s="390" t="n"/>
      <c r="M15" s="391" t="n"/>
      <c r="N15" s="392" t="n"/>
      <c r="O15" s="390" t="n"/>
      <c r="P15" s="391" t="n"/>
      <c r="Q15" s="393" t="n"/>
      <c r="R15" s="390" t="n"/>
      <c r="S15" s="391" t="n"/>
      <c r="T15" s="393" t="n"/>
      <c r="U15" s="390" t="n"/>
      <c r="V15" s="391" t="n"/>
      <c r="W15" s="393" t="n"/>
      <c r="X15" s="390" t="n"/>
      <c r="Y15" s="390" t="n"/>
      <c r="Z15" s="390" t="n"/>
      <c r="AA15" s="390" t="n"/>
      <c r="AB15" s="390" t="n"/>
      <c r="AC15" s="390" t="n"/>
      <c r="AD15" s="390" t="n"/>
      <c r="AE15" s="390" t="n"/>
      <c r="AF15" s="390" t="n"/>
      <c r="AG15" s="390" t="n"/>
      <c r="AH15" s="390" t="n"/>
      <c r="AI15" s="390" t="n"/>
      <c r="AJ15" s="390" t="n"/>
      <c r="AK15" s="390" t="n"/>
      <c r="AL15" s="390" t="n"/>
      <c r="AM15" s="390" t="n"/>
      <c r="AN15" s="390" t="n"/>
      <c r="AO15" s="390" t="n"/>
      <c r="AP15" s="390" t="n"/>
      <c r="AQ15" s="390" t="n"/>
      <c r="AR15" s="390" t="n"/>
      <c r="AS15" s="390" t="n"/>
      <c r="AT15" s="390" t="n"/>
      <c r="AU15" s="390" t="n"/>
      <c r="AV15" s="390" t="n"/>
      <c r="AW15" s="390" t="n"/>
      <c r="AX15" s="390" t="n"/>
      <c r="AY15" s="390" t="n"/>
      <c r="AZ15" s="390" t="n"/>
      <c r="BA15" s="390" t="n"/>
      <c r="BB15" s="390" t="n"/>
      <c r="BC15" s="390" t="n"/>
      <c r="BD15" s="390" t="n"/>
      <c r="BE15" s="390" t="n"/>
      <c r="BF15" s="390" t="n"/>
      <c r="BG15" s="390" t="n"/>
      <c r="BH15" s="390" t="n"/>
      <c r="BI15" s="390" t="n"/>
      <c r="BJ15" s="390" t="n"/>
      <c r="BK15" s="390" t="n"/>
      <c r="BL15" s="390" t="n"/>
      <c r="BM15" s="390" t="n"/>
      <c r="BN15" s="390" t="n"/>
      <c r="BO15" s="390" t="n"/>
      <c r="BP15" s="390" t="n"/>
      <c r="BQ15" s="390" t="n"/>
      <c r="BR15" s="390" t="n"/>
      <c r="BS15" s="390" t="n"/>
      <c r="BT15" s="390" t="n"/>
      <c r="BU15" s="390" t="n"/>
      <c r="BV15" s="390" t="n"/>
      <c r="BW15" s="390" t="n"/>
      <c r="BX15" s="390" t="n"/>
      <c r="BY15" s="390" t="n"/>
      <c r="BZ15" s="390" t="n"/>
      <c r="CA15" s="390" t="n"/>
      <c r="CB15" s="390" t="n"/>
      <c r="CC15" s="394" t="n"/>
      <c r="CF15" s="254" t="inlineStr">
        <is>
          <t>休日</t>
        </is>
      </c>
      <c r="CG15" s="395" t="n"/>
      <c r="CH15" s="395" t="n"/>
      <c r="CI15" s="396" t="n"/>
      <c r="CJ15" s="397">
        <f>IF(Q12="作業者1",N15-N12,0)</f>
        <v/>
      </c>
      <c r="CK15" s="395" t="n"/>
      <c r="CL15" s="395" t="n"/>
      <c r="CM15" s="395" t="n"/>
      <c r="CN15" s="396" t="n"/>
      <c r="CP15" s="254" t="inlineStr">
        <is>
          <t>休日</t>
        </is>
      </c>
      <c r="CQ15" s="395" t="n"/>
      <c r="CR15" s="395" t="n"/>
      <c r="CS15" s="396" t="n"/>
      <c r="CT15" s="397">
        <f>IF(Q12="作業者2",N15-N12,0)</f>
        <v/>
      </c>
      <c r="CU15" s="395" t="n"/>
      <c r="CV15" s="395" t="n"/>
      <c r="CW15" s="395" t="n"/>
      <c r="CX15" s="396" t="n"/>
      <c r="CZ15" s="254" t="inlineStr">
        <is>
          <t>休日</t>
        </is>
      </c>
      <c r="DA15" s="395" t="n"/>
      <c r="DB15" s="395" t="n"/>
      <c r="DC15" s="396" t="n"/>
      <c r="DD15" s="397">
        <f>IF(Q12="作業者3",N15-N12,0)</f>
        <v/>
      </c>
      <c r="DE15" s="395" t="n"/>
      <c r="DF15" s="395" t="n"/>
      <c r="DG15" s="395" t="n"/>
      <c r="DH15" s="396" t="n"/>
      <c r="DJ15" s="254" t="inlineStr">
        <is>
          <t>休日</t>
        </is>
      </c>
      <c r="DK15" s="395" t="n"/>
      <c r="DL15" s="395" t="n"/>
      <c r="DM15" s="396" t="n"/>
      <c r="DN15" s="397">
        <f>IF(Q12="作業者4",N15-N12,0)</f>
        <v/>
      </c>
      <c r="DO15" s="395" t="n"/>
      <c r="DP15" s="395" t="n"/>
      <c r="DQ15" s="395" t="n"/>
      <c r="DR15" s="396" t="n"/>
      <c r="DT15" s="254" t="inlineStr">
        <is>
          <t>休日</t>
        </is>
      </c>
      <c r="DU15" s="395" t="n"/>
      <c r="DV15" s="395" t="n"/>
      <c r="DW15" s="396" t="n"/>
      <c r="DX15" s="397">
        <f>IF(Q12="作業者5",N15-N12,0)</f>
        <v/>
      </c>
      <c r="DY15" s="395" t="n"/>
      <c r="DZ15" s="395" t="n"/>
      <c r="EA15" s="395" t="n"/>
      <c r="EB15" s="396" t="n"/>
    </row>
    <row r="16" ht="9" customHeight="1" s="337">
      <c r="B16" s="398" t="n"/>
      <c r="C16" s="372" t="n"/>
      <c r="D16" s="373" t="n"/>
      <c r="E16" s="399" t="n"/>
      <c r="F16" s="372" t="n"/>
      <c r="G16" s="373" t="n"/>
      <c r="H16" s="399" t="n"/>
      <c r="I16" s="372" t="n"/>
      <c r="J16" s="373" t="n"/>
      <c r="K16" s="399" t="n"/>
      <c r="L16" s="372" t="n"/>
      <c r="M16" s="373" t="n"/>
      <c r="N16" s="399" t="n"/>
      <c r="O16" s="372" t="n"/>
      <c r="P16" s="373" t="n"/>
      <c r="Q16" s="371" t="n"/>
      <c r="R16" s="372" t="n"/>
      <c r="S16" s="373" t="n"/>
      <c r="T16" s="400" t="n"/>
      <c r="U16" s="372" t="n"/>
      <c r="V16" s="373" t="n"/>
      <c r="W16" s="443" t="n"/>
      <c r="X16" s="372" t="n"/>
      <c r="Y16" s="372" t="n"/>
      <c r="Z16" s="372" t="n"/>
      <c r="AA16" s="372" t="n"/>
      <c r="AB16" s="372" t="n"/>
      <c r="AC16" s="372" t="n"/>
      <c r="AD16" s="372" t="n"/>
      <c r="AE16" s="372" t="n"/>
      <c r="AF16" s="372" t="n"/>
      <c r="AG16" s="372" t="n"/>
      <c r="AH16" s="372" t="n"/>
      <c r="AI16" s="372" t="n"/>
      <c r="AJ16" s="372" t="n"/>
      <c r="AK16" s="372" t="n"/>
      <c r="AL16" s="372" t="n"/>
      <c r="AM16" s="372" t="n"/>
      <c r="AN16" s="372" t="n"/>
      <c r="AO16" s="372" t="n"/>
      <c r="AP16" s="372" t="n"/>
      <c r="AQ16" s="372" t="n"/>
      <c r="AR16" s="372" t="n"/>
      <c r="AS16" s="372" t="n"/>
      <c r="AT16" s="372" t="n"/>
      <c r="AU16" s="372" t="n"/>
      <c r="AV16" s="372" t="n"/>
      <c r="AW16" s="372" t="n"/>
      <c r="AX16" s="372" t="n"/>
      <c r="AY16" s="372" t="n"/>
      <c r="AZ16" s="372" t="n"/>
      <c r="BA16" s="372" t="n"/>
      <c r="BB16" s="372" t="n"/>
      <c r="BC16" s="372" t="n"/>
      <c r="BD16" s="372" t="n"/>
      <c r="BE16" s="372" t="n"/>
      <c r="BF16" s="372" t="n"/>
      <c r="BG16" s="372" t="n"/>
      <c r="BH16" s="372" t="n"/>
      <c r="BI16" s="372" t="n"/>
      <c r="BJ16" s="372" t="n"/>
      <c r="BK16" s="372" t="n"/>
      <c r="BL16" s="372" t="n"/>
      <c r="BM16" s="372" t="n"/>
      <c r="BN16" s="372" t="n"/>
      <c r="BO16" s="372" t="n"/>
      <c r="BP16" s="372" t="n"/>
      <c r="BQ16" s="372" t="n"/>
      <c r="BR16" s="372" t="n"/>
      <c r="BS16" s="372" t="n"/>
      <c r="BT16" s="372" t="n"/>
      <c r="BU16" s="372" t="n"/>
      <c r="BV16" s="372" t="n"/>
      <c r="BW16" s="372" t="n"/>
      <c r="BX16" s="372" t="n"/>
      <c r="BY16" s="372" t="n"/>
      <c r="BZ16" s="372" t="n"/>
      <c r="CA16" s="372" t="n"/>
      <c r="CB16" s="372" t="n"/>
      <c r="CC16" s="402" t="n"/>
      <c r="CD16" s="30" t="n"/>
      <c r="CE16" s="31" t="n"/>
      <c r="CF16" s="259" t="inlineStr">
        <is>
          <t>移動</t>
        </is>
      </c>
      <c r="CG16" s="403" t="n"/>
      <c r="CH16" s="403" t="n"/>
      <c r="CI16" s="404" t="n"/>
      <c r="CJ16" s="379">
        <f>IF(Q16="作業者1",E19-E16,0)</f>
        <v/>
      </c>
      <c r="CK16" s="377" t="n"/>
      <c r="CL16" s="377" t="n"/>
      <c r="CM16" s="377" t="n"/>
      <c r="CN16" s="378" t="n"/>
      <c r="CP16" s="248" t="inlineStr">
        <is>
          <t>移動</t>
        </is>
      </c>
      <c r="CQ16" s="377" t="n"/>
      <c r="CR16" s="377" t="n"/>
      <c r="CS16" s="378" t="n"/>
      <c r="CT16" s="379">
        <f>IF(Q16="作業者2",E19-E16,0)</f>
        <v/>
      </c>
      <c r="CU16" s="377" t="n"/>
      <c r="CV16" s="377" t="n"/>
      <c r="CW16" s="377" t="n"/>
      <c r="CX16" s="378" t="n"/>
      <c r="CZ16" s="259" t="inlineStr">
        <is>
          <t>移動</t>
        </is>
      </c>
      <c r="DA16" s="403" t="n"/>
      <c r="DB16" s="403" t="n"/>
      <c r="DC16" s="404" t="n"/>
      <c r="DD16" s="405">
        <f>IF(Q16="作業者3",E19-E16,0)</f>
        <v/>
      </c>
      <c r="DE16" s="406" t="n"/>
      <c r="DF16" s="406" t="n"/>
      <c r="DG16" s="406" t="n"/>
      <c r="DH16" s="407" t="n"/>
      <c r="DJ16" s="259" t="inlineStr">
        <is>
          <t>移動</t>
        </is>
      </c>
      <c r="DK16" s="403" t="n"/>
      <c r="DL16" s="403" t="n"/>
      <c r="DM16" s="404" t="n"/>
      <c r="DN16" s="379">
        <f>IF(Q16="作業者4",E19-E16,0)</f>
        <v/>
      </c>
      <c r="DO16" s="377" t="n"/>
      <c r="DP16" s="377" t="n"/>
      <c r="DQ16" s="377" t="n"/>
      <c r="DR16" s="378" t="n"/>
      <c r="DT16" s="259" t="inlineStr">
        <is>
          <t>移動</t>
        </is>
      </c>
      <c r="DU16" s="403" t="n"/>
      <c r="DV16" s="403" t="n"/>
      <c r="DW16" s="404" t="n"/>
      <c r="DX16" s="379">
        <f>IF(Q16="作業者5",E19-E16,0)</f>
        <v/>
      </c>
      <c r="DY16" s="377" t="n"/>
      <c r="DZ16" s="377" t="n"/>
      <c r="EA16" s="377" t="n"/>
      <c r="EB16" s="378" t="n"/>
    </row>
    <row r="17" ht="9" customHeight="1" s="337">
      <c r="B17" s="350" t="n"/>
      <c r="C17" s="338" t="n"/>
      <c r="D17" s="380" t="n"/>
      <c r="E17" s="381" t="n"/>
      <c r="F17" s="122" t="inlineStr">
        <is>
          <t>～</t>
        </is>
      </c>
      <c r="G17" s="22" t="n"/>
      <c r="H17" s="381" t="n"/>
      <c r="I17" s="122" t="inlineStr">
        <is>
          <t>～</t>
        </is>
      </c>
      <c r="J17" s="22" t="n"/>
      <c r="K17" s="381" t="n"/>
      <c r="L17" s="122" t="inlineStr">
        <is>
          <t>～</t>
        </is>
      </c>
      <c r="M17" s="22" t="n"/>
      <c r="N17" s="381" t="n"/>
      <c r="O17" s="122" t="inlineStr">
        <is>
          <t>～</t>
        </is>
      </c>
      <c r="P17" s="22" t="n"/>
      <c r="Q17" s="382" t="n"/>
      <c r="R17" s="338" t="n"/>
      <c r="S17" s="380" t="n"/>
      <c r="T17" s="382" t="n"/>
      <c r="U17" s="338" t="n"/>
      <c r="V17" s="380" t="n"/>
      <c r="W17" s="382" t="n"/>
      <c r="X17" s="338" t="n"/>
      <c r="Y17" s="338" t="n"/>
      <c r="Z17" s="338" t="n"/>
      <c r="AA17" s="338" t="n"/>
      <c r="AB17" s="338" t="n"/>
      <c r="AC17" s="338" t="n"/>
      <c r="AD17" s="338" t="n"/>
      <c r="AE17" s="338" t="n"/>
      <c r="AF17" s="338" t="n"/>
      <c r="AG17" s="338" t="n"/>
      <c r="AH17" s="338" t="n"/>
      <c r="AI17" s="338" t="n"/>
      <c r="AJ17" s="338" t="n"/>
      <c r="AK17" s="338" t="n"/>
      <c r="AL17" s="338" t="n"/>
      <c r="AM17" s="338" t="n"/>
      <c r="AN17" s="338" t="n"/>
      <c r="AO17" s="338" t="n"/>
      <c r="AP17" s="338" t="n"/>
      <c r="AQ17" s="338" t="n"/>
      <c r="AR17" s="338" t="n"/>
      <c r="AS17" s="338" t="n"/>
      <c r="AT17" s="338" t="n"/>
      <c r="AU17" s="338" t="n"/>
      <c r="AV17" s="338" t="n"/>
      <c r="AW17" s="338" t="n"/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8" t="n"/>
      <c r="BH17" s="338" t="n"/>
      <c r="BI17" s="338" t="n"/>
      <c r="BJ17" s="338" t="n"/>
      <c r="BK17" s="338" t="n"/>
      <c r="BL17" s="338" t="n"/>
      <c r="BM17" s="338" t="n"/>
      <c r="BN17" s="338" t="n"/>
      <c r="BO17" s="338" t="n"/>
      <c r="BP17" s="338" t="n"/>
      <c r="BQ17" s="338" t="n"/>
      <c r="BR17" s="338" t="n"/>
      <c r="BS17" s="338" t="n"/>
      <c r="BT17" s="338" t="n"/>
      <c r="BU17" s="338" t="n"/>
      <c r="BV17" s="338" t="n"/>
      <c r="BW17" s="338" t="n"/>
      <c r="BX17" s="338" t="n"/>
      <c r="BY17" s="338" t="n"/>
      <c r="BZ17" s="338" t="n"/>
      <c r="CA17" s="338" t="n"/>
      <c r="CB17" s="338" t="n"/>
      <c r="CC17" s="383" t="n"/>
      <c r="CD17" s="30" t="n"/>
      <c r="CE17" s="31" t="n"/>
      <c r="CF17" s="253" t="inlineStr">
        <is>
          <t>時間内</t>
        </is>
      </c>
      <c r="CG17" s="384" t="n"/>
      <c r="CH17" s="384" t="n"/>
      <c r="CI17" s="385" t="n"/>
      <c r="CJ17" s="386">
        <f>IF(Q16="作業者1",H19-H16,0)</f>
        <v/>
      </c>
      <c r="CK17" s="387" t="n"/>
      <c r="CL17" s="387" t="n"/>
      <c r="CM17" s="387" t="n"/>
      <c r="CN17" s="388" t="n"/>
      <c r="CP17" s="253" t="inlineStr">
        <is>
          <t>時間内</t>
        </is>
      </c>
      <c r="CQ17" s="384" t="n"/>
      <c r="CR17" s="384" t="n"/>
      <c r="CS17" s="385" t="n"/>
      <c r="CT17" s="386">
        <f>IF(Q16="作業者2",H19-H16,0)</f>
        <v/>
      </c>
      <c r="CU17" s="387" t="n"/>
      <c r="CV17" s="387" t="n"/>
      <c r="CW17" s="387" t="n"/>
      <c r="CX17" s="388" t="n"/>
      <c r="CZ17" s="253" t="inlineStr">
        <is>
          <t>時間内</t>
        </is>
      </c>
      <c r="DA17" s="384" t="n"/>
      <c r="DB17" s="384" t="n"/>
      <c r="DC17" s="385" t="n"/>
      <c r="DD17" s="386">
        <f>IF(Q16="作業者3",H19-H16,0)</f>
        <v/>
      </c>
      <c r="DE17" s="387" t="n"/>
      <c r="DF17" s="387" t="n"/>
      <c r="DG17" s="387" t="n"/>
      <c r="DH17" s="388" t="n"/>
      <c r="DJ17" s="253" t="inlineStr">
        <is>
          <t>時間内</t>
        </is>
      </c>
      <c r="DK17" s="384" t="n"/>
      <c r="DL17" s="384" t="n"/>
      <c r="DM17" s="385" t="n"/>
      <c r="DN17" s="386">
        <f>IF(Q16="作業者4",H19-H16,0)</f>
        <v/>
      </c>
      <c r="DO17" s="387" t="n"/>
      <c r="DP17" s="387" t="n"/>
      <c r="DQ17" s="387" t="n"/>
      <c r="DR17" s="388" t="n"/>
      <c r="DT17" s="253" t="inlineStr">
        <is>
          <t>時間内</t>
        </is>
      </c>
      <c r="DU17" s="384" t="n"/>
      <c r="DV17" s="384" t="n"/>
      <c r="DW17" s="385" t="n"/>
      <c r="DX17" s="386">
        <f>IF(Q16="作業者5",H19-H16,0)</f>
        <v/>
      </c>
      <c r="DY17" s="387" t="n"/>
      <c r="DZ17" s="387" t="n"/>
      <c r="EA17" s="387" t="n"/>
      <c r="EB17" s="388" t="n"/>
    </row>
    <row r="18" ht="9" customHeight="1" s="337">
      <c r="B18" s="350" t="n"/>
      <c r="C18" s="338" t="n"/>
      <c r="D18" s="380" t="n"/>
      <c r="E18" s="23" t="n"/>
      <c r="F18" s="338" t="n"/>
      <c r="G18" s="24" t="n"/>
      <c r="H18" s="23" t="n"/>
      <c r="I18" s="338" t="n"/>
      <c r="J18" s="24" t="n"/>
      <c r="K18" s="23" t="n"/>
      <c r="L18" s="338" t="n"/>
      <c r="M18" s="24" t="n"/>
      <c r="N18" s="23" t="n"/>
      <c r="O18" s="338" t="n"/>
      <c r="P18" s="24" t="n"/>
      <c r="Q18" s="382" t="n"/>
      <c r="R18" s="338" t="n"/>
      <c r="S18" s="380" t="n"/>
      <c r="T18" s="382" t="n"/>
      <c r="U18" s="338" t="n"/>
      <c r="V18" s="380" t="n"/>
      <c r="W18" s="382" t="n"/>
      <c r="X18" s="338" t="n"/>
      <c r="Y18" s="338" t="n"/>
      <c r="Z18" s="338" t="n"/>
      <c r="AA18" s="338" t="n"/>
      <c r="AB18" s="338" t="n"/>
      <c r="AC18" s="338" t="n"/>
      <c r="AD18" s="338" t="n"/>
      <c r="AE18" s="338" t="n"/>
      <c r="AF18" s="338" t="n"/>
      <c r="AG18" s="338" t="n"/>
      <c r="AH18" s="338" t="n"/>
      <c r="AI18" s="338" t="n"/>
      <c r="AJ18" s="338" t="n"/>
      <c r="AK18" s="338" t="n"/>
      <c r="AL18" s="338" t="n"/>
      <c r="AM18" s="338" t="n"/>
      <c r="AN18" s="338" t="n"/>
      <c r="AO18" s="338" t="n"/>
      <c r="AP18" s="338" t="n"/>
      <c r="AQ18" s="338" t="n"/>
      <c r="AR18" s="338" t="n"/>
      <c r="AS18" s="338" t="n"/>
      <c r="AT18" s="338" t="n"/>
      <c r="AU18" s="338" t="n"/>
      <c r="AV18" s="338" t="n"/>
      <c r="AW18" s="338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8" t="n"/>
      <c r="BH18" s="338" t="n"/>
      <c r="BI18" s="338" t="n"/>
      <c r="BJ18" s="338" t="n"/>
      <c r="BK18" s="338" t="n"/>
      <c r="BL18" s="338" t="n"/>
      <c r="BM18" s="338" t="n"/>
      <c r="BN18" s="338" t="n"/>
      <c r="BO18" s="338" t="n"/>
      <c r="BP18" s="338" t="n"/>
      <c r="BQ18" s="338" t="n"/>
      <c r="BR18" s="338" t="n"/>
      <c r="BS18" s="338" t="n"/>
      <c r="BT18" s="338" t="n"/>
      <c r="BU18" s="338" t="n"/>
      <c r="BV18" s="338" t="n"/>
      <c r="BW18" s="338" t="n"/>
      <c r="BX18" s="338" t="n"/>
      <c r="BY18" s="338" t="n"/>
      <c r="BZ18" s="338" t="n"/>
      <c r="CA18" s="338" t="n"/>
      <c r="CB18" s="338" t="n"/>
      <c r="CC18" s="383" t="n"/>
      <c r="CD18" s="30" t="n"/>
      <c r="CE18" s="31" t="n"/>
      <c r="CF18" s="253" t="inlineStr">
        <is>
          <t>時間外</t>
        </is>
      </c>
      <c r="CG18" s="384" t="n"/>
      <c r="CH18" s="384" t="n"/>
      <c r="CI18" s="385" t="n"/>
      <c r="CJ18" s="386">
        <f>IF(Q16="作業者1",K19-K16,0)</f>
        <v/>
      </c>
      <c r="CK18" s="387" t="n"/>
      <c r="CL18" s="387" t="n"/>
      <c r="CM18" s="387" t="n"/>
      <c r="CN18" s="388" t="n"/>
      <c r="CP18" s="253" t="inlineStr">
        <is>
          <t>時間外</t>
        </is>
      </c>
      <c r="CQ18" s="384" t="n"/>
      <c r="CR18" s="384" t="n"/>
      <c r="CS18" s="385" t="n"/>
      <c r="CT18" s="386">
        <f>IF(Q16="作業者2",K19-K16,0)</f>
        <v/>
      </c>
      <c r="CU18" s="387" t="n"/>
      <c r="CV18" s="387" t="n"/>
      <c r="CW18" s="387" t="n"/>
      <c r="CX18" s="388" t="n"/>
      <c r="CZ18" s="253" t="inlineStr">
        <is>
          <t>時間外</t>
        </is>
      </c>
      <c r="DA18" s="384" t="n"/>
      <c r="DB18" s="384" t="n"/>
      <c r="DC18" s="385" t="n"/>
      <c r="DD18" s="386">
        <f>IF(Q16="作業者3",K19-K16,0)</f>
        <v/>
      </c>
      <c r="DE18" s="387" t="n"/>
      <c r="DF18" s="387" t="n"/>
      <c r="DG18" s="387" t="n"/>
      <c r="DH18" s="388" t="n"/>
      <c r="DJ18" s="253" t="inlineStr">
        <is>
          <t>時間外</t>
        </is>
      </c>
      <c r="DK18" s="384" t="n"/>
      <c r="DL18" s="384" t="n"/>
      <c r="DM18" s="385" t="n"/>
      <c r="DN18" s="386">
        <f>IF(Q16="作業者4",K19-K16,0)</f>
        <v/>
      </c>
      <c r="DO18" s="387" t="n"/>
      <c r="DP18" s="387" t="n"/>
      <c r="DQ18" s="387" t="n"/>
      <c r="DR18" s="388" t="n"/>
      <c r="DT18" s="253" t="inlineStr">
        <is>
          <t>時間外</t>
        </is>
      </c>
      <c r="DU18" s="384" t="n"/>
      <c r="DV18" s="384" t="n"/>
      <c r="DW18" s="385" t="n"/>
      <c r="DX18" s="386">
        <f>IF(Q16="作業者5",K19-K16,0)</f>
        <v/>
      </c>
      <c r="DY18" s="387" t="n"/>
      <c r="DZ18" s="387" t="n"/>
      <c r="EA18" s="387" t="n"/>
      <c r="EB18" s="388" t="n"/>
    </row>
    <row r="19" ht="9" customHeight="1" s="337">
      <c r="B19" s="389" t="n"/>
      <c r="C19" s="390" t="n"/>
      <c r="D19" s="391" t="n"/>
      <c r="E19" s="392" t="n"/>
      <c r="F19" s="390" t="n"/>
      <c r="G19" s="391" t="n"/>
      <c r="H19" s="392" t="n"/>
      <c r="I19" s="390" t="n"/>
      <c r="J19" s="391" t="n"/>
      <c r="K19" s="392" t="n"/>
      <c r="L19" s="390" t="n"/>
      <c r="M19" s="391" t="n"/>
      <c r="N19" s="392" t="n"/>
      <c r="O19" s="390" t="n"/>
      <c r="P19" s="391" t="n"/>
      <c r="Q19" s="393" t="n"/>
      <c r="R19" s="390" t="n"/>
      <c r="S19" s="391" t="n"/>
      <c r="T19" s="393" t="n"/>
      <c r="U19" s="390" t="n"/>
      <c r="V19" s="391" t="n"/>
      <c r="W19" s="393" t="n"/>
      <c r="X19" s="390" t="n"/>
      <c r="Y19" s="390" t="n"/>
      <c r="Z19" s="390" t="n"/>
      <c r="AA19" s="390" t="n"/>
      <c r="AB19" s="390" t="n"/>
      <c r="AC19" s="390" t="n"/>
      <c r="AD19" s="390" t="n"/>
      <c r="AE19" s="390" t="n"/>
      <c r="AF19" s="390" t="n"/>
      <c r="AG19" s="390" t="n"/>
      <c r="AH19" s="390" t="n"/>
      <c r="AI19" s="390" t="n"/>
      <c r="AJ19" s="390" t="n"/>
      <c r="AK19" s="390" t="n"/>
      <c r="AL19" s="390" t="n"/>
      <c r="AM19" s="390" t="n"/>
      <c r="AN19" s="390" t="n"/>
      <c r="AO19" s="390" t="n"/>
      <c r="AP19" s="390" t="n"/>
      <c r="AQ19" s="390" t="n"/>
      <c r="AR19" s="390" t="n"/>
      <c r="AS19" s="390" t="n"/>
      <c r="AT19" s="390" t="n"/>
      <c r="AU19" s="390" t="n"/>
      <c r="AV19" s="390" t="n"/>
      <c r="AW19" s="390" t="n"/>
      <c r="AX19" s="390" t="n"/>
      <c r="AY19" s="390" t="n"/>
      <c r="AZ19" s="390" t="n"/>
      <c r="BA19" s="390" t="n"/>
      <c r="BB19" s="390" t="n"/>
      <c r="BC19" s="390" t="n"/>
      <c r="BD19" s="390" t="n"/>
      <c r="BE19" s="390" t="n"/>
      <c r="BF19" s="390" t="n"/>
      <c r="BG19" s="390" t="n"/>
      <c r="BH19" s="390" t="n"/>
      <c r="BI19" s="390" t="n"/>
      <c r="BJ19" s="390" t="n"/>
      <c r="BK19" s="390" t="n"/>
      <c r="BL19" s="390" t="n"/>
      <c r="BM19" s="390" t="n"/>
      <c r="BN19" s="390" t="n"/>
      <c r="BO19" s="390" t="n"/>
      <c r="BP19" s="390" t="n"/>
      <c r="BQ19" s="390" t="n"/>
      <c r="BR19" s="390" t="n"/>
      <c r="BS19" s="390" t="n"/>
      <c r="BT19" s="390" t="n"/>
      <c r="BU19" s="390" t="n"/>
      <c r="BV19" s="390" t="n"/>
      <c r="BW19" s="390" t="n"/>
      <c r="BX19" s="390" t="n"/>
      <c r="BY19" s="390" t="n"/>
      <c r="BZ19" s="390" t="n"/>
      <c r="CA19" s="390" t="n"/>
      <c r="CB19" s="390" t="n"/>
      <c r="CC19" s="394" t="n"/>
      <c r="CD19" s="30" t="n"/>
      <c r="CE19" s="31" t="n"/>
      <c r="CF19" s="249" t="inlineStr">
        <is>
          <t>休日</t>
        </is>
      </c>
      <c r="CG19" s="408" t="n"/>
      <c r="CH19" s="408" t="n"/>
      <c r="CI19" s="409" t="n"/>
      <c r="CJ19" s="386">
        <f>IF(Q16="作業者1",N19-N16,0)</f>
        <v/>
      </c>
      <c r="CK19" s="387" t="n"/>
      <c r="CL19" s="387" t="n"/>
      <c r="CM19" s="387" t="n"/>
      <c r="CN19" s="388" t="n"/>
      <c r="CP19" s="253" t="inlineStr">
        <is>
          <t>休日</t>
        </is>
      </c>
      <c r="CQ19" s="384" t="n"/>
      <c r="CR19" s="384" t="n"/>
      <c r="CS19" s="385" t="n"/>
      <c r="CT19" s="386">
        <f>IF(Q16="作業者2",N19-N16,0)</f>
        <v/>
      </c>
      <c r="CU19" s="387" t="n"/>
      <c r="CV19" s="387" t="n"/>
      <c r="CW19" s="387" t="n"/>
      <c r="CX19" s="388" t="n"/>
      <c r="CZ19" s="254" t="inlineStr">
        <is>
          <t>休日</t>
        </is>
      </c>
      <c r="DA19" s="395" t="n"/>
      <c r="DB19" s="395" t="n"/>
      <c r="DC19" s="396" t="n"/>
      <c r="DD19" s="397">
        <f>IF(Q16="作業者3",N19-N16,0)</f>
        <v/>
      </c>
      <c r="DE19" s="395" t="n"/>
      <c r="DF19" s="395" t="n"/>
      <c r="DG19" s="395" t="n"/>
      <c r="DH19" s="396" t="n"/>
      <c r="DJ19" s="254" t="inlineStr">
        <is>
          <t>休日</t>
        </is>
      </c>
      <c r="DK19" s="395" t="n"/>
      <c r="DL19" s="395" t="n"/>
      <c r="DM19" s="396" t="n"/>
      <c r="DN19" s="397">
        <f>IF(Q16="作業者4",N19-N16,0)</f>
        <v/>
      </c>
      <c r="DO19" s="395" t="n"/>
      <c r="DP19" s="395" t="n"/>
      <c r="DQ19" s="395" t="n"/>
      <c r="DR19" s="396" t="n"/>
      <c r="DT19" s="254" t="inlineStr">
        <is>
          <t>休日</t>
        </is>
      </c>
      <c r="DU19" s="395" t="n"/>
      <c r="DV19" s="395" t="n"/>
      <c r="DW19" s="396" t="n"/>
      <c r="DX19" s="397">
        <f>IF(Q16="作業者5",N19-N16,0)</f>
        <v/>
      </c>
      <c r="DY19" s="395" t="n"/>
      <c r="DZ19" s="395" t="n"/>
      <c r="EA19" s="395" t="n"/>
      <c r="EB19" s="396" t="n"/>
    </row>
    <row r="20" ht="9" customHeight="1" s="337">
      <c r="B20" s="398" t="n"/>
      <c r="C20" s="372" t="n"/>
      <c r="D20" s="373" t="n"/>
      <c r="E20" s="399" t="n"/>
      <c r="F20" s="372" t="n"/>
      <c r="G20" s="373" t="n"/>
      <c r="H20" s="399" t="n"/>
      <c r="I20" s="372" t="n"/>
      <c r="J20" s="373" t="n"/>
      <c r="K20" s="399" t="n"/>
      <c r="L20" s="372" t="n"/>
      <c r="M20" s="373" t="n"/>
      <c r="N20" s="399" t="n"/>
      <c r="O20" s="372" t="n"/>
      <c r="P20" s="373" t="n"/>
      <c r="Q20" s="371" t="n"/>
      <c r="R20" s="372" t="n"/>
      <c r="S20" s="373" t="n"/>
      <c r="T20" s="371" t="n"/>
      <c r="U20" s="372" t="n"/>
      <c r="V20" s="373" t="n"/>
      <c r="W20" s="443" t="n"/>
      <c r="X20" s="372" t="n"/>
      <c r="Y20" s="372" t="n"/>
      <c r="Z20" s="372" t="n"/>
      <c r="AA20" s="372" t="n"/>
      <c r="AB20" s="372" t="n"/>
      <c r="AC20" s="372" t="n"/>
      <c r="AD20" s="372" t="n"/>
      <c r="AE20" s="372" t="n"/>
      <c r="AF20" s="372" t="n"/>
      <c r="AG20" s="372" t="n"/>
      <c r="AH20" s="372" t="n"/>
      <c r="AI20" s="372" t="n"/>
      <c r="AJ20" s="372" t="n"/>
      <c r="AK20" s="372" t="n"/>
      <c r="AL20" s="372" t="n"/>
      <c r="AM20" s="372" t="n"/>
      <c r="AN20" s="372" t="n"/>
      <c r="AO20" s="372" t="n"/>
      <c r="AP20" s="372" t="n"/>
      <c r="AQ20" s="372" t="n"/>
      <c r="AR20" s="372" t="n"/>
      <c r="AS20" s="372" t="n"/>
      <c r="AT20" s="372" t="n"/>
      <c r="AU20" s="372" t="n"/>
      <c r="AV20" s="372" t="n"/>
      <c r="AW20" s="372" t="n"/>
      <c r="AX20" s="372" t="n"/>
      <c r="AY20" s="372" t="n"/>
      <c r="AZ20" s="372" t="n"/>
      <c r="BA20" s="372" t="n"/>
      <c r="BB20" s="372" t="n"/>
      <c r="BC20" s="372" t="n"/>
      <c r="BD20" s="372" t="n"/>
      <c r="BE20" s="372" t="n"/>
      <c r="BF20" s="372" t="n"/>
      <c r="BG20" s="372" t="n"/>
      <c r="BH20" s="372" t="n"/>
      <c r="BI20" s="372" t="n"/>
      <c r="BJ20" s="372" t="n"/>
      <c r="BK20" s="372" t="n"/>
      <c r="BL20" s="372" t="n"/>
      <c r="BM20" s="372" t="n"/>
      <c r="BN20" s="372" t="n"/>
      <c r="BO20" s="372" t="n"/>
      <c r="BP20" s="372" t="n"/>
      <c r="BQ20" s="372" t="n"/>
      <c r="BR20" s="372" t="n"/>
      <c r="BS20" s="372" t="n"/>
      <c r="BT20" s="372" t="n"/>
      <c r="BU20" s="372" t="n"/>
      <c r="BV20" s="372" t="n"/>
      <c r="BW20" s="372" t="n"/>
      <c r="BX20" s="372" t="n"/>
      <c r="BY20" s="372" t="n"/>
      <c r="BZ20" s="372" t="n"/>
      <c r="CA20" s="372" t="n"/>
      <c r="CB20" s="372" t="n"/>
      <c r="CC20" s="402" t="n"/>
      <c r="CF20" s="248" t="inlineStr">
        <is>
          <t>移動</t>
        </is>
      </c>
      <c r="CG20" s="377" t="n"/>
      <c r="CH20" s="377" t="n"/>
      <c r="CI20" s="378" t="n"/>
      <c r="CJ20" s="379">
        <f>IF(Q20="作業者1",E23-E20,0)</f>
        <v/>
      </c>
      <c r="CK20" s="377" t="n"/>
      <c r="CL20" s="377" t="n"/>
      <c r="CM20" s="377" t="n"/>
      <c r="CN20" s="378" t="n"/>
      <c r="CP20" s="248" t="inlineStr">
        <is>
          <t>移動</t>
        </is>
      </c>
      <c r="CQ20" s="377" t="n"/>
      <c r="CR20" s="377" t="n"/>
      <c r="CS20" s="378" t="n"/>
      <c r="CT20" s="379">
        <f>IF(Q20="作業者2",E23-E20,0)</f>
        <v/>
      </c>
      <c r="CU20" s="377" t="n"/>
      <c r="CV20" s="377" t="n"/>
      <c r="CW20" s="377" t="n"/>
      <c r="CX20" s="378" t="n"/>
      <c r="CZ20" s="259" t="inlineStr">
        <is>
          <t>移動</t>
        </is>
      </c>
      <c r="DA20" s="403" t="n"/>
      <c r="DB20" s="403" t="n"/>
      <c r="DC20" s="404" t="n"/>
      <c r="DD20" s="405">
        <f>IF(Q20="作業者3",E23-E20,0)</f>
        <v/>
      </c>
      <c r="DE20" s="406" t="n"/>
      <c r="DF20" s="406" t="n"/>
      <c r="DG20" s="406" t="n"/>
      <c r="DH20" s="407" t="n"/>
      <c r="DJ20" s="259" t="inlineStr">
        <is>
          <t>移動</t>
        </is>
      </c>
      <c r="DK20" s="403" t="n"/>
      <c r="DL20" s="403" t="n"/>
      <c r="DM20" s="404" t="n"/>
      <c r="DN20" s="379">
        <f>IF(Q20="作業者4",E23-E20,0)</f>
        <v/>
      </c>
      <c r="DO20" s="377" t="n"/>
      <c r="DP20" s="377" t="n"/>
      <c r="DQ20" s="377" t="n"/>
      <c r="DR20" s="378" t="n"/>
      <c r="DT20" s="259" t="inlineStr">
        <is>
          <t>移動</t>
        </is>
      </c>
      <c r="DU20" s="403" t="n"/>
      <c r="DV20" s="403" t="n"/>
      <c r="DW20" s="404" t="n"/>
      <c r="DX20" s="379">
        <f>IF(Q20="作業者5",E23-E20,0)</f>
        <v/>
      </c>
      <c r="DY20" s="377" t="n"/>
      <c r="DZ20" s="377" t="n"/>
      <c r="EA20" s="377" t="n"/>
      <c r="EB20" s="378" t="n"/>
    </row>
    <row r="21" ht="9" customHeight="1" s="337">
      <c r="B21" s="350" t="n"/>
      <c r="C21" s="338" t="n"/>
      <c r="D21" s="380" t="n"/>
      <c r="E21" s="381" t="n"/>
      <c r="F21" s="122" t="inlineStr">
        <is>
          <t>～</t>
        </is>
      </c>
      <c r="G21" s="22" t="n"/>
      <c r="H21" s="381" t="n"/>
      <c r="I21" s="122" t="inlineStr">
        <is>
          <t>～</t>
        </is>
      </c>
      <c r="J21" s="22" t="n"/>
      <c r="K21" s="381" t="n"/>
      <c r="L21" s="122" t="inlineStr">
        <is>
          <t>～</t>
        </is>
      </c>
      <c r="M21" s="22" t="n"/>
      <c r="N21" s="381" t="n"/>
      <c r="O21" s="122" t="inlineStr">
        <is>
          <t>～</t>
        </is>
      </c>
      <c r="P21" s="22" t="n"/>
      <c r="Q21" s="382" t="n"/>
      <c r="R21" s="338" t="n"/>
      <c r="S21" s="380" t="n"/>
      <c r="T21" s="382" t="n"/>
      <c r="U21" s="338" t="n"/>
      <c r="V21" s="380" t="n"/>
      <c r="W21" s="382" t="n"/>
      <c r="X21" s="338" t="n"/>
      <c r="Y21" s="338" t="n"/>
      <c r="Z21" s="338" t="n"/>
      <c r="AA21" s="338" t="n"/>
      <c r="AB21" s="338" t="n"/>
      <c r="AC21" s="338" t="n"/>
      <c r="AD21" s="338" t="n"/>
      <c r="AE21" s="338" t="n"/>
      <c r="AF21" s="338" t="n"/>
      <c r="AG21" s="338" t="n"/>
      <c r="AH21" s="338" t="n"/>
      <c r="AI21" s="338" t="n"/>
      <c r="AJ21" s="338" t="n"/>
      <c r="AK21" s="338" t="n"/>
      <c r="AL21" s="338" t="n"/>
      <c r="AM21" s="338" t="n"/>
      <c r="AN21" s="338" t="n"/>
      <c r="AO21" s="338" t="n"/>
      <c r="AP21" s="338" t="n"/>
      <c r="AQ21" s="338" t="n"/>
      <c r="AR21" s="338" t="n"/>
      <c r="AS21" s="338" t="n"/>
      <c r="AT21" s="338" t="n"/>
      <c r="AU21" s="338" t="n"/>
      <c r="AV21" s="338" t="n"/>
      <c r="AW21" s="338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8" t="n"/>
      <c r="BH21" s="338" t="n"/>
      <c r="BI21" s="338" t="n"/>
      <c r="BJ21" s="338" t="n"/>
      <c r="BK21" s="338" t="n"/>
      <c r="BL21" s="338" t="n"/>
      <c r="BM21" s="338" t="n"/>
      <c r="BN21" s="338" t="n"/>
      <c r="BO21" s="338" t="n"/>
      <c r="BP21" s="338" t="n"/>
      <c r="BQ21" s="338" t="n"/>
      <c r="BR21" s="338" t="n"/>
      <c r="BS21" s="338" t="n"/>
      <c r="BT21" s="338" t="n"/>
      <c r="BU21" s="338" t="n"/>
      <c r="BV21" s="338" t="n"/>
      <c r="BW21" s="338" t="n"/>
      <c r="BX21" s="338" t="n"/>
      <c r="BY21" s="338" t="n"/>
      <c r="BZ21" s="338" t="n"/>
      <c r="CA21" s="338" t="n"/>
      <c r="CB21" s="338" t="n"/>
      <c r="CC21" s="383" t="n"/>
      <c r="CF21" s="253" t="inlineStr">
        <is>
          <t>時間内</t>
        </is>
      </c>
      <c r="CG21" s="384" t="n"/>
      <c r="CH21" s="384" t="n"/>
      <c r="CI21" s="385" t="n"/>
      <c r="CJ21" s="386">
        <f>IF(Q20="作業者1",H23-H20,0)</f>
        <v/>
      </c>
      <c r="CK21" s="387" t="n"/>
      <c r="CL21" s="387" t="n"/>
      <c r="CM21" s="387" t="n"/>
      <c r="CN21" s="388" t="n"/>
      <c r="CP21" s="253" t="inlineStr">
        <is>
          <t>時間内</t>
        </is>
      </c>
      <c r="CQ21" s="384" t="n"/>
      <c r="CR21" s="384" t="n"/>
      <c r="CS21" s="385" t="n"/>
      <c r="CT21" s="386">
        <f>IF(Q20="作業者2",H23-H20,0)</f>
        <v/>
      </c>
      <c r="CU21" s="387" t="n"/>
      <c r="CV21" s="387" t="n"/>
      <c r="CW21" s="387" t="n"/>
      <c r="CX21" s="388" t="n"/>
      <c r="CZ21" s="253" t="inlineStr">
        <is>
          <t>時間内</t>
        </is>
      </c>
      <c r="DA21" s="384" t="n"/>
      <c r="DB21" s="384" t="n"/>
      <c r="DC21" s="385" t="n"/>
      <c r="DD21" s="386">
        <f>IF(Q20="作業者3",H23-H20,0)</f>
        <v/>
      </c>
      <c r="DE21" s="387" t="n"/>
      <c r="DF21" s="387" t="n"/>
      <c r="DG21" s="387" t="n"/>
      <c r="DH21" s="388" t="n"/>
      <c r="DJ21" s="253" t="inlineStr">
        <is>
          <t>時間内</t>
        </is>
      </c>
      <c r="DK21" s="384" t="n"/>
      <c r="DL21" s="384" t="n"/>
      <c r="DM21" s="385" t="n"/>
      <c r="DN21" s="386">
        <f>IF(Q20="作業者4",H23-H20,0)</f>
        <v/>
      </c>
      <c r="DO21" s="387" t="n"/>
      <c r="DP21" s="387" t="n"/>
      <c r="DQ21" s="387" t="n"/>
      <c r="DR21" s="388" t="n"/>
      <c r="DT21" s="253" t="inlineStr">
        <is>
          <t>時間内</t>
        </is>
      </c>
      <c r="DU21" s="384" t="n"/>
      <c r="DV21" s="384" t="n"/>
      <c r="DW21" s="385" t="n"/>
      <c r="DX21" s="386">
        <f>IF(Q20="作業者5",H23-H20,0)</f>
        <v/>
      </c>
      <c r="DY21" s="387" t="n"/>
      <c r="DZ21" s="387" t="n"/>
      <c r="EA21" s="387" t="n"/>
      <c r="EB21" s="388" t="n"/>
    </row>
    <row r="22" ht="9" customHeight="1" s="337">
      <c r="B22" s="350" t="n"/>
      <c r="C22" s="338" t="n"/>
      <c r="D22" s="380" t="n"/>
      <c r="E22" s="23" t="n"/>
      <c r="F22" s="338" t="n"/>
      <c r="G22" s="24" t="n"/>
      <c r="H22" s="23" t="n"/>
      <c r="I22" s="338" t="n"/>
      <c r="J22" s="24" t="n"/>
      <c r="K22" s="23" t="n"/>
      <c r="L22" s="338" t="n"/>
      <c r="M22" s="24" t="n"/>
      <c r="N22" s="23" t="n"/>
      <c r="O22" s="338" t="n"/>
      <c r="P22" s="24" t="n"/>
      <c r="Q22" s="382" t="n"/>
      <c r="R22" s="338" t="n"/>
      <c r="S22" s="380" t="n"/>
      <c r="T22" s="382" t="n"/>
      <c r="U22" s="338" t="n"/>
      <c r="V22" s="380" t="n"/>
      <c r="W22" s="382" t="n"/>
      <c r="X22" s="338" t="n"/>
      <c r="Y22" s="338" t="n"/>
      <c r="Z22" s="338" t="n"/>
      <c r="AA22" s="338" t="n"/>
      <c r="AB22" s="338" t="n"/>
      <c r="AC22" s="338" t="n"/>
      <c r="AD22" s="338" t="n"/>
      <c r="AE22" s="338" t="n"/>
      <c r="AF22" s="338" t="n"/>
      <c r="AG22" s="338" t="n"/>
      <c r="AH22" s="338" t="n"/>
      <c r="AI22" s="338" t="n"/>
      <c r="AJ22" s="338" t="n"/>
      <c r="AK22" s="338" t="n"/>
      <c r="AL22" s="338" t="n"/>
      <c r="AM22" s="338" t="n"/>
      <c r="AN22" s="338" t="n"/>
      <c r="AO22" s="338" t="n"/>
      <c r="AP22" s="338" t="n"/>
      <c r="AQ22" s="338" t="n"/>
      <c r="AR22" s="338" t="n"/>
      <c r="AS22" s="338" t="n"/>
      <c r="AT22" s="338" t="n"/>
      <c r="AU22" s="338" t="n"/>
      <c r="AV22" s="338" t="n"/>
      <c r="AW22" s="338" t="n"/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8" t="n"/>
      <c r="BH22" s="338" t="n"/>
      <c r="BI22" s="338" t="n"/>
      <c r="BJ22" s="338" t="n"/>
      <c r="BK22" s="338" t="n"/>
      <c r="BL22" s="338" t="n"/>
      <c r="BM22" s="338" t="n"/>
      <c r="BN22" s="338" t="n"/>
      <c r="BO22" s="338" t="n"/>
      <c r="BP22" s="338" t="n"/>
      <c r="BQ22" s="338" t="n"/>
      <c r="BR22" s="338" t="n"/>
      <c r="BS22" s="338" t="n"/>
      <c r="BT22" s="338" t="n"/>
      <c r="BU22" s="338" t="n"/>
      <c r="BV22" s="338" t="n"/>
      <c r="BW22" s="338" t="n"/>
      <c r="BX22" s="338" t="n"/>
      <c r="BY22" s="338" t="n"/>
      <c r="BZ22" s="338" t="n"/>
      <c r="CA22" s="338" t="n"/>
      <c r="CB22" s="338" t="n"/>
      <c r="CC22" s="383" t="n"/>
      <c r="CF22" s="253" t="inlineStr">
        <is>
          <t>時間外</t>
        </is>
      </c>
      <c r="CG22" s="384" t="n"/>
      <c r="CH22" s="384" t="n"/>
      <c r="CI22" s="385" t="n"/>
      <c r="CJ22" s="386">
        <f>IF(Q20="作業者1",K23-K20,0)</f>
        <v/>
      </c>
      <c r="CK22" s="387" t="n"/>
      <c r="CL22" s="387" t="n"/>
      <c r="CM22" s="387" t="n"/>
      <c r="CN22" s="388" t="n"/>
      <c r="CP22" s="253" t="inlineStr">
        <is>
          <t>時間外</t>
        </is>
      </c>
      <c r="CQ22" s="384" t="n"/>
      <c r="CR22" s="384" t="n"/>
      <c r="CS22" s="385" t="n"/>
      <c r="CT22" s="386">
        <f>IF(Q20="作業者2",K23-K20,0)</f>
        <v/>
      </c>
      <c r="CU22" s="387" t="n"/>
      <c r="CV22" s="387" t="n"/>
      <c r="CW22" s="387" t="n"/>
      <c r="CX22" s="388" t="n"/>
      <c r="CZ22" s="253" t="inlineStr">
        <is>
          <t>時間外</t>
        </is>
      </c>
      <c r="DA22" s="384" t="n"/>
      <c r="DB22" s="384" t="n"/>
      <c r="DC22" s="385" t="n"/>
      <c r="DD22" s="386">
        <f>IF(Q20="作業者3",K23-K20,0)</f>
        <v/>
      </c>
      <c r="DE22" s="387" t="n"/>
      <c r="DF22" s="387" t="n"/>
      <c r="DG22" s="387" t="n"/>
      <c r="DH22" s="388" t="n"/>
      <c r="DJ22" s="253" t="inlineStr">
        <is>
          <t>時間外</t>
        </is>
      </c>
      <c r="DK22" s="384" t="n"/>
      <c r="DL22" s="384" t="n"/>
      <c r="DM22" s="385" t="n"/>
      <c r="DN22" s="386">
        <f>IF(Q20="作業者4",K23-K20,0)</f>
        <v/>
      </c>
      <c r="DO22" s="387" t="n"/>
      <c r="DP22" s="387" t="n"/>
      <c r="DQ22" s="387" t="n"/>
      <c r="DR22" s="388" t="n"/>
      <c r="DT22" s="253" t="inlineStr">
        <is>
          <t>時間外</t>
        </is>
      </c>
      <c r="DU22" s="384" t="n"/>
      <c r="DV22" s="384" t="n"/>
      <c r="DW22" s="385" t="n"/>
      <c r="DX22" s="386">
        <f>IF(Q20="作業者5",K23-K20,0)</f>
        <v/>
      </c>
      <c r="DY22" s="387" t="n"/>
      <c r="DZ22" s="387" t="n"/>
      <c r="EA22" s="387" t="n"/>
      <c r="EB22" s="388" t="n"/>
    </row>
    <row r="23" ht="9" customHeight="1" s="337">
      <c r="B23" s="389" t="n"/>
      <c r="C23" s="390" t="n"/>
      <c r="D23" s="391" t="n"/>
      <c r="E23" s="392" t="n"/>
      <c r="F23" s="390" t="n"/>
      <c r="G23" s="391" t="n"/>
      <c r="H23" s="392" t="n"/>
      <c r="I23" s="390" t="n"/>
      <c r="J23" s="391" t="n"/>
      <c r="K23" s="392" t="n"/>
      <c r="L23" s="390" t="n"/>
      <c r="M23" s="391" t="n"/>
      <c r="N23" s="392" t="n"/>
      <c r="O23" s="390" t="n"/>
      <c r="P23" s="391" t="n"/>
      <c r="Q23" s="393" t="n"/>
      <c r="R23" s="390" t="n"/>
      <c r="S23" s="391" t="n"/>
      <c r="T23" s="393" t="n"/>
      <c r="U23" s="390" t="n"/>
      <c r="V23" s="391" t="n"/>
      <c r="W23" s="393" t="n"/>
      <c r="X23" s="390" t="n"/>
      <c r="Y23" s="390" t="n"/>
      <c r="Z23" s="390" t="n"/>
      <c r="AA23" s="390" t="n"/>
      <c r="AB23" s="390" t="n"/>
      <c r="AC23" s="390" t="n"/>
      <c r="AD23" s="390" t="n"/>
      <c r="AE23" s="390" t="n"/>
      <c r="AF23" s="390" t="n"/>
      <c r="AG23" s="390" t="n"/>
      <c r="AH23" s="390" t="n"/>
      <c r="AI23" s="390" t="n"/>
      <c r="AJ23" s="390" t="n"/>
      <c r="AK23" s="390" t="n"/>
      <c r="AL23" s="390" t="n"/>
      <c r="AM23" s="390" t="n"/>
      <c r="AN23" s="390" t="n"/>
      <c r="AO23" s="390" t="n"/>
      <c r="AP23" s="390" t="n"/>
      <c r="AQ23" s="390" t="n"/>
      <c r="AR23" s="390" t="n"/>
      <c r="AS23" s="390" t="n"/>
      <c r="AT23" s="390" t="n"/>
      <c r="AU23" s="390" t="n"/>
      <c r="AV23" s="390" t="n"/>
      <c r="AW23" s="390" t="n"/>
      <c r="AX23" s="390" t="n"/>
      <c r="AY23" s="390" t="n"/>
      <c r="AZ23" s="390" t="n"/>
      <c r="BA23" s="390" t="n"/>
      <c r="BB23" s="390" t="n"/>
      <c r="BC23" s="390" t="n"/>
      <c r="BD23" s="390" t="n"/>
      <c r="BE23" s="390" t="n"/>
      <c r="BF23" s="390" t="n"/>
      <c r="BG23" s="390" t="n"/>
      <c r="BH23" s="390" t="n"/>
      <c r="BI23" s="390" t="n"/>
      <c r="BJ23" s="390" t="n"/>
      <c r="BK23" s="390" t="n"/>
      <c r="BL23" s="390" t="n"/>
      <c r="BM23" s="390" t="n"/>
      <c r="BN23" s="390" t="n"/>
      <c r="BO23" s="390" t="n"/>
      <c r="BP23" s="390" t="n"/>
      <c r="BQ23" s="390" t="n"/>
      <c r="BR23" s="390" t="n"/>
      <c r="BS23" s="390" t="n"/>
      <c r="BT23" s="390" t="n"/>
      <c r="BU23" s="390" t="n"/>
      <c r="BV23" s="390" t="n"/>
      <c r="BW23" s="390" t="n"/>
      <c r="BX23" s="390" t="n"/>
      <c r="BY23" s="390" t="n"/>
      <c r="BZ23" s="390" t="n"/>
      <c r="CA23" s="390" t="n"/>
      <c r="CB23" s="390" t="n"/>
      <c r="CC23" s="394" t="n"/>
      <c r="CF23" s="254" t="inlineStr">
        <is>
          <t>休日</t>
        </is>
      </c>
      <c r="CG23" s="395" t="n"/>
      <c r="CH23" s="395" t="n"/>
      <c r="CI23" s="396" t="n"/>
      <c r="CJ23" s="397">
        <f>IF(Q20="作業者1",N23-N20,0)</f>
        <v/>
      </c>
      <c r="CK23" s="395" t="n"/>
      <c r="CL23" s="395" t="n"/>
      <c r="CM23" s="395" t="n"/>
      <c r="CN23" s="396" t="n"/>
      <c r="CP23" s="254" t="inlineStr">
        <is>
          <t>休日</t>
        </is>
      </c>
      <c r="CQ23" s="395" t="n"/>
      <c r="CR23" s="395" t="n"/>
      <c r="CS23" s="396" t="n"/>
      <c r="CT23" s="397">
        <f>IF(Q20="作業者2",N23-N20,0)</f>
        <v/>
      </c>
      <c r="CU23" s="395" t="n"/>
      <c r="CV23" s="395" t="n"/>
      <c r="CW23" s="395" t="n"/>
      <c r="CX23" s="396" t="n"/>
      <c r="CZ23" s="254" t="inlineStr">
        <is>
          <t>休日</t>
        </is>
      </c>
      <c r="DA23" s="395" t="n"/>
      <c r="DB23" s="395" t="n"/>
      <c r="DC23" s="396" t="n"/>
      <c r="DD23" s="397">
        <f>IF(Q20="作業者3",N23-N20,0)</f>
        <v/>
      </c>
      <c r="DE23" s="395" t="n"/>
      <c r="DF23" s="395" t="n"/>
      <c r="DG23" s="395" t="n"/>
      <c r="DH23" s="396" t="n"/>
      <c r="DJ23" s="254" t="inlineStr">
        <is>
          <t>休日</t>
        </is>
      </c>
      <c r="DK23" s="395" t="n"/>
      <c r="DL23" s="395" t="n"/>
      <c r="DM23" s="396" t="n"/>
      <c r="DN23" s="397">
        <f>IF(Q20="作業者4",N23-N20,0)</f>
        <v/>
      </c>
      <c r="DO23" s="395" t="n"/>
      <c r="DP23" s="395" t="n"/>
      <c r="DQ23" s="395" t="n"/>
      <c r="DR23" s="396" t="n"/>
      <c r="DT23" s="254" t="inlineStr">
        <is>
          <t>休日</t>
        </is>
      </c>
      <c r="DU23" s="395" t="n"/>
      <c r="DV23" s="395" t="n"/>
      <c r="DW23" s="396" t="n"/>
      <c r="DX23" s="397">
        <f>IF(Q20="作業者5",N23-N20,0)</f>
        <v/>
      </c>
      <c r="DY23" s="395" t="n"/>
      <c r="DZ23" s="395" t="n"/>
      <c r="EA23" s="395" t="n"/>
      <c r="EB23" s="396" t="n"/>
    </row>
    <row r="24" ht="9" customHeight="1" s="337">
      <c r="B24" s="398" t="n"/>
      <c r="C24" s="372" t="n"/>
      <c r="D24" s="373" t="n"/>
      <c r="E24" s="399" t="n"/>
      <c r="F24" s="372" t="n"/>
      <c r="G24" s="373" t="n"/>
      <c r="H24" s="399" t="n"/>
      <c r="I24" s="372" t="n"/>
      <c r="J24" s="373" t="n"/>
      <c r="K24" s="399" t="n"/>
      <c r="L24" s="372" t="n"/>
      <c r="M24" s="373" t="n"/>
      <c r="N24" s="399" t="n"/>
      <c r="O24" s="372" t="n"/>
      <c r="P24" s="373" t="n"/>
      <c r="Q24" s="371" t="n"/>
      <c r="R24" s="372" t="n"/>
      <c r="S24" s="373" t="n"/>
      <c r="T24" s="371" t="n"/>
      <c r="U24" s="372" t="n"/>
      <c r="V24" s="373" t="n"/>
      <c r="W24" s="443" t="n"/>
      <c r="X24" s="372" t="n"/>
      <c r="Y24" s="372" t="n"/>
      <c r="Z24" s="372" t="n"/>
      <c r="AA24" s="372" t="n"/>
      <c r="AB24" s="372" t="n"/>
      <c r="AC24" s="372" t="n"/>
      <c r="AD24" s="372" t="n"/>
      <c r="AE24" s="372" t="n"/>
      <c r="AF24" s="372" t="n"/>
      <c r="AG24" s="372" t="n"/>
      <c r="AH24" s="372" t="n"/>
      <c r="AI24" s="372" t="n"/>
      <c r="AJ24" s="372" t="n"/>
      <c r="AK24" s="372" t="n"/>
      <c r="AL24" s="372" t="n"/>
      <c r="AM24" s="372" t="n"/>
      <c r="AN24" s="372" t="n"/>
      <c r="AO24" s="372" t="n"/>
      <c r="AP24" s="372" t="n"/>
      <c r="AQ24" s="372" t="n"/>
      <c r="AR24" s="372" t="n"/>
      <c r="AS24" s="372" t="n"/>
      <c r="AT24" s="372" t="n"/>
      <c r="AU24" s="372" t="n"/>
      <c r="AV24" s="372" t="n"/>
      <c r="AW24" s="372" t="n"/>
      <c r="AX24" s="372" t="n"/>
      <c r="AY24" s="372" t="n"/>
      <c r="AZ24" s="372" t="n"/>
      <c r="BA24" s="372" t="n"/>
      <c r="BB24" s="372" t="n"/>
      <c r="BC24" s="372" t="n"/>
      <c r="BD24" s="372" t="n"/>
      <c r="BE24" s="372" t="n"/>
      <c r="BF24" s="372" t="n"/>
      <c r="BG24" s="372" t="n"/>
      <c r="BH24" s="372" t="n"/>
      <c r="BI24" s="372" t="n"/>
      <c r="BJ24" s="372" t="n"/>
      <c r="BK24" s="372" t="n"/>
      <c r="BL24" s="372" t="n"/>
      <c r="BM24" s="372" t="n"/>
      <c r="BN24" s="372" t="n"/>
      <c r="BO24" s="372" t="n"/>
      <c r="BP24" s="372" t="n"/>
      <c r="BQ24" s="372" t="n"/>
      <c r="BR24" s="372" t="n"/>
      <c r="BS24" s="372" t="n"/>
      <c r="BT24" s="372" t="n"/>
      <c r="BU24" s="372" t="n"/>
      <c r="BV24" s="372" t="n"/>
      <c r="BW24" s="372" t="n"/>
      <c r="BX24" s="372" t="n"/>
      <c r="BY24" s="372" t="n"/>
      <c r="BZ24" s="372" t="n"/>
      <c r="CA24" s="372" t="n"/>
      <c r="CB24" s="372" t="n"/>
      <c r="CC24" s="402" t="n"/>
      <c r="CF24" s="248" t="inlineStr">
        <is>
          <t>移動</t>
        </is>
      </c>
      <c r="CG24" s="377" t="n"/>
      <c r="CH24" s="377" t="n"/>
      <c r="CI24" s="378" t="n"/>
      <c r="CJ24" s="379">
        <f>IF(Q24="作業者1",E27-E24,0)</f>
        <v/>
      </c>
      <c r="CK24" s="377" t="n"/>
      <c r="CL24" s="377" t="n"/>
      <c r="CM24" s="377" t="n"/>
      <c r="CN24" s="378" t="n"/>
      <c r="CP24" s="248" t="inlineStr">
        <is>
          <t>移動</t>
        </is>
      </c>
      <c r="CQ24" s="377" t="n"/>
      <c r="CR24" s="377" t="n"/>
      <c r="CS24" s="378" t="n"/>
      <c r="CT24" s="379">
        <f>IF(Q24="作業者2",E27-E24,0)</f>
        <v/>
      </c>
      <c r="CU24" s="377" t="n"/>
      <c r="CV24" s="377" t="n"/>
      <c r="CW24" s="377" t="n"/>
      <c r="CX24" s="378" t="n"/>
      <c r="CZ24" s="259" t="inlineStr">
        <is>
          <t>移動</t>
        </is>
      </c>
      <c r="DA24" s="403" t="n"/>
      <c r="DB24" s="403" t="n"/>
      <c r="DC24" s="404" t="n"/>
      <c r="DD24" s="405">
        <f>IF(Q24="作業者3",E27-E24,0)</f>
        <v/>
      </c>
      <c r="DE24" s="406" t="n"/>
      <c r="DF24" s="406" t="n"/>
      <c r="DG24" s="406" t="n"/>
      <c r="DH24" s="407" t="n"/>
      <c r="DJ24" s="259" t="inlineStr">
        <is>
          <t>移動</t>
        </is>
      </c>
      <c r="DK24" s="403" t="n"/>
      <c r="DL24" s="403" t="n"/>
      <c r="DM24" s="404" t="n"/>
      <c r="DN24" s="379">
        <f>IF(Q24="作業者4",E27-E24,0)</f>
        <v/>
      </c>
      <c r="DO24" s="377" t="n"/>
      <c r="DP24" s="377" t="n"/>
      <c r="DQ24" s="377" t="n"/>
      <c r="DR24" s="378" t="n"/>
      <c r="DT24" s="259" t="inlineStr">
        <is>
          <t>移動</t>
        </is>
      </c>
      <c r="DU24" s="403" t="n"/>
      <c r="DV24" s="403" t="n"/>
      <c r="DW24" s="404" t="n"/>
      <c r="DX24" s="379">
        <f>IF(Q24="作業者5",E27-E24,0)</f>
        <v/>
      </c>
      <c r="DY24" s="377" t="n"/>
      <c r="DZ24" s="377" t="n"/>
      <c r="EA24" s="377" t="n"/>
      <c r="EB24" s="378" t="n"/>
    </row>
    <row r="25" ht="9" customHeight="1" s="337">
      <c r="B25" s="350" t="n"/>
      <c r="C25" s="338" t="n"/>
      <c r="D25" s="380" t="n"/>
      <c r="E25" s="381" t="n"/>
      <c r="F25" s="122" t="inlineStr">
        <is>
          <t>～</t>
        </is>
      </c>
      <c r="G25" s="22" t="n"/>
      <c r="H25" s="381" t="n"/>
      <c r="I25" s="122" t="inlineStr">
        <is>
          <t>～</t>
        </is>
      </c>
      <c r="J25" s="22" t="n"/>
      <c r="K25" s="381" t="n"/>
      <c r="L25" s="122" t="inlineStr">
        <is>
          <t>～</t>
        </is>
      </c>
      <c r="M25" s="22" t="n"/>
      <c r="N25" s="381" t="n"/>
      <c r="O25" s="122" t="inlineStr">
        <is>
          <t>～</t>
        </is>
      </c>
      <c r="P25" s="22" t="n"/>
      <c r="Q25" s="382" t="n"/>
      <c r="R25" s="338" t="n"/>
      <c r="S25" s="380" t="n"/>
      <c r="T25" s="382" t="n"/>
      <c r="U25" s="338" t="n"/>
      <c r="V25" s="380" t="n"/>
      <c r="W25" s="382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8" t="n"/>
      <c r="BH25" s="338" t="n"/>
      <c r="BI25" s="338" t="n"/>
      <c r="BJ25" s="338" t="n"/>
      <c r="BK25" s="338" t="n"/>
      <c r="BL25" s="338" t="n"/>
      <c r="BM25" s="338" t="n"/>
      <c r="BN25" s="338" t="n"/>
      <c r="BO25" s="338" t="n"/>
      <c r="BP25" s="338" t="n"/>
      <c r="BQ25" s="338" t="n"/>
      <c r="BR25" s="338" t="n"/>
      <c r="BS25" s="338" t="n"/>
      <c r="BT25" s="338" t="n"/>
      <c r="BU25" s="338" t="n"/>
      <c r="BV25" s="338" t="n"/>
      <c r="BW25" s="338" t="n"/>
      <c r="BX25" s="338" t="n"/>
      <c r="BY25" s="338" t="n"/>
      <c r="BZ25" s="338" t="n"/>
      <c r="CA25" s="338" t="n"/>
      <c r="CB25" s="338" t="n"/>
      <c r="CC25" s="383" t="n"/>
      <c r="CF25" s="253" t="inlineStr">
        <is>
          <t>時間内</t>
        </is>
      </c>
      <c r="CG25" s="384" t="n"/>
      <c r="CH25" s="384" t="n"/>
      <c r="CI25" s="385" t="n"/>
      <c r="CJ25" s="386">
        <f>IF(Q24="作業者1",H27-H24,0)</f>
        <v/>
      </c>
      <c r="CK25" s="387" t="n"/>
      <c r="CL25" s="387" t="n"/>
      <c r="CM25" s="387" t="n"/>
      <c r="CN25" s="388" t="n"/>
      <c r="CP25" s="253" t="inlineStr">
        <is>
          <t>時間内</t>
        </is>
      </c>
      <c r="CQ25" s="384" t="n"/>
      <c r="CR25" s="384" t="n"/>
      <c r="CS25" s="385" t="n"/>
      <c r="CT25" s="386">
        <f>IF(Q24="作業者2",H27-H24,0)</f>
        <v/>
      </c>
      <c r="CU25" s="387" t="n"/>
      <c r="CV25" s="387" t="n"/>
      <c r="CW25" s="387" t="n"/>
      <c r="CX25" s="388" t="n"/>
      <c r="CZ25" s="253" t="inlineStr">
        <is>
          <t>時間内</t>
        </is>
      </c>
      <c r="DA25" s="384" t="n"/>
      <c r="DB25" s="384" t="n"/>
      <c r="DC25" s="385" t="n"/>
      <c r="DD25" s="386">
        <f>IF(Q24="作業者3",H27-H24,0)</f>
        <v/>
      </c>
      <c r="DE25" s="387" t="n"/>
      <c r="DF25" s="387" t="n"/>
      <c r="DG25" s="387" t="n"/>
      <c r="DH25" s="388" t="n"/>
      <c r="DJ25" s="253" t="inlineStr">
        <is>
          <t>時間内</t>
        </is>
      </c>
      <c r="DK25" s="384" t="n"/>
      <c r="DL25" s="384" t="n"/>
      <c r="DM25" s="385" t="n"/>
      <c r="DN25" s="386">
        <f>IF(Q24="作業者4",H27-H24,0)</f>
        <v/>
      </c>
      <c r="DO25" s="387" t="n"/>
      <c r="DP25" s="387" t="n"/>
      <c r="DQ25" s="387" t="n"/>
      <c r="DR25" s="388" t="n"/>
      <c r="DT25" s="253" t="inlineStr">
        <is>
          <t>時間内</t>
        </is>
      </c>
      <c r="DU25" s="384" t="n"/>
      <c r="DV25" s="384" t="n"/>
      <c r="DW25" s="385" t="n"/>
      <c r="DX25" s="386">
        <f>IF(Q24="作業者5",H27-H24,0)</f>
        <v/>
      </c>
      <c r="DY25" s="387" t="n"/>
      <c r="DZ25" s="387" t="n"/>
      <c r="EA25" s="387" t="n"/>
      <c r="EB25" s="388" t="n"/>
    </row>
    <row r="26" ht="9" customHeight="1" s="337">
      <c r="B26" s="350" t="n"/>
      <c r="C26" s="338" t="n"/>
      <c r="D26" s="380" t="n"/>
      <c r="E26" s="23" t="n"/>
      <c r="F26" s="338" t="n"/>
      <c r="G26" s="24" t="n"/>
      <c r="H26" s="23" t="n"/>
      <c r="I26" s="338" t="n"/>
      <c r="J26" s="24" t="n"/>
      <c r="K26" s="23" t="n"/>
      <c r="L26" s="338" t="n"/>
      <c r="M26" s="24" t="n"/>
      <c r="N26" s="23" t="n"/>
      <c r="O26" s="338" t="n"/>
      <c r="P26" s="24" t="n"/>
      <c r="Q26" s="382" t="n"/>
      <c r="R26" s="338" t="n"/>
      <c r="S26" s="380" t="n"/>
      <c r="T26" s="382" t="n"/>
      <c r="U26" s="338" t="n"/>
      <c r="V26" s="380" t="n"/>
      <c r="W26" s="382" t="n"/>
      <c r="X26" s="338" t="n"/>
      <c r="Y26" s="338" t="n"/>
      <c r="Z26" s="338" t="n"/>
      <c r="AA26" s="338" t="n"/>
      <c r="AB26" s="338" t="n"/>
      <c r="AC26" s="338" t="n"/>
      <c r="AD26" s="338" t="n"/>
      <c r="AE26" s="338" t="n"/>
      <c r="AF26" s="338" t="n"/>
      <c r="AG26" s="338" t="n"/>
      <c r="AH26" s="338" t="n"/>
      <c r="AI26" s="338" t="n"/>
      <c r="AJ26" s="338" t="n"/>
      <c r="AK26" s="338" t="n"/>
      <c r="AL26" s="338" t="n"/>
      <c r="AM26" s="338" t="n"/>
      <c r="AN26" s="338" t="n"/>
      <c r="AO26" s="338" t="n"/>
      <c r="AP26" s="338" t="n"/>
      <c r="AQ26" s="338" t="n"/>
      <c r="AR26" s="338" t="n"/>
      <c r="AS26" s="338" t="n"/>
      <c r="AT26" s="338" t="n"/>
      <c r="AU26" s="338" t="n"/>
      <c r="AV26" s="338" t="n"/>
      <c r="AW26" s="338" t="n"/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8" t="n"/>
      <c r="BH26" s="338" t="n"/>
      <c r="BI26" s="338" t="n"/>
      <c r="BJ26" s="338" t="n"/>
      <c r="BK26" s="338" t="n"/>
      <c r="BL26" s="338" t="n"/>
      <c r="BM26" s="338" t="n"/>
      <c r="BN26" s="338" t="n"/>
      <c r="BO26" s="338" t="n"/>
      <c r="BP26" s="338" t="n"/>
      <c r="BQ26" s="338" t="n"/>
      <c r="BR26" s="338" t="n"/>
      <c r="BS26" s="338" t="n"/>
      <c r="BT26" s="338" t="n"/>
      <c r="BU26" s="338" t="n"/>
      <c r="BV26" s="338" t="n"/>
      <c r="BW26" s="338" t="n"/>
      <c r="BX26" s="338" t="n"/>
      <c r="BY26" s="338" t="n"/>
      <c r="BZ26" s="338" t="n"/>
      <c r="CA26" s="338" t="n"/>
      <c r="CB26" s="338" t="n"/>
      <c r="CC26" s="383" t="n"/>
      <c r="CF26" s="253" t="inlineStr">
        <is>
          <t>時間外</t>
        </is>
      </c>
      <c r="CG26" s="384" t="n"/>
      <c r="CH26" s="384" t="n"/>
      <c r="CI26" s="385" t="n"/>
      <c r="CJ26" s="386">
        <f>IF(Q24="作業者1",K27-K24,0)</f>
        <v/>
      </c>
      <c r="CK26" s="387" t="n"/>
      <c r="CL26" s="387" t="n"/>
      <c r="CM26" s="387" t="n"/>
      <c r="CN26" s="388" t="n"/>
      <c r="CP26" s="253" t="inlineStr">
        <is>
          <t>時間外</t>
        </is>
      </c>
      <c r="CQ26" s="384" t="n"/>
      <c r="CR26" s="384" t="n"/>
      <c r="CS26" s="385" t="n"/>
      <c r="CT26" s="386">
        <f>IF(Q24="作業者2",K27-K24,0)</f>
        <v/>
      </c>
      <c r="CU26" s="387" t="n"/>
      <c r="CV26" s="387" t="n"/>
      <c r="CW26" s="387" t="n"/>
      <c r="CX26" s="388" t="n"/>
      <c r="CZ26" s="253" t="inlineStr">
        <is>
          <t>時間外</t>
        </is>
      </c>
      <c r="DA26" s="384" t="n"/>
      <c r="DB26" s="384" t="n"/>
      <c r="DC26" s="385" t="n"/>
      <c r="DD26" s="386">
        <f>IF(Q24="作業者3",K27-K24,0)</f>
        <v/>
      </c>
      <c r="DE26" s="387" t="n"/>
      <c r="DF26" s="387" t="n"/>
      <c r="DG26" s="387" t="n"/>
      <c r="DH26" s="388" t="n"/>
      <c r="DJ26" s="253" t="inlineStr">
        <is>
          <t>時間外</t>
        </is>
      </c>
      <c r="DK26" s="384" t="n"/>
      <c r="DL26" s="384" t="n"/>
      <c r="DM26" s="385" t="n"/>
      <c r="DN26" s="386">
        <f>IF(Q24="作業者4",K27-K24,0)</f>
        <v/>
      </c>
      <c r="DO26" s="387" t="n"/>
      <c r="DP26" s="387" t="n"/>
      <c r="DQ26" s="387" t="n"/>
      <c r="DR26" s="388" t="n"/>
      <c r="DT26" s="253" t="inlineStr">
        <is>
          <t>時間外</t>
        </is>
      </c>
      <c r="DU26" s="384" t="n"/>
      <c r="DV26" s="384" t="n"/>
      <c r="DW26" s="385" t="n"/>
      <c r="DX26" s="386">
        <f>IF(Q24="作業者5",K27-K24,0)</f>
        <v/>
      </c>
      <c r="DY26" s="387" t="n"/>
      <c r="DZ26" s="387" t="n"/>
      <c r="EA26" s="387" t="n"/>
      <c r="EB26" s="388" t="n"/>
    </row>
    <row r="27" ht="9" customHeight="1" s="337">
      <c r="B27" s="389" t="n"/>
      <c r="C27" s="390" t="n"/>
      <c r="D27" s="391" t="n"/>
      <c r="E27" s="392" t="n"/>
      <c r="F27" s="390" t="n"/>
      <c r="G27" s="391" t="n"/>
      <c r="H27" s="392" t="n"/>
      <c r="I27" s="390" t="n"/>
      <c r="J27" s="391" t="n"/>
      <c r="K27" s="392" t="n"/>
      <c r="L27" s="390" t="n"/>
      <c r="M27" s="391" t="n"/>
      <c r="N27" s="392" t="n"/>
      <c r="O27" s="390" t="n"/>
      <c r="P27" s="391" t="n"/>
      <c r="Q27" s="393" t="n"/>
      <c r="R27" s="390" t="n"/>
      <c r="S27" s="391" t="n"/>
      <c r="T27" s="393" t="n"/>
      <c r="U27" s="390" t="n"/>
      <c r="V27" s="391" t="n"/>
      <c r="W27" s="393" t="n"/>
      <c r="X27" s="390" t="n"/>
      <c r="Y27" s="390" t="n"/>
      <c r="Z27" s="390" t="n"/>
      <c r="AA27" s="390" t="n"/>
      <c r="AB27" s="390" t="n"/>
      <c r="AC27" s="390" t="n"/>
      <c r="AD27" s="390" t="n"/>
      <c r="AE27" s="390" t="n"/>
      <c r="AF27" s="390" t="n"/>
      <c r="AG27" s="390" t="n"/>
      <c r="AH27" s="390" t="n"/>
      <c r="AI27" s="390" t="n"/>
      <c r="AJ27" s="390" t="n"/>
      <c r="AK27" s="390" t="n"/>
      <c r="AL27" s="390" t="n"/>
      <c r="AM27" s="390" t="n"/>
      <c r="AN27" s="390" t="n"/>
      <c r="AO27" s="390" t="n"/>
      <c r="AP27" s="390" t="n"/>
      <c r="AQ27" s="390" t="n"/>
      <c r="AR27" s="390" t="n"/>
      <c r="AS27" s="390" t="n"/>
      <c r="AT27" s="390" t="n"/>
      <c r="AU27" s="390" t="n"/>
      <c r="AV27" s="390" t="n"/>
      <c r="AW27" s="390" t="n"/>
      <c r="AX27" s="390" t="n"/>
      <c r="AY27" s="390" t="n"/>
      <c r="AZ27" s="390" t="n"/>
      <c r="BA27" s="390" t="n"/>
      <c r="BB27" s="390" t="n"/>
      <c r="BC27" s="390" t="n"/>
      <c r="BD27" s="390" t="n"/>
      <c r="BE27" s="390" t="n"/>
      <c r="BF27" s="390" t="n"/>
      <c r="BG27" s="390" t="n"/>
      <c r="BH27" s="390" t="n"/>
      <c r="BI27" s="390" t="n"/>
      <c r="BJ27" s="390" t="n"/>
      <c r="BK27" s="390" t="n"/>
      <c r="BL27" s="390" t="n"/>
      <c r="BM27" s="390" t="n"/>
      <c r="BN27" s="390" t="n"/>
      <c r="BO27" s="390" t="n"/>
      <c r="BP27" s="390" t="n"/>
      <c r="BQ27" s="390" t="n"/>
      <c r="BR27" s="390" t="n"/>
      <c r="BS27" s="390" t="n"/>
      <c r="BT27" s="390" t="n"/>
      <c r="BU27" s="390" t="n"/>
      <c r="BV27" s="390" t="n"/>
      <c r="BW27" s="390" t="n"/>
      <c r="BX27" s="390" t="n"/>
      <c r="BY27" s="390" t="n"/>
      <c r="BZ27" s="390" t="n"/>
      <c r="CA27" s="390" t="n"/>
      <c r="CB27" s="390" t="n"/>
      <c r="CC27" s="394" t="n"/>
      <c r="CF27" s="254" t="inlineStr">
        <is>
          <t>休日</t>
        </is>
      </c>
      <c r="CG27" s="395" t="n"/>
      <c r="CH27" s="395" t="n"/>
      <c r="CI27" s="396" t="n"/>
      <c r="CJ27" s="397">
        <f>IF(Q24="作業者1",N27-N24,0)</f>
        <v/>
      </c>
      <c r="CK27" s="395" t="n"/>
      <c r="CL27" s="395" t="n"/>
      <c r="CM27" s="395" t="n"/>
      <c r="CN27" s="396" t="n"/>
      <c r="CP27" s="254" t="inlineStr">
        <is>
          <t>休日</t>
        </is>
      </c>
      <c r="CQ27" s="395" t="n"/>
      <c r="CR27" s="395" t="n"/>
      <c r="CS27" s="396" t="n"/>
      <c r="CT27" s="397">
        <f>IF(Q24="作業者2",N27-N24,0)</f>
        <v/>
      </c>
      <c r="CU27" s="395" t="n"/>
      <c r="CV27" s="395" t="n"/>
      <c r="CW27" s="395" t="n"/>
      <c r="CX27" s="396" t="n"/>
      <c r="CZ27" s="254" t="inlineStr">
        <is>
          <t>休日</t>
        </is>
      </c>
      <c r="DA27" s="395" t="n"/>
      <c r="DB27" s="395" t="n"/>
      <c r="DC27" s="396" t="n"/>
      <c r="DD27" s="397">
        <f>IF(Q24="作業者3",N27-N24,0)</f>
        <v/>
      </c>
      <c r="DE27" s="395" t="n"/>
      <c r="DF27" s="395" t="n"/>
      <c r="DG27" s="395" t="n"/>
      <c r="DH27" s="396" t="n"/>
      <c r="DJ27" s="254" t="inlineStr">
        <is>
          <t>休日</t>
        </is>
      </c>
      <c r="DK27" s="395" t="n"/>
      <c r="DL27" s="395" t="n"/>
      <c r="DM27" s="396" t="n"/>
      <c r="DN27" s="397">
        <f>IF(Q24="作業者4",N27-N24,0)</f>
        <v/>
      </c>
      <c r="DO27" s="395" t="n"/>
      <c r="DP27" s="395" t="n"/>
      <c r="DQ27" s="395" t="n"/>
      <c r="DR27" s="396" t="n"/>
      <c r="DT27" s="254" t="inlineStr">
        <is>
          <t>休日</t>
        </is>
      </c>
      <c r="DU27" s="395" t="n"/>
      <c r="DV27" s="395" t="n"/>
      <c r="DW27" s="396" t="n"/>
      <c r="DX27" s="397">
        <f>IF(Q24="作業者5",N27-N24,0)</f>
        <v/>
      </c>
      <c r="DY27" s="395" t="n"/>
      <c r="DZ27" s="395" t="n"/>
      <c r="EA27" s="395" t="n"/>
      <c r="EB27" s="396" t="n"/>
    </row>
    <row r="28" ht="9" customHeight="1" s="337">
      <c r="B28" s="398" t="n"/>
      <c r="C28" s="372" t="n"/>
      <c r="D28" s="373" t="n"/>
      <c r="E28" s="399" t="n"/>
      <c r="F28" s="372" t="n"/>
      <c r="G28" s="373" t="n"/>
      <c r="H28" s="399" t="n"/>
      <c r="I28" s="372" t="n"/>
      <c r="J28" s="373" t="n"/>
      <c r="K28" s="399" t="n"/>
      <c r="L28" s="372" t="n"/>
      <c r="M28" s="373" t="n"/>
      <c r="N28" s="399" t="n"/>
      <c r="O28" s="372" t="n"/>
      <c r="P28" s="373" t="n"/>
      <c r="Q28" s="371" t="n"/>
      <c r="R28" s="372" t="n"/>
      <c r="S28" s="373" t="n"/>
      <c r="T28" s="371" t="n"/>
      <c r="U28" s="372" t="n"/>
      <c r="V28" s="373" t="n"/>
      <c r="W28" s="443" t="n"/>
      <c r="X28" s="372" t="n"/>
      <c r="Y28" s="372" t="n"/>
      <c r="Z28" s="372" t="n"/>
      <c r="AA28" s="372" t="n"/>
      <c r="AB28" s="372" t="n"/>
      <c r="AC28" s="372" t="n"/>
      <c r="AD28" s="372" t="n"/>
      <c r="AE28" s="372" t="n"/>
      <c r="AF28" s="372" t="n"/>
      <c r="AG28" s="372" t="n"/>
      <c r="AH28" s="372" t="n"/>
      <c r="AI28" s="372" t="n"/>
      <c r="AJ28" s="372" t="n"/>
      <c r="AK28" s="372" t="n"/>
      <c r="AL28" s="372" t="n"/>
      <c r="AM28" s="372" t="n"/>
      <c r="AN28" s="372" t="n"/>
      <c r="AO28" s="372" t="n"/>
      <c r="AP28" s="372" t="n"/>
      <c r="AQ28" s="372" t="n"/>
      <c r="AR28" s="372" t="n"/>
      <c r="AS28" s="372" t="n"/>
      <c r="AT28" s="372" t="n"/>
      <c r="AU28" s="372" t="n"/>
      <c r="AV28" s="372" t="n"/>
      <c r="AW28" s="372" t="n"/>
      <c r="AX28" s="372" t="n"/>
      <c r="AY28" s="372" t="n"/>
      <c r="AZ28" s="372" t="n"/>
      <c r="BA28" s="372" t="n"/>
      <c r="BB28" s="372" t="n"/>
      <c r="BC28" s="372" t="n"/>
      <c r="BD28" s="372" t="n"/>
      <c r="BE28" s="372" t="n"/>
      <c r="BF28" s="372" t="n"/>
      <c r="BG28" s="372" t="n"/>
      <c r="BH28" s="372" t="n"/>
      <c r="BI28" s="372" t="n"/>
      <c r="BJ28" s="372" t="n"/>
      <c r="BK28" s="372" t="n"/>
      <c r="BL28" s="372" t="n"/>
      <c r="BM28" s="372" t="n"/>
      <c r="BN28" s="372" t="n"/>
      <c r="BO28" s="372" t="n"/>
      <c r="BP28" s="372" t="n"/>
      <c r="BQ28" s="372" t="n"/>
      <c r="BR28" s="372" t="n"/>
      <c r="BS28" s="372" t="n"/>
      <c r="BT28" s="372" t="n"/>
      <c r="BU28" s="372" t="n"/>
      <c r="BV28" s="372" t="n"/>
      <c r="BW28" s="372" t="n"/>
      <c r="BX28" s="372" t="n"/>
      <c r="BY28" s="372" t="n"/>
      <c r="BZ28" s="372" t="n"/>
      <c r="CA28" s="372" t="n"/>
      <c r="CB28" s="372" t="n"/>
      <c r="CC28" s="402" t="n"/>
      <c r="CF28" s="248" t="inlineStr">
        <is>
          <t>移動</t>
        </is>
      </c>
      <c r="CG28" s="377" t="n"/>
      <c r="CH28" s="377" t="n"/>
      <c r="CI28" s="378" t="n"/>
      <c r="CJ28" s="379">
        <f>IF(Q28="作業者1",E31-E28,0)</f>
        <v/>
      </c>
      <c r="CK28" s="377" t="n"/>
      <c r="CL28" s="377" t="n"/>
      <c r="CM28" s="377" t="n"/>
      <c r="CN28" s="378" t="n"/>
      <c r="CP28" s="248" t="inlineStr">
        <is>
          <t>移動</t>
        </is>
      </c>
      <c r="CQ28" s="377" t="n"/>
      <c r="CR28" s="377" t="n"/>
      <c r="CS28" s="378" t="n"/>
      <c r="CT28" s="379">
        <f>IF(Q28="作業者2",E31-E28,0)</f>
        <v/>
      </c>
      <c r="CU28" s="377" t="n"/>
      <c r="CV28" s="377" t="n"/>
      <c r="CW28" s="377" t="n"/>
      <c r="CX28" s="378" t="n"/>
      <c r="CZ28" s="259" t="inlineStr">
        <is>
          <t>移動</t>
        </is>
      </c>
      <c r="DA28" s="403" t="n"/>
      <c r="DB28" s="403" t="n"/>
      <c r="DC28" s="404" t="n"/>
      <c r="DD28" s="405">
        <f>IF(Q28="作業者3",E31-E28,0)</f>
        <v/>
      </c>
      <c r="DE28" s="406" t="n"/>
      <c r="DF28" s="406" t="n"/>
      <c r="DG28" s="406" t="n"/>
      <c r="DH28" s="407" t="n"/>
      <c r="DJ28" s="259" t="inlineStr">
        <is>
          <t>移動</t>
        </is>
      </c>
      <c r="DK28" s="403" t="n"/>
      <c r="DL28" s="403" t="n"/>
      <c r="DM28" s="404" t="n"/>
      <c r="DN28" s="379">
        <f>IF(Q28="作業者4",E31-E28,0)</f>
        <v/>
      </c>
      <c r="DO28" s="377" t="n"/>
      <c r="DP28" s="377" t="n"/>
      <c r="DQ28" s="377" t="n"/>
      <c r="DR28" s="378" t="n"/>
      <c r="DT28" s="259" t="inlineStr">
        <is>
          <t>移動</t>
        </is>
      </c>
      <c r="DU28" s="403" t="n"/>
      <c r="DV28" s="403" t="n"/>
      <c r="DW28" s="404" t="n"/>
      <c r="DX28" s="379">
        <f>IF(Q28="作業者5",E31-E28,0)</f>
        <v/>
      </c>
      <c r="DY28" s="377" t="n"/>
      <c r="DZ28" s="377" t="n"/>
      <c r="EA28" s="377" t="n"/>
      <c r="EB28" s="378" t="n"/>
    </row>
    <row r="29" ht="9" customHeight="1" s="337">
      <c r="B29" s="350" t="n"/>
      <c r="C29" s="338" t="n"/>
      <c r="D29" s="380" t="n"/>
      <c r="E29" s="381" t="n"/>
      <c r="F29" s="122" t="inlineStr">
        <is>
          <t>～</t>
        </is>
      </c>
      <c r="G29" s="22" t="n"/>
      <c r="H29" s="381" t="n"/>
      <c r="I29" s="122" t="inlineStr">
        <is>
          <t>～</t>
        </is>
      </c>
      <c r="J29" s="22" t="n"/>
      <c r="K29" s="381" t="n"/>
      <c r="L29" s="122" t="inlineStr">
        <is>
          <t>～</t>
        </is>
      </c>
      <c r="M29" s="22" t="n"/>
      <c r="N29" s="381" t="n"/>
      <c r="O29" s="122" t="inlineStr">
        <is>
          <t>～</t>
        </is>
      </c>
      <c r="P29" s="22" t="n"/>
      <c r="Q29" s="382" t="n"/>
      <c r="R29" s="338" t="n"/>
      <c r="S29" s="380" t="n"/>
      <c r="T29" s="382" t="n"/>
      <c r="U29" s="338" t="n"/>
      <c r="V29" s="380" t="n"/>
      <c r="W29" s="382" t="n"/>
      <c r="X29" s="338" t="n"/>
      <c r="Y29" s="338" t="n"/>
      <c r="Z29" s="338" t="n"/>
      <c r="AA29" s="338" t="n"/>
      <c r="AB29" s="338" t="n"/>
      <c r="AC29" s="338" t="n"/>
      <c r="AD29" s="338" t="n"/>
      <c r="AE29" s="338" t="n"/>
      <c r="AF29" s="338" t="n"/>
      <c r="AG29" s="338" t="n"/>
      <c r="AH29" s="338" t="n"/>
      <c r="AI29" s="338" t="n"/>
      <c r="AJ29" s="338" t="n"/>
      <c r="AK29" s="338" t="n"/>
      <c r="AL29" s="338" t="n"/>
      <c r="AM29" s="338" t="n"/>
      <c r="AN29" s="338" t="n"/>
      <c r="AO29" s="338" t="n"/>
      <c r="AP29" s="338" t="n"/>
      <c r="AQ29" s="338" t="n"/>
      <c r="AR29" s="338" t="n"/>
      <c r="AS29" s="338" t="n"/>
      <c r="AT29" s="338" t="n"/>
      <c r="AU29" s="338" t="n"/>
      <c r="AV29" s="338" t="n"/>
      <c r="AW29" s="338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8" t="n"/>
      <c r="BH29" s="338" t="n"/>
      <c r="BI29" s="338" t="n"/>
      <c r="BJ29" s="338" t="n"/>
      <c r="BK29" s="338" t="n"/>
      <c r="BL29" s="338" t="n"/>
      <c r="BM29" s="338" t="n"/>
      <c r="BN29" s="338" t="n"/>
      <c r="BO29" s="338" t="n"/>
      <c r="BP29" s="338" t="n"/>
      <c r="BQ29" s="338" t="n"/>
      <c r="BR29" s="338" t="n"/>
      <c r="BS29" s="338" t="n"/>
      <c r="BT29" s="338" t="n"/>
      <c r="BU29" s="338" t="n"/>
      <c r="BV29" s="338" t="n"/>
      <c r="BW29" s="338" t="n"/>
      <c r="BX29" s="338" t="n"/>
      <c r="BY29" s="338" t="n"/>
      <c r="BZ29" s="338" t="n"/>
      <c r="CA29" s="338" t="n"/>
      <c r="CB29" s="338" t="n"/>
      <c r="CC29" s="383" t="n"/>
      <c r="CF29" s="253" t="inlineStr">
        <is>
          <t>時間内</t>
        </is>
      </c>
      <c r="CG29" s="384" t="n"/>
      <c r="CH29" s="384" t="n"/>
      <c r="CI29" s="385" t="n"/>
      <c r="CJ29" s="386">
        <f>IF(Q28="作業者1",H31-H28,0)</f>
        <v/>
      </c>
      <c r="CK29" s="387" t="n"/>
      <c r="CL29" s="387" t="n"/>
      <c r="CM29" s="387" t="n"/>
      <c r="CN29" s="388" t="n"/>
      <c r="CP29" s="253" t="inlineStr">
        <is>
          <t>時間内</t>
        </is>
      </c>
      <c r="CQ29" s="384" t="n"/>
      <c r="CR29" s="384" t="n"/>
      <c r="CS29" s="385" t="n"/>
      <c r="CT29" s="386">
        <f>IF(Q28="作業者2",H31-H28,0)</f>
        <v/>
      </c>
      <c r="CU29" s="387" t="n"/>
      <c r="CV29" s="387" t="n"/>
      <c r="CW29" s="387" t="n"/>
      <c r="CX29" s="388" t="n"/>
      <c r="CZ29" s="253" t="inlineStr">
        <is>
          <t>時間内</t>
        </is>
      </c>
      <c r="DA29" s="384" t="n"/>
      <c r="DB29" s="384" t="n"/>
      <c r="DC29" s="385" t="n"/>
      <c r="DD29" s="386">
        <f>IF(Q28="作業者3",H31-H28,0)</f>
        <v/>
      </c>
      <c r="DE29" s="387" t="n"/>
      <c r="DF29" s="387" t="n"/>
      <c r="DG29" s="387" t="n"/>
      <c r="DH29" s="388" t="n"/>
      <c r="DJ29" s="253" t="inlineStr">
        <is>
          <t>時間内</t>
        </is>
      </c>
      <c r="DK29" s="384" t="n"/>
      <c r="DL29" s="384" t="n"/>
      <c r="DM29" s="385" t="n"/>
      <c r="DN29" s="386">
        <f>IF(Q28="作業者4",H31-H28,0)</f>
        <v/>
      </c>
      <c r="DO29" s="387" t="n"/>
      <c r="DP29" s="387" t="n"/>
      <c r="DQ29" s="387" t="n"/>
      <c r="DR29" s="388" t="n"/>
      <c r="DT29" s="253" t="inlineStr">
        <is>
          <t>時間内</t>
        </is>
      </c>
      <c r="DU29" s="384" t="n"/>
      <c r="DV29" s="384" t="n"/>
      <c r="DW29" s="385" t="n"/>
      <c r="DX29" s="386">
        <f>IF(Q28="作業者5",H31-H28,0)</f>
        <v/>
      </c>
      <c r="DY29" s="387" t="n"/>
      <c r="DZ29" s="387" t="n"/>
      <c r="EA29" s="387" t="n"/>
      <c r="EB29" s="388" t="n"/>
    </row>
    <row r="30" ht="9" customHeight="1" s="337">
      <c r="B30" s="350" t="n"/>
      <c r="C30" s="338" t="n"/>
      <c r="D30" s="380" t="n"/>
      <c r="E30" s="23" t="n"/>
      <c r="F30" s="338" t="n"/>
      <c r="G30" s="24" t="n"/>
      <c r="H30" s="23" t="n"/>
      <c r="I30" s="338" t="n"/>
      <c r="J30" s="24" t="n"/>
      <c r="K30" s="23" t="n"/>
      <c r="L30" s="338" t="n"/>
      <c r="M30" s="24" t="n"/>
      <c r="N30" s="23" t="n"/>
      <c r="O30" s="338" t="n"/>
      <c r="P30" s="24" t="n"/>
      <c r="Q30" s="382" t="n"/>
      <c r="R30" s="338" t="n"/>
      <c r="S30" s="380" t="n"/>
      <c r="T30" s="382" t="n"/>
      <c r="U30" s="338" t="n"/>
      <c r="V30" s="380" t="n"/>
      <c r="W30" s="382" t="n"/>
      <c r="X30" s="338" t="n"/>
      <c r="Y30" s="338" t="n"/>
      <c r="Z30" s="338" t="n"/>
      <c r="AA30" s="338" t="n"/>
      <c r="AB30" s="338" t="n"/>
      <c r="AC30" s="338" t="n"/>
      <c r="AD30" s="338" t="n"/>
      <c r="AE30" s="338" t="n"/>
      <c r="AF30" s="338" t="n"/>
      <c r="AG30" s="338" t="n"/>
      <c r="AH30" s="338" t="n"/>
      <c r="AI30" s="338" t="n"/>
      <c r="AJ30" s="338" t="n"/>
      <c r="AK30" s="338" t="n"/>
      <c r="AL30" s="338" t="n"/>
      <c r="AM30" s="338" t="n"/>
      <c r="AN30" s="338" t="n"/>
      <c r="AO30" s="338" t="n"/>
      <c r="AP30" s="338" t="n"/>
      <c r="AQ30" s="338" t="n"/>
      <c r="AR30" s="338" t="n"/>
      <c r="AS30" s="338" t="n"/>
      <c r="AT30" s="338" t="n"/>
      <c r="AU30" s="338" t="n"/>
      <c r="AV30" s="338" t="n"/>
      <c r="AW30" s="338" t="n"/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8" t="n"/>
      <c r="BH30" s="338" t="n"/>
      <c r="BI30" s="338" t="n"/>
      <c r="BJ30" s="338" t="n"/>
      <c r="BK30" s="338" t="n"/>
      <c r="BL30" s="338" t="n"/>
      <c r="BM30" s="338" t="n"/>
      <c r="BN30" s="338" t="n"/>
      <c r="BO30" s="338" t="n"/>
      <c r="BP30" s="338" t="n"/>
      <c r="BQ30" s="338" t="n"/>
      <c r="BR30" s="338" t="n"/>
      <c r="BS30" s="338" t="n"/>
      <c r="BT30" s="338" t="n"/>
      <c r="BU30" s="338" t="n"/>
      <c r="BV30" s="338" t="n"/>
      <c r="BW30" s="338" t="n"/>
      <c r="BX30" s="338" t="n"/>
      <c r="BY30" s="338" t="n"/>
      <c r="BZ30" s="338" t="n"/>
      <c r="CA30" s="338" t="n"/>
      <c r="CB30" s="338" t="n"/>
      <c r="CC30" s="383" t="n"/>
      <c r="CF30" s="253" t="inlineStr">
        <is>
          <t>時間外</t>
        </is>
      </c>
      <c r="CG30" s="384" t="n"/>
      <c r="CH30" s="384" t="n"/>
      <c r="CI30" s="385" t="n"/>
      <c r="CJ30" s="386">
        <f>IF(Q28="作業者1",K31-K28,0)</f>
        <v/>
      </c>
      <c r="CK30" s="387" t="n"/>
      <c r="CL30" s="387" t="n"/>
      <c r="CM30" s="387" t="n"/>
      <c r="CN30" s="388" t="n"/>
      <c r="CP30" s="253" t="inlineStr">
        <is>
          <t>時間外</t>
        </is>
      </c>
      <c r="CQ30" s="384" t="n"/>
      <c r="CR30" s="384" t="n"/>
      <c r="CS30" s="385" t="n"/>
      <c r="CT30" s="386">
        <f>IF(Q28="作業者2",K31-K28,0)</f>
        <v/>
      </c>
      <c r="CU30" s="387" t="n"/>
      <c r="CV30" s="387" t="n"/>
      <c r="CW30" s="387" t="n"/>
      <c r="CX30" s="388" t="n"/>
      <c r="CZ30" s="253" t="inlineStr">
        <is>
          <t>時間外</t>
        </is>
      </c>
      <c r="DA30" s="384" t="n"/>
      <c r="DB30" s="384" t="n"/>
      <c r="DC30" s="385" t="n"/>
      <c r="DD30" s="386">
        <f>IF(Q28="作業者3",K31-K28,0)</f>
        <v/>
      </c>
      <c r="DE30" s="387" t="n"/>
      <c r="DF30" s="387" t="n"/>
      <c r="DG30" s="387" t="n"/>
      <c r="DH30" s="388" t="n"/>
      <c r="DJ30" s="253" t="inlineStr">
        <is>
          <t>時間外</t>
        </is>
      </c>
      <c r="DK30" s="384" t="n"/>
      <c r="DL30" s="384" t="n"/>
      <c r="DM30" s="385" t="n"/>
      <c r="DN30" s="386">
        <f>IF(Q28="作業者4",K31-K28,0)</f>
        <v/>
      </c>
      <c r="DO30" s="387" t="n"/>
      <c r="DP30" s="387" t="n"/>
      <c r="DQ30" s="387" t="n"/>
      <c r="DR30" s="388" t="n"/>
      <c r="DT30" s="253" t="inlineStr">
        <is>
          <t>時間外</t>
        </is>
      </c>
      <c r="DU30" s="384" t="n"/>
      <c r="DV30" s="384" t="n"/>
      <c r="DW30" s="385" t="n"/>
      <c r="DX30" s="386">
        <f>IF(Q28="作業者5",K31-K28,0)</f>
        <v/>
      </c>
      <c r="DY30" s="387" t="n"/>
      <c r="DZ30" s="387" t="n"/>
      <c r="EA30" s="387" t="n"/>
      <c r="EB30" s="388" t="n"/>
    </row>
    <row r="31" ht="9" customHeight="1" s="337">
      <c r="B31" s="389" t="n"/>
      <c r="C31" s="390" t="n"/>
      <c r="D31" s="391" t="n"/>
      <c r="E31" s="392" t="n"/>
      <c r="F31" s="390" t="n"/>
      <c r="G31" s="391" t="n"/>
      <c r="H31" s="392" t="n"/>
      <c r="I31" s="390" t="n"/>
      <c r="J31" s="391" t="n"/>
      <c r="K31" s="392" t="n"/>
      <c r="L31" s="390" t="n"/>
      <c r="M31" s="391" t="n"/>
      <c r="N31" s="392" t="n"/>
      <c r="O31" s="390" t="n"/>
      <c r="P31" s="391" t="n"/>
      <c r="Q31" s="393" t="n"/>
      <c r="R31" s="390" t="n"/>
      <c r="S31" s="391" t="n"/>
      <c r="T31" s="393" t="n"/>
      <c r="U31" s="390" t="n"/>
      <c r="V31" s="391" t="n"/>
      <c r="W31" s="393" t="n"/>
      <c r="X31" s="390" t="n"/>
      <c r="Y31" s="390" t="n"/>
      <c r="Z31" s="390" t="n"/>
      <c r="AA31" s="390" t="n"/>
      <c r="AB31" s="390" t="n"/>
      <c r="AC31" s="390" t="n"/>
      <c r="AD31" s="390" t="n"/>
      <c r="AE31" s="390" t="n"/>
      <c r="AF31" s="390" t="n"/>
      <c r="AG31" s="390" t="n"/>
      <c r="AH31" s="390" t="n"/>
      <c r="AI31" s="390" t="n"/>
      <c r="AJ31" s="390" t="n"/>
      <c r="AK31" s="390" t="n"/>
      <c r="AL31" s="390" t="n"/>
      <c r="AM31" s="390" t="n"/>
      <c r="AN31" s="390" t="n"/>
      <c r="AO31" s="390" t="n"/>
      <c r="AP31" s="390" t="n"/>
      <c r="AQ31" s="390" t="n"/>
      <c r="AR31" s="390" t="n"/>
      <c r="AS31" s="390" t="n"/>
      <c r="AT31" s="390" t="n"/>
      <c r="AU31" s="390" t="n"/>
      <c r="AV31" s="390" t="n"/>
      <c r="AW31" s="390" t="n"/>
      <c r="AX31" s="390" t="n"/>
      <c r="AY31" s="390" t="n"/>
      <c r="AZ31" s="390" t="n"/>
      <c r="BA31" s="390" t="n"/>
      <c r="BB31" s="390" t="n"/>
      <c r="BC31" s="390" t="n"/>
      <c r="BD31" s="390" t="n"/>
      <c r="BE31" s="390" t="n"/>
      <c r="BF31" s="390" t="n"/>
      <c r="BG31" s="390" t="n"/>
      <c r="BH31" s="390" t="n"/>
      <c r="BI31" s="390" t="n"/>
      <c r="BJ31" s="390" t="n"/>
      <c r="BK31" s="390" t="n"/>
      <c r="BL31" s="390" t="n"/>
      <c r="BM31" s="390" t="n"/>
      <c r="BN31" s="390" t="n"/>
      <c r="BO31" s="390" t="n"/>
      <c r="BP31" s="390" t="n"/>
      <c r="BQ31" s="390" t="n"/>
      <c r="BR31" s="390" t="n"/>
      <c r="BS31" s="390" t="n"/>
      <c r="BT31" s="390" t="n"/>
      <c r="BU31" s="390" t="n"/>
      <c r="BV31" s="390" t="n"/>
      <c r="BW31" s="390" t="n"/>
      <c r="BX31" s="390" t="n"/>
      <c r="BY31" s="390" t="n"/>
      <c r="BZ31" s="390" t="n"/>
      <c r="CA31" s="390" t="n"/>
      <c r="CB31" s="390" t="n"/>
      <c r="CC31" s="394" t="n"/>
      <c r="CF31" s="254" t="inlineStr">
        <is>
          <t>休日</t>
        </is>
      </c>
      <c r="CG31" s="395" t="n"/>
      <c r="CH31" s="395" t="n"/>
      <c r="CI31" s="396" t="n"/>
      <c r="CJ31" s="397">
        <f>IF(Q28="作業者1",N31-N28,0)</f>
        <v/>
      </c>
      <c r="CK31" s="395" t="n"/>
      <c r="CL31" s="395" t="n"/>
      <c r="CM31" s="395" t="n"/>
      <c r="CN31" s="396" t="n"/>
      <c r="CP31" s="254" t="inlineStr">
        <is>
          <t>休日</t>
        </is>
      </c>
      <c r="CQ31" s="395" t="n"/>
      <c r="CR31" s="395" t="n"/>
      <c r="CS31" s="396" t="n"/>
      <c r="CT31" s="397">
        <f>IF(Q28="作業者2",N31-N28,0)</f>
        <v/>
      </c>
      <c r="CU31" s="395" t="n"/>
      <c r="CV31" s="395" t="n"/>
      <c r="CW31" s="395" t="n"/>
      <c r="CX31" s="396" t="n"/>
      <c r="CZ31" s="254" t="inlineStr">
        <is>
          <t>休日</t>
        </is>
      </c>
      <c r="DA31" s="395" t="n"/>
      <c r="DB31" s="395" t="n"/>
      <c r="DC31" s="396" t="n"/>
      <c r="DD31" s="397">
        <f>IF(Q28="作業者3",N31-N28,0)</f>
        <v/>
      </c>
      <c r="DE31" s="395" t="n"/>
      <c r="DF31" s="395" t="n"/>
      <c r="DG31" s="395" t="n"/>
      <c r="DH31" s="396" t="n"/>
      <c r="DJ31" s="254" t="inlineStr">
        <is>
          <t>休日</t>
        </is>
      </c>
      <c r="DK31" s="395" t="n"/>
      <c r="DL31" s="395" t="n"/>
      <c r="DM31" s="396" t="n"/>
      <c r="DN31" s="397">
        <f>IF(Q28="作業者4",N31-N28,0)</f>
        <v/>
      </c>
      <c r="DO31" s="395" t="n"/>
      <c r="DP31" s="395" t="n"/>
      <c r="DQ31" s="395" t="n"/>
      <c r="DR31" s="396" t="n"/>
      <c r="DT31" s="254" t="inlineStr">
        <is>
          <t>休日</t>
        </is>
      </c>
      <c r="DU31" s="395" t="n"/>
      <c r="DV31" s="395" t="n"/>
      <c r="DW31" s="396" t="n"/>
      <c r="DX31" s="397">
        <f>IF(Q28="作業者5",N31-N28,0)</f>
        <v/>
      </c>
      <c r="DY31" s="395" t="n"/>
      <c r="DZ31" s="395" t="n"/>
      <c r="EA31" s="395" t="n"/>
      <c r="EB31" s="396" t="n"/>
    </row>
    <row r="32" ht="9" customHeight="1" s="337">
      <c r="B32" s="398" t="n"/>
      <c r="C32" s="372" t="n"/>
      <c r="D32" s="373" t="n"/>
      <c r="E32" s="399" t="n"/>
      <c r="F32" s="372" t="n"/>
      <c r="G32" s="373" t="n"/>
      <c r="H32" s="399" t="n"/>
      <c r="I32" s="372" t="n"/>
      <c r="J32" s="373" t="n"/>
      <c r="K32" s="399" t="n"/>
      <c r="L32" s="372" t="n"/>
      <c r="M32" s="373" t="n"/>
      <c r="N32" s="399" t="n"/>
      <c r="O32" s="372" t="n"/>
      <c r="P32" s="373" t="n"/>
      <c r="Q32" s="371" t="n"/>
      <c r="R32" s="372" t="n"/>
      <c r="S32" s="373" t="n"/>
      <c r="T32" s="371" t="n"/>
      <c r="U32" s="372" t="n"/>
      <c r="V32" s="373" t="n"/>
      <c r="W32" s="443" t="n"/>
      <c r="X32" s="372" t="n"/>
      <c r="Y32" s="372" t="n"/>
      <c r="Z32" s="372" t="n"/>
      <c r="AA32" s="372" t="n"/>
      <c r="AB32" s="372" t="n"/>
      <c r="AC32" s="372" t="n"/>
      <c r="AD32" s="372" t="n"/>
      <c r="AE32" s="372" t="n"/>
      <c r="AF32" s="372" t="n"/>
      <c r="AG32" s="372" t="n"/>
      <c r="AH32" s="372" t="n"/>
      <c r="AI32" s="372" t="n"/>
      <c r="AJ32" s="372" t="n"/>
      <c r="AK32" s="372" t="n"/>
      <c r="AL32" s="372" t="n"/>
      <c r="AM32" s="372" t="n"/>
      <c r="AN32" s="372" t="n"/>
      <c r="AO32" s="372" t="n"/>
      <c r="AP32" s="372" t="n"/>
      <c r="AQ32" s="372" t="n"/>
      <c r="AR32" s="372" t="n"/>
      <c r="AS32" s="372" t="n"/>
      <c r="AT32" s="372" t="n"/>
      <c r="AU32" s="372" t="n"/>
      <c r="AV32" s="372" t="n"/>
      <c r="AW32" s="372" t="n"/>
      <c r="AX32" s="372" t="n"/>
      <c r="AY32" s="372" t="n"/>
      <c r="AZ32" s="372" t="n"/>
      <c r="BA32" s="372" t="n"/>
      <c r="BB32" s="372" t="n"/>
      <c r="BC32" s="372" t="n"/>
      <c r="BD32" s="372" t="n"/>
      <c r="BE32" s="372" t="n"/>
      <c r="BF32" s="372" t="n"/>
      <c r="BG32" s="372" t="n"/>
      <c r="BH32" s="372" t="n"/>
      <c r="BI32" s="372" t="n"/>
      <c r="BJ32" s="372" t="n"/>
      <c r="BK32" s="372" t="n"/>
      <c r="BL32" s="372" t="n"/>
      <c r="BM32" s="372" t="n"/>
      <c r="BN32" s="372" t="n"/>
      <c r="BO32" s="372" t="n"/>
      <c r="BP32" s="372" t="n"/>
      <c r="BQ32" s="372" t="n"/>
      <c r="BR32" s="372" t="n"/>
      <c r="BS32" s="372" t="n"/>
      <c r="BT32" s="372" t="n"/>
      <c r="BU32" s="372" t="n"/>
      <c r="BV32" s="372" t="n"/>
      <c r="BW32" s="372" t="n"/>
      <c r="BX32" s="372" t="n"/>
      <c r="BY32" s="372" t="n"/>
      <c r="BZ32" s="372" t="n"/>
      <c r="CA32" s="372" t="n"/>
      <c r="CB32" s="372" t="n"/>
      <c r="CC32" s="402" t="n"/>
      <c r="CF32" s="248" t="inlineStr">
        <is>
          <t>移動</t>
        </is>
      </c>
      <c r="CG32" s="377" t="n"/>
      <c r="CH32" s="377" t="n"/>
      <c r="CI32" s="378" t="n"/>
      <c r="CJ32" s="379">
        <f>IF(Q32="作業者1",E35-E32,0)</f>
        <v/>
      </c>
      <c r="CK32" s="377" t="n"/>
      <c r="CL32" s="377" t="n"/>
      <c r="CM32" s="377" t="n"/>
      <c r="CN32" s="378" t="n"/>
      <c r="CP32" s="248" t="inlineStr">
        <is>
          <t>移動</t>
        </is>
      </c>
      <c r="CQ32" s="377" t="n"/>
      <c r="CR32" s="377" t="n"/>
      <c r="CS32" s="378" t="n"/>
      <c r="CT32" s="379">
        <f>IF(Q32="作業者2",E35-E32,0)</f>
        <v/>
      </c>
      <c r="CU32" s="377" t="n"/>
      <c r="CV32" s="377" t="n"/>
      <c r="CW32" s="377" t="n"/>
      <c r="CX32" s="378" t="n"/>
      <c r="CZ32" s="259" t="inlineStr">
        <is>
          <t>移動</t>
        </is>
      </c>
      <c r="DA32" s="403" t="n"/>
      <c r="DB32" s="403" t="n"/>
      <c r="DC32" s="404" t="n"/>
      <c r="DD32" s="405">
        <f>IF(Q32="作業者3",E35-E32,0)</f>
        <v/>
      </c>
      <c r="DE32" s="406" t="n"/>
      <c r="DF32" s="406" t="n"/>
      <c r="DG32" s="406" t="n"/>
      <c r="DH32" s="407" t="n"/>
      <c r="DJ32" s="259" t="inlineStr">
        <is>
          <t>移動</t>
        </is>
      </c>
      <c r="DK32" s="403" t="n"/>
      <c r="DL32" s="403" t="n"/>
      <c r="DM32" s="404" t="n"/>
      <c r="DN32" s="379">
        <f>IF(Q32="作業者4",E35-E32,0)</f>
        <v/>
      </c>
      <c r="DO32" s="377" t="n"/>
      <c r="DP32" s="377" t="n"/>
      <c r="DQ32" s="377" t="n"/>
      <c r="DR32" s="378" t="n"/>
      <c r="DT32" s="259" t="inlineStr">
        <is>
          <t>移動</t>
        </is>
      </c>
      <c r="DU32" s="403" t="n"/>
      <c r="DV32" s="403" t="n"/>
      <c r="DW32" s="404" t="n"/>
      <c r="DX32" s="379">
        <f>IF(Q32="作業者5",E35-E32,0)</f>
        <v/>
      </c>
      <c r="DY32" s="377" t="n"/>
      <c r="DZ32" s="377" t="n"/>
      <c r="EA32" s="377" t="n"/>
      <c r="EB32" s="378" t="n"/>
    </row>
    <row r="33" ht="9" customHeight="1" s="337">
      <c r="B33" s="350" t="n"/>
      <c r="C33" s="338" t="n"/>
      <c r="D33" s="380" t="n"/>
      <c r="E33" s="381" t="n"/>
      <c r="F33" s="122" t="inlineStr">
        <is>
          <t>～</t>
        </is>
      </c>
      <c r="G33" s="22" t="n"/>
      <c r="H33" s="381" t="n"/>
      <c r="I33" s="122" t="inlineStr">
        <is>
          <t>～</t>
        </is>
      </c>
      <c r="J33" s="22" t="n"/>
      <c r="K33" s="381" t="n"/>
      <c r="L33" s="122" t="inlineStr">
        <is>
          <t>～</t>
        </is>
      </c>
      <c r="M33" s="22" t="n"/>
      <c r="N33" s="381" t="n"/>
      <c r="O33" s="122" t="inlineStr">
        <is>
          <t>～</t>
        </is>
      </c>
      <c r="P33" s="22" t="n"/>
      <c r="Q33" s="382" t="n"/>
      <c r="R33" s="338" t="n"/>
      <c r="S33" s="380" t="n"/>
      <c r="T33" s="382" t="n"/>
      <c r="U33" s="338" t="n"/>
      <c r="V33" s="380" t="n"/>
      <c r="W33" s="382" t="n"/>
      <c r="X33" s="338" t="n"/>
      <c r="Y33" s="338" t="n"/>
      <c r="Z33" s="338" t="n"/>
      <c r="AA33" s="338" t="n"/>
      <c r="AB33" s="338" t="n"/>
      <c r="AC33" s="338" t="n"/>
      <c r="AD33" s="338" t="n"/>
      <c r="AE33" s="338" t="n"/>
      <c r="AF33" s="338" t="n"/>
      <c r="AG33" s="338" t="n"/>
      <c r="AH33" s="338" t="n"/>
      <c r="AI33" s="338" t="n"/>
      <c r="AJ33" s="338" t="n"/>
      <c r="AK33" s="338" t="n"/>
      <c r="AL33" s="338" t="n"/>
      <c r="AM33" s="338" t="n"/>
      <c r="AN33" s="338" t="n"/>
      <c r="AO33" s="338" t="n"/>
      <c r="AP33" s="338" t="n"/>
      <c r="AQ33" s="338" t="n"/>
      <c r="AR33" s="338" t="n"/>
      <c r="AS33" s="338" t="n"/>
      <c r="AT33" s="338" t="n"/>
      <c r="AU33" s="338" t="n"/>
      <c r="AV33" s="338" t="n"/>
      <c r="AW33" s="338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8" t="n"/>
      <c r="BH33" s="338" t="n"/>
      <c r="BI33" s="338" t="n"/>
      <c r="BJ33" s="338" t="n"/>
      <c r="BK33" s="338" t="n"/>
      <c r="BL33" s="338" t="n"/>
      <c r="BM33" s="338" t="n"/>
      <c r="BN33" s="338" t="n"/>
      <c r="BO33" s="338" t="n"/>
      <c r="BP33" s="338" t="n"/>
      <c r="BQ33" s="338" t="n"/>
      <c r="BR33" s="338" t="n"/>
      <c r="BS33" s="338" t="n"/>
      <c r="BT33" s="338" t="n"/>
      <c r="BU33" s="338" t="n"/>
      <c r="BV33" s="338" t="n"/>
      <c r="BW33" s="338" t="n"/>
      <c r="BX33" s="338" t="n"/>
      <c r="BY33" s="338" t="n"/>
      <c r="BZ33" s="338" t="n"/>
      <c r="CA33" s="338" t="n"/>
      <c r="CB33" s="338" t="n"/>
      <c r="CC33" s="383" t="n"/>
      <c r="CF33" s="253" t="inlineStr">
        <is>
          <t>時間内</t>
        </is>
      </c>
      <c r="CG33" s="384" t="n"/>
      <c r="CH33" s="384" t="n"/>
      <c r="CI33" s="385" t="n"/>
      <c r="CJ33" s="386">
        <f>IF(Q32="作業者1",H35-H32,0)</f>
        <v/>
      </c>
      <c r="CK33" s="387" t="n"/>
      <c r="CL33" s="387" t="n"/>
      <c r="CM33" s="387" t="n"/>
      <c r="CN33" s="388" t="n"/>
      <c r="CP33" s="253" t="inlineStr">
        <is>
          <t>時間内</t>
        </is>
      </c>
      <c r="CQ33" s="384" t="n"/>
      <c r="CR33" s="384" t="n"/>
      <c r="CS33" s="385" t="n"/>
      <c r="CT33" s="386">
        <f>IF(Q32="作業者2",H35-H32,0)</f>
        <v/>
      </c>
      <c r="CU33" s="387" t="n"/>
      <c r="CV33" s="387" t="n"/>
      <c r="CW33" s="387" t="n"/>
      <c r="CX33" s="388" t="n"/>
      <c r="CZ33" s="253" t="inlineStr">
        <is>
          <t>時間内</t>
        </is>
      </c>
      <c r="DA33" s="384" t="n"/>
      <c r="DB33" s="384" t="n"/>
      <c r="DC33" s="385" t="n"/>
      <c r="DD33" s="386">
        <f>IF(Q32="作業者3",H35-H32,0)</f>
        <v/>
      </c>
      <c r="DE33" s="387" t="n"/>
      <c r="DF33" s="387" t="n"/>
      <c r="DG33" s="387" t="n"/>
      <c r="DH33" s="388" t="n"/>
      <c r="DJ33" s="253" t="inlineStr">
        <is>
          <t>時間内</t>
        </is>
      </c>
      <c r="DK33" s="384" t="n"/>
      <c r="DL33" s="384" t="n"/>
      <c r="DM33" s="385" t="n"/>
      <c r="DN33" s="386">
        <f>IF(Q32="作業者4",H35-H32,0)</f>
        <v/>
      </c>
      <c r="DO33" s="387" t="n"/>
      <c r="DP33" s="387" t="n"/>
      <c r="DQ33" s="387" t="n"/>
      <c r="DR33" s="388" t="n"/>
      <c r="DT33" s="253" t="inlineStr">
        <is>
          <t>時間内</t>
        </is>
      </c>
      <c r="DU33" s="384" t="n"/>
      <c r="DV33" s="384" t="n"/>
      <c r="DW33" s="385" t="n"/>
      <c r="DX33" s="386">
        <f>IF(Q32="作業者5",H35-H32,0)</f>
        <v/>
      </c>
      <c r="DY33" s="387" t="n"/>
      <c r="DZ33" s="387" t="n"/>
      <c r="EA33" s="387" t="n"/>
      <c r="EB33" s="388" t="n"/>
    </row>
    <row r="34" ht="9" customHeight="1" s="337">
      <c r="B34" s="350" t="n"/>
      <c r="C34" s="338" t="n"/>
      <c r="D34" s="380" t="n"/>
      <c r="E34" s="23" t="n"/>
      <c r="F34" s="338" t="n"/>
      <c r="G34" s="24" t="n"/>
      <c r="H34" s="23" t="n"/>
      <c r="I34" s="338" t="n"/>
      <c r="J34" s="24" t="n"/>
      <c r="K34" s="23" t="n"/>
      <c r="L34" s="338" t="n"/>
      <c r="M34" s="24" t="n"/>
      <c r="N34" s="23" t="n"/>
      <c r="O34" s="338" t="n"/>
      <c r="P34" s="24" t="n"/>
      <c r="Q34" s="382" t="n"/>
      <c r="R34" s="338" t="n"/>
      <c r="S34" s="380" t="n"/>
      <c r="T34" s="382" t="n"/>
      <c r="U34" s="338" t="n"/>
      <c r="V34" s="380" t="n"/>
      <c r="W34" s="382" t="n"/>
      <c r="X34" s="338" t="n"/>
      <c r="Y34" s="338" t="n"/>
      <c r="Z34" s="338" t="n"/>
      <c r="AA34" s="338" t="n"/>
      <c r="AB34" s="338" t="n"/>
      <c r="AC34" s="338" t="n"/>
      <c r="AD34" s="338" t="n"/>
      <c r="AE34" s="338" t="n"/>
      <c r="AF34" s="338" t="n"/>
      <c r="AG34" s="338" t="n"/>
      <c r="AH34" s="338" t="n"/>
      <c r="AI34" s="338" t="n"/>
      <c r="AJ34" s="338" t="n"/>
      <c r="AK34" s="338" t="n"/>
      <c r="AL34" s="338" t="n"/>
      <c r="AM34" s="338" t="n"/>
      <c r="AN34" s="338" t="n"/>
      <c r="AO34" s="338" t="n"/>
      <c r="AP34" s="338" t="n"/>
      <c r="AQ34" s="338" t="n"/>
      <c r="AR34" s="338" t="n"/>
      <c r="AS34" s="338" t="n"/>
      <c r="AT34" s="338" t="n"/>
      <c r="AU34" s="338" t="n"/>
      <c r="AV34" s="338" t="n"/>
      <c r="AW34" s="338" t="n"/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8" t="n"/>
      <c r="BH34" s="338" t="n"/>
      <c r="BI34" s="338" t="n"/>
      <c r="BJ34" s="338" t="n"/>
      <c r="BK34" s="338" t="n"/>
      <c r="BL34" s="338" t="n"/>
      <c r="BM34" s="338" t="n"/>
      <c r="BN34" s="338" t="n"/>
      <c r="BO34" s="338" t="n"/>
      <c r="BP34" s="338" t="n"/>
      <c r="BQ34" s="338" t="n"/>
      <c r="BR34" s="338" t="n"/>
      <c r="BS34" s="338" t="n"/>
      <c r="BT34" s="338" t="n"/>
      <c r="BU34" s="338" t="n"/>
      <c r="BV34" s="338" t="n"/>
      <c r="BW34" s="338" t="n"/>
      <c r="BX34" s="338" t="n"/>
      <c r="BY34" s="338" t="n"/>
      <c r="BZ34" s="338" t="n"/>
      <c r="CA34" s="338" t="n"/>
      <c r="CB34" s="338" t="n"/>
      <c r="CC34" s="383" t="n"/>
      <c r="CF34" s="253" t="inlineStr">
        <is>
          <t>時間外</t>
        </is>
      </c>
      <c r="CG34" s="384" t="n"/>
      <c r="CH34" s="384" t="n"/>
      <c r="CI34" s="385" t="n"/>
      <c r="CJ34" s="386">
        <f>IF(Q32="作業者1",K35-K32,0)</f>
        <v/>
      </c>
      <c r="CK34" s="387" t="n"/>
      <c r="CL34" s="387" t="n"/>
      <c r="CM34" s="387" t="n"/>
      <c r="CN34" s="388" t="n"/>
      <c r="CP34" s="253" t="inlineStr">
        <is>
          <t>時間外</t>
        </is>
      </c>
      <c r="CQ34" s="384" t="n"/>
      <c r="CR34" s="384" t="n"/>
      <c r="CS34" s="385" t="n"/>
      <c r="CT34" s="386">
        <f>IF(Q32="作業者2",K35-K32,0)</f>
        <v/>
      </c>
      <c r="CU34" s="387" t="n"/>
      <c r="CV34" s="387" t="n"/>
      <c r="CW34" s="387" t="n"/>
      <c r="CX34" s="388" t="n"/>
      <c r="CZ34" s="253" t="inlineStr">
        <is>
          <t>時間外</t>
        </is>
      </c>
      <c r="DA34" s="384" t="n"/>
      <c r="DB34" s="384" t="n"/>
      <c r="DC34" s="385" t="n"/>
      <c r="DD34" s="386">
        <f>IF(Q32="作業者3",K35-K32,0)</f>
        <v/>
      </c>
      <c r="DE34" s="387" t="n"/>
      <c r="DF34" s="387" t="n"/>
      <c r="DG34" s="387" t="n"/>
      <c r="DH34" s="388" t="n"/>
      <c r="DJ34" s="253" t="inlineStr">
        <is>
          <t>時間外</t>
        </is>
      </c>
      <c r="DK34" s="384" t="n"/>
      <c r="DL34" s="384" t="n"/>
      <c r="DM34" s="385" t="n"/>
      <c r="DN34" s="386">
        <f>IF(Q32="作業者4",K35-K32,0)</f>
        <v/>
      </c>
      <c r="DO34" s="387" t="n"/>
      <c r="DP34" s="387" t="n"/>
      <c r="DQ34" s="387" t="n"/>
      <c r="DR34" s="388" t="n"/>
      <c r="DT34" s="253" t="inlineStr">
        <is>
          <t>時間外</t>
        </is>
      </c>
      <c r="DU34" s="384" t="n"/>
      <c r="DV34" s="384" t="n"/>
      <c r="DW34" s="385" t="n"/>
      <c r="DX34" s="386">
        <f>IF(Q32="作業者5",K35-K32,0)</f>
        <v/>
      </c>
      <c r="DY34" s="387" t="n"/>
      <c r="DZ34" s="387" t="n"/>
      <c r="EA34" s="387" t="n"/>
      <c r="EB34" s="388" t="n"/>
    </row>
    <row r="35" ht="9" customHeight="1" s="337">
      <c r="B35" s="389" t="n"/>
      <c r="C35" s="390" t="n"/>
      <c r="D35" s="391" t="n"/>
      <c r="E35" s="392" t="n"/>
      <c r="F35" s="390" t="n"/>
      <c r="G35" s="391" t="n"/>
      <c r="H35" s="392" t="n"/>
      <c r="I35" s="390" t="n"/>
      <c r="J35" s="391" t="n"/>
      <c r="K35" s="392" t="n"/>
      <c r="L35" s="390" t="n"/>
      <c r="M35" s="391" t="n"/>
      <c r="N35" s="392" t="n"/>
      <c r="O35" s="390" t="n"/>
      <c r="P35" s="391" t="n"/>
      <c r="Q35" s="393" t="n"/>
      <c r="R35" s="390" t="n"/>
      <c r="S35" s="391" t="n"/>
      <c r="T35" s="393" t="n"/>
      <c r="U35" s="390" t="n"/>
      <c r="V35" s="391" t="n"/>
      <c r="W35" s="393" t="n"/>
      <c r="X35" s="390" t="n"/>
      <c r="Y35" s="390" t="n"/>
      <c r="Z35" s="390" t="n"/>
      <c r="AA35" s="390" t="n"/>
      <c r="AB35" s="390" t="n"/>
      <c r="AC35" s="390" t="n"/>
      <c r="AD35" s="390" t="n"/>
      <c r="AE35" s="390" t="n"/>
      <c r="AF35" s="390" t="n"/>
      <c r="AG35" s="390" t="n"/>
      <c r="AH35" s="390" t="n"/>
      <c r="AI35" s="390" t="n"/>
      <c r="AJ35" s="390" t="n"/>
      <c r="AK35" s="390" t="n"/>
      <c r="AL35" s="390" t="n"/>
      <c r="AM35" s="390" t="n"/>
      <c r="AN35" s="390" t="n"/>
      <c r="AO35" s="390" t="n"/>
      <c r="AP35" s="390" t="n"/>
      <c r="AQ35" s="390" t="n"/>
      <c r="AR35" s="390" t="n"/>
      <c r="AS35" s="390" t="n"/>
      <c r="AT35" s="390" t="n"/>
      <c r="AU35" s="390" t="n"/>
      <c r="AV35" s="390" t="n"/>
      <c r="AW35" s="390" t="n"/>
      <c r="AX35" s="390" t="n"/>
      <c r="AY35" s="390" t="n"/>
      <c r="AZ35" s="390" t="n"/>
      <c r="BA35" s="390" t="n"/>
      <c r="BB35" s="390" t="n"/>
      <c r="BC35" s="390" t="n"/>
      <c r="BD35" s="390" t="n"/>
      <c r="BE35" s="390" t="n"/>
      <c r="BF35" s="390" t="n"/>
      <c r="BG35" s="390" t="n"/>
      <c r="BH35" s="390" t="n"/>
      <c r="BI35" s="390" t="n"/>
      <c r="BJ35" s="390" t="n"/>
      <c r="BK35" s="390" t="n"/>
      <c r="BL35" s="390" t="n"/>
      <c r="BM35" s="390" t="n"/>
      <c r="BN35" s="390" t="n"/>
      <c r="BO35" s="390" t="n"/>
      <c r="BP35" s="390" t="n"/>
      <c r="BQ35" s="390" t="n"/>
      <c r="BR35" s="390" t="n"/>
      <c r="BS35" s="390" t="n"/>
      <c r="BT35" s="390" t="n"/>
      <c r="BU35" s="390" t="n"/>
      <c r="BV35" s="390" t="n"/>
      <c r="BW35" s="390" t="n"/>
      <c r="BX35" s="390" t="n"/>
      <c r="BY35" s="390" t="n"/>
      <c r="BZ35" s="390" t="n"/>
      <c r="CA35" s="390" t="n"/>
      <c r="CB35" s="390" t="n"/>
      <c r="CC35" s="394" t="n"/>
      <c r="CF35" s="254" t="inlineStr">
        <is>
          <t>休日</t>
        </is>
      </c>
      <c r="CG35" s="395" t="n"/>
      <c r="CH35" s="395" t="n"/>
      <c r="CI35" s="396" t="n"/>
      <c r="CJ35" s="397">
        <f>IF(Q32="作業者1",N35-N32,0)</f>
        <v/>
      </c>
      <c r="CK35" s="395" t="n"/>
      <c r="CL35" s="395" t="n"/>
      <c r="CM35" s="395" t="n"/>
      <c r="CN35" s="396" t="n"/>
      <c r="CP35" s="254" t="inlineStr">
        <is>
          <t>休日</t>
        </is>
      </c>
      <c r="CQ35" s="395" t="n"/>
      <c r="CR35" s="395" t="n"/>
      <c r="CS35" s="396" t="n"/>
      <c r="CT35" s="397">
        <f>IF(Q32="作業者2",N35-N32,0)</f>
        <v/>
      </c>
      <c r="CU35" s="395" t="n"/>
      <c r="CV35" s="395" t="n"/>
      <c r="CW35" s="395" t="n"/>
      <c r="CX35" s="396" t="n"/>
      <c r="CZ35" s="254" t="inlineStr">
        <is>
          <t>休日</t>
        </is>
      </c>
      <c r="DA35" s="395" t="n"/>
      <c r="DB35" s="395" t="n"/>
      <c r="DC35" s="396" t="n"/>
      <c r="DD35" s="397">
        <f>IF(Q32="作業者3",N35-N32,0)</f>
        <v/>
      </c>
      <c r="DE35" s="395" t="n"/>
      <c r="DF35" s="395" t="n"/>
      <c r="DG35" s="395" t="n"/>
      <c r="DH35" s="396" t="n"/>
      <c r="DJ35" s="254" t="inlineStr">
        <is>
          <t>休日</t>
        </is>
      </c>
      <c r="DK35" s="395" t="n"/>
      <c r="DL35" s="395" t="n"/>
      <c r="DM35" s="396" t="n"/>
      <c r="DN35" s="397">
        <f>IF(Q32="作業者4",N35-N32,0)</f>
        <v/>
      </c>
      <c r="DO35" s="395" t="n"/>
      <c r="DP35" s="395" t="n"/>
      <c r="DQ35" s="395" t="n"/>
      <c r="DR35" s="396" t="n"/>
      <c r="DT35" s="254" t="inlineStr">
        <is>
          <t>休日</t>
        </is>
      </c>
      <c r="DU35" s="395" t="n"/>
      <c r="DV35" s="395" t="n"/>
      <c r="DW35" s="396" t="n"/>
      <c r="DX35" s="397">
        <f>IF(Q32="作業者5",N35-N32,0)</f>
        <v/>
      </c>
      <c r="DY35" s="395" t="n"/>
      <c r="DZ35" s="395" t="n"/>
      <c r="EA35" s="395" t="n"/>
      <c r="EB35" s="396" t="n"/>
    </row>
    <row r="36" ht="9" customHeight="1" s="337">
      <c r="B36" s="398" t="n"/>
      <c r="C36" s="372" t="n"/>
      <c r="D36" s="373" t="n"/>
      <c r="E36" s="399" t="n"/>
      <c r="F36" s="372" t="n"/>
      <c r="G36" s="373" t="n"/>
      <c r="H36" s="399" t="n"/>
      <c r="I36" s="372" t="n"/>
      <c r="J36" s="373" t="n"/>
      <c r="K36" s="399" t="n"/>
      <c r="L36" s="372" t="n"/>
      <c r="M36" s="373" t="n"/>
      <c r="N36" s="399" t="n"/>
      <c r="O36" s="372" t="n"/>
      <c r="P36" s="373" t="n"/>
      <c r="Q36" s="371" t="n"/>
      <c r="R36" s="372" t="n"/>
      <c r="S36" s="373" t="n"/>
      <c r="T36" s="371" t="n"/>
      <c r="U36" s="372" t="n"/>
      <c r="V36" s="373" t="n"/>
      <c r="W36" s="443" t="n"/>
      <c r="X36" s="372" t="n"/>
      <c r="Y36" s="372" t="n"/>
      <c r="Z36" s="372" t="n"/>
      <c r="AA36" s="372" t="n"/>
      <c r="AB36" s="372" t="n"/>
      <c r="AC36" s="372" t="n"/>
      <c r="AD36" s="372" t="n"/>
      <c r="AE36" s="372" t="n"/>
      <c r="AF36" s="372" t="n"/>
      <c r="AG36" s="372" t="n"/>
      <c r="AH36" s="372" t="n"/>
      <c r="AI36" s="372" t="n"/>
      <c r="AJ36" s="372" t="n"/>
      <c r="AK36" s="372" t="n"/>
      <c r="AL36" s="372" t="n"/>
      <c r="AM36" s="372" t="n"/>
      <c r="AN36" s="372" t="n"/>
      <c r="AO36" s="372" t="n"/>
      <c r="AP36" s="372" t="n"/>
      <c r="AQ36" s="372" t="n"/>
      <c r="AR36" s="372" t="n"/>
      <c r="AS36" s="372" t="n"/>
      <c r="AT36" s="372" t="n"/>
      <c r="AU36" s="372" t="n"/>
      <c r="AV36" s="372" t="n"/>
      <c r="AW36" s="372" t="n"/>
      <c r="AX36" s="372" t="n"/>
      <c r="AY36" s="372" t="n"/>
      <c r="AZ36" s="372" t="n"/>
      <c r="BA36" s="372" t="n"/>
      <c r="BB36" s="372" t="n"/>
      <c r="BC36" s="372" t="n"/>
      <c r="BD36" s="372" t="n"/>
      <c r="BE36" s="372" t="n"/>
      <c r="BF36" s="372" t="n"/>
      <c r="BG36" s="372" t="n"/>
      <c r="BH36" s="372" t="n"/>
      <c r="BI36" s="372" t="n"/>
      <c r="BJ36" s="372" t="n"/>
      <c r="BK36" s="372" t="n"/>
      <c r="BL36" s="372" t="n"/>
      <c r="BM36" s="372" t="n"/>
      <c r="BN36" s="372" t="n"/>
      <c r="BO36" s="372" t="n"/>
      <c r="BP36" s="372" t="n"/>
      <c r="BQ36" s="372" t="n"/>
      <c r="BR36" s="372" t="n"/>
      <c r="BS36" s="372" t="n"/>
      <c r="BT36" s="372" t="n"/>
      <c r="BU36" s="372" t="n"/>
      <c r="BV36" s="372" t="n"/>
      <c r="BW36" s="372" t="n"/>
      <c r="BX36" s="372" t="n"/>
      <c r="BY36" s="372" t="n"/>
      <c r="BZ36" s="372" t="n"/>
      <c r="CA36" s="372" t="n"/>
      <c r="CB36" s="372" t="n"/>
      <c r="CC36" s="402" t="n"/>
      <c r="CF36" s="248" t="inlineStr">
        <is>
          <t>移動</t>
        </is>
      </c>
      <c r="CG36" s="377" t="n"/>
      <c r="CH36" s="377" t="n"/>
      <c r="CI36" s="378" t="n"/>
      <c r="CJ36" s="379">
        <f>IF(Q36="作業者1",E39-E36,0)</f>
        <v/>
      </c>
      <c r="CK36" s="377" t="n"/>
      <c r="CL36" s="377" t="n"/>
      <c r="CM36" s="377" t="n"/>
      <c r="CN36" s="378" t="n"/>
      <c r="CP36" s="248" t="inlineStr">
        <is>
          <t>移動</t>
        </is>
      </c>
      <c r="CQ36" s="377" t="n"/>
      <c r="CR36" s="377" t="n"/>
      <c r="CS36" s="378" t="n"/>
      <c r="CT36" s="379">
        <f>IF(Q36="作業者2",E39-E36,0)</f>
        <v/>
      </c>
      <c r="CU36" s="377" t="n"/>
      <c r="CV36" s="377" t="n"/>
      <c r="CW36" s="377" t="n"/>
      <c r="CX36" s="378" t="n"/>
      <c r="CZ36" s="259" t="inlineStr">
        <is>
          <t>移動</t>
        </is>
      </c>
      <c r="DA36" s="403" t="n"/>
      <c r="DB36" s="403" t="n"/>
      <c r="DC36" s="404" t="n"/>
      <c r="DD36" s="405">
        <f>IF(Q36="作業者3",E39-E36,0)</f>
        <v/>
      </c>
      <c r="DE36" s="406" t="n"/>
      <c r="DF36" s="406" t="n"/>
      <c r="DG36" s="406" t="n"/>
      <c r="DH36" s="407" t="n"/>
      <c r="DJ36" s="259" t="inlineStr">
        <is>
          <t>移動</t>
        </is>
      </c>
      <c r="DK36" s="403" t="n"/>
      <c r="DL36" s="403" t="n"/>
      <c r="DM36" s="404" t="n"/>
      <c r="DN36" s="379">
        <f>IF(Q36="作業者4",E39-E36,0)</f>
        <v/>
      </c>
      <c r="DO36" s="377" t="n"/>
      <c r="DP36" s="377" t="n"/>
      <c r="DQ36" s="377" t="n"/>
      <c r="DR36" s="378" t="n"/>
      <c r="DT36" s="259" t="inlineStr">
        <is>
          <t>移動</t>
        </is>
      </c>
      <c r="DU36" s="403" t="n"/>
      <c r="DV36" s="403" t="n"/>
      <c r="DW36" s="404" t="n"/>
      <c r="DX36" s="379">
        <f>IF(Q36="作業者5",E39-E36,0)</f>
        <v/>
      </c>
      <c r="DY36" s="377" t="n"/>
      <c r="DZ36" s="377" t="n"/>
      <c r="EA36" s="377" t="n"/>
      <c r="EB36" s="378" t="n"/>
    </row>
    <row r="37" ht="9" customHeight="1" s="337">
      <c r="B37" s="350" t="n"/>
      <c r="C37" s="338" t="n"/>
      <c r="D37" s="380" t="n"/>
      <c r="E37" s="381" t="n"/>
      <c r="F37" s="122" t="inlineStr">
        <is>
          <t>～</t>
        </is>
      </c>
      <c r="G37" s="22" t="n"/>
      <c r="H37" s="381" t="n"/>
      <c r="I37" s="122" t="inlineStr">
        <is>
          <t>～</t>
        </is>
      </c>
      <c r="J37" s="22" t="n"/>
      <c r="K37" s="381" t="n"/>
      <c r="L37" s="122" t="inlineStr">
        <is>
          <t>～</t>
        </is>
      </c>
      <c r="M37" s="22" t="n"/>
      <c r="N37" s="381" t="n"/>
      <c r="O37" s="122" t="inlineStr">
        <is>
          <t>～</t>
        </is>
      </c>
      <c r="P37" s="22" t="n"/>
      <c r="Q37" s="382" t="n"/>
      <c r="R37" s="338" t="n"/>
      <c r="S37" s="380" t="n"/>
      <c r="T37" s="382" t="n"/>
      <c r="U37" s="338" t="n"/>
      <c r="V37" s="380" t="n"/>
      <c r="W37" s="382" t="n"/>
      <c r="X37" s="338" t="n"/>
      <c r="Y37" s="338" t="n"/>
      <c r="Z37" s="338" t="n"/>
      <c r="AA37" s="338" t="n"/>
      <c r="AB37" s="338" t="n"/>
      <c r="AC37" s="338" t="n"/>
      <c r="AD37" s="338" t="n"/>
      <c r="AE37" s="338" t="n"/>
      <c r="AF37" s="338" t="n"/>
      <c r="AG37" s="338" t="n"/>
      <c r="AH37" s="338" t="n"/>
      <c r="AI37" s="338" t="n"/>
      <c r="AJ37" s="338" t="n"/>
      <c r="AK37" s="338" t="n"/>
      <c r="AL37" s="338" t="n"/>
      <c r="AM37" s="338" t="n"/>
      <c r="AN37" s="338" t="n"/>
      <c r="AO37" s="338" t="n"/>
      <c r="AP37" s="338" t="n"/>
      <c r="AQ37" s="338" t="n"/>
      <c r="AR37" s="338" t="n"/>
      <c r="AS37" s="338" t="n"/>
      <c r="AT37" s="338" t="n"/>
      <c r="AU37" s="338" t="n"/>
      <c r="AV37" s="338" t="n"/>
      <c r="AW37" s="338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8" t="n"/>
      <c r="BH37" s="338" t="n"/>
      <c r="BI37" s="338" t="n"/>
      <c r="BJ37" s="338" t="n"/>
      <c r="BK37" s="338" t="n"/>
      <c r="BL37" s="338" t="n"/>
      <c r="BM37" s="338" t="n"/>
      <c r="BN37" s="338" t="n"/>
      <c r="BO37" s="338" t="n"/>
      <c r="BP37" s="338" t="n"/>
      <c r="BQ37" s="338" t="n"/>
      <c r="BR37" s="338" t="n"/>
      <c r="BS37" s="338" t="n"/>
      <c r="BT37" s="338" t="n"/>
      <c r="BU37" s="338" t="n"/>
      <c r="BV37" s="338" t="n"/>
      <c r="BW37" s="338" t="n"/>
      <c r="BX37" s="338" t="n"/>
      <c r="BY37" s="338" t="n"/>
      <c r="BZ37" s="338" t="n"/>
      <c r="CA37" s="338" t="n"/>
      <c r="CB37" s="338" t="n"/>
      <c r="CC37" s="383" t="n"/>
      <c r="CF37" s="253" t="inlineStr">
        <is>
          <t>時間内</t>
        </is>
      </c>
      <c r="CG37" s="384" t="n"/>
      <c r="CH37" s="384" t="n"/>
      <c r="CI37" s="385" t="n"/>
      <c r="CJ37" s="386">
        <f>IF(Q36="作業者1",H39-H36,0)</f>
        <v/>
      </c>
      <c r="CK37" s="387" t="n"/>
      <c r="CL37" s="387" t="n"/>
      <c r="CM37" s="387" t="n"/>
      <c r="CN37" s="388" t="n"/>
      <c r="CP37" s="253" t="inlineStr">
        <is>
          <t>時間内</t>
        </is>
      </c>
      <c r="CQ37" s="384" t="n"/>
      <c r="CR37" s="384" t="n"/>
      <c r="CS37" s="385" t="n"/>
      <c r="CT37" s="386">
        <f>IF(Q36="作業者2",H39-H36,0)</f>
        <v/>
      </c>
      <c r="CU37" s="387" t="n"/>
      <c r="CV37" s="387" t="n"/>
      <c r="CW37" s="387" t="n"/>
      <c r="CX37" s="388" t="n"/>
      <c r="CZ37" s="253" t="inlineStr">
        <is>
          <t>時間内</t>
        </is>
      </c>
      <c r="DA37" s="384" t="n"/>
      <c r="DB37" s="384" t="n"/>
      <c r="DC37" s="385" t="n"/>
      <c r="DD37" s="386">
        <f>IF(Q36="作業者3",H39-H36,0)</f>
        <v/>
      </c>
      <c r="DE37" s="387" t="n"/>
      <c r="DF37" s="387" t="n"/>
      <c r="DG37" s="387" t="n"/>
      <c r="DH37" s="388" t="n"/>
      <c r="DJ37" s="253" t="inlineStr">
        <is>
          <t>時間内</t>
        </is>
      </c>
      <c r="DK37" s="384" t="n"/>
      <c r="DL37" s="384" t="n"/>
      <c r="DM37" s="385" t="n"/>
      <c r="DN37" s="386">
        <f>IF(Q36="作業者4",H39-H36,0)</f>
        <v/>
      </c>
      <c r="DO37" s="387" t="n"/>
      <c r="DP37" s="387" t="n"/>
      <c r="DQ37" s="387" t="n"/>
      <c r="DR37" s="388" t="n"/>
      <c r="DT37" s="253" t="inlineStr">
        <is>
          <t>時間内</t>
        </is>
      </c>
      <c r="DU37" s="384" t="n"/>
      <c r="DV37" s="384" t="n"/>
      <c r="DW37" s="385" t="n"/>
      <c r="DX37" s="386">
        <f>IF(Q36="作業者5",H39-H36,0)</f>
        <v/>
      </c>
      <c r="DY37" s="387" t="n"/>
      <c r="DZ37" s="387" t="n"/>
      <c r="EA37" s="387" t="n"/>
      <c r="EB37" s="388" t="n"/>
    </row>
    <row r="38" ht="9" customHeight="1" s="337">
      <c r="B38" s="350" t="n"/>
      <c r="C38" s="338" t="n"/>
      <c r="D38" s="380" t="n"/>
      <c r="E38" s="23" t="n"/>
      <c r="F38" s="338" t="n"/>
      <c r="G38" s="24" t="n"/>
      <c r="H38" s="23" t="n"/>
      <c r="I38" s="338" t="n"/>
      <c r="J38" s="24" t="n"/>
      <c r="K38" s="23" t="n"/>
      <c r="L38" s="338" t="n"/>
      <c r="M38" s="24" t="n"/>
      <c r="N38" s="23" t="n"/>
      <c r="O38" s="338" t="n"/>
      <c r="P38" s="24" t="n"/>
      <c r="Q38" s="382" t="n"/>
      <c r="R38" s="338" t="n"/>
      <c r="S38" s="380" t="n"/>
      <c r="T38" s="382" t="n"/>
      <c r="U38" s="338" t="n"/>
      <c r="V38" s="380" t="n"/>
      <c r="W38" s="382" t="n"/>
      <c r="X38" s="338" t="n"/>
      <c r="Y38" s="338" t="n"/>
      <c r="Z38" s="338" t="n"/>
      <c r="AA38" s="338" t="n"/>
      <c r="AB38" s="338" t="n"/>
      <c r="AC38" s="338" t="n"/>
      <c r="AD38" s="338" t="n"/>
      <c r="AE38" s="338" t="n"/>
      <c r="AF38" s="338" t="n"/>
      <c r="AG38" s="338" t="n"/>
      <c r="AH38" s="338" t="n"/>
      <c r="AI38" s="338" t="n"/>
      <c r="AJ38" s="338" t="n"/>
      <c r="AK38" s="338" t="n"/>
      <c r="AL38" s="338" t="n"/>
      <c r="AM38" s="338" t="n"/>
      <c r="AN38" s="338" t="n"/>
      <c r="AO38" s="338" t="n"/>
      <c r="AP38" s="338" t="n"/>
      <c r="AQ38" s="338" t="n"/>
      <c r="AR38" s="338" t="n"/>
      <c r="AS38" s="338" t="n"/>
      <c r="AT38" s="338" t="n"/>
      <c r="AU38" s="338" t="n"/>
      <c r="AV38" s="338" t="n"/>
      <c r="AW38" s="338" t="n"/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8" t="n"/>
      <c r="BH38" s="338" t="n"/>
      <c r="BI38" s="338" t="n"/>
      <c r="BJ38" s="338" t="n"/>
      <c r="BK38" s="338" t="n"/>
      <c r="BL38" s="338" t="n"/>
      <c r="BM38" s="338" t="n"/>
      <c r="BN38" s="338" t="n"/>
      <c r="BO38" s="338" t="n"/>
      <c r="BP38" s="338" t="n"/>
      <c r="BQ38" s="338" t="n"/>
      <c r="BR38" s="338" t="n"/>
      <c r="BS38" s="338" t="n"/>
      <c r="BT38" s="338" t="n"/>
      <c r="BU38" s="338" t="n"/>
      <c r="BV38" s="338" t="n"/>
      <c r="BW38" s="338" t="n"/>
      <c r="BX38" s="338" t="n"/>
      <c r="BY38" s="338" t="n"/>
      <c r="BZ38" s="338" t="n"/>
      <c r="CA38" s="338" t="n"/>
      <c r="CB38" s="338" t="n"/>
      <c r="CC38" s="383" t="n"/>
      <c r="CF38" s="253" t="inlineStr">
        <is>
          <t>時間外</t>
        </is>
      </c>
      <c r="CG38" s="384" t="n"/>
      <c r="CH38" s="384" t="n"/>
      <c r="CI38" s="385" t="n"/>
      <c r="CJ38" s="386">
        <f>IF(Q36="作業者1",K39-K36,0)</f>
        <v/>
      </c>
      <c r="CK38" s="387" t="n"/>
      <c r="CL38" s="387" t="n"/>
      <c r="CM38" s="387" t="n"/>
      <c r="CN38" s="388" t="n"/>
      <c r="CP38" s="253" t="inlineStr">
        <is>
          <t>時間外</t>
        </is>
      </c>
      <c r="CQ38" s="384" t="n"/>
      <c r="CR38" s="384" t="n"/>
      <c r="CS38" s="385" t="n"/>
      <c r="CT38" s="386">
        <f>IF(Q36="作業者2",K39-K36,0)</f>
        <v/>
      </c>
      <c r="CU38" s="387" t="n"/>
      <c r="CV38" s="387" t="n"/>
      <c r="CW38" s="387" t="n"/>
      <c r="CX38" s="388" t="n"/>
      <c r="CZ38" s="253" t="inlineStr">
        <is>
          <t>時間外</t>
        </is>
      </c>
      <c r="DA38" s="384" t="n"/>
      <c r="DB38" s="384" t="n"/>
      <c r="DC38" s="385" t="n"/>
      <c r="DD38" s="386">
        <f>IF(Q36="作業者3",K39-K36,0)</f>
        <v/>
      </c>
      <c r="DE38" s="387" t="n"/>
      <c r="DF38" s="387" t="n"/>
      <c r="DG38" s="387" t="n"/>
      <c r="DH38" s="388" t="n"/>
      <c r="DJ38" s="253" t="inlineStr">
        <is>
          <t>時間外</t>
        </is>
      </c>
      <c r="DK38" s="384" t="n"/>
      <c r="DL38" s="384" t="n"/>
      <c r="DM38" s="385" t="n"/>
      <c r="DN38" s="386">
        <f>IF(Q36="作業者4",K39-K36,0)</f>
        <v/>
      </c>
      <c r="DO38" s="387" t="n"/>
      <c r="DP38" s="387" t="n"/>
      <c r="DQ38" s="387" t="n"/>
      <c r="DR38" s="388" t="n"/>
      <c r="DT38" s="253" t="inlineStr">
        <is>
          <t>時間外</t>
        </is>
      </c>
      <c r="DU38" s="384" t="n"/>
      <c r="DV38" s="384" t="n"/>
      <c r="DW38" s="385" t="n"/>
      <c r="DX38" s="386">
        <f>IF(Q36="作業者5",K39-K36,0)</f>
        <v/>
      </c>
      <c r="DY38" s="387" t="n"/>
      <c r="DZ38" s="387" t="n"/>
      <c r="EA38" s="387" t="n"/>
      <c r="EB38" s="388" t="n"/>
    </row>
    <row r="39" ht="9" customHeight="1" s="337">
      <c r="B39" s="389" t="n"/>
      <c r="C39" s="390" t="n"/>
      <c r="D39" s="391" t="n"/>
      <c r="E39" s="392" t="n"/>
      <c r="F39" s="390" t="n"/>
      <c r="G39" s="391" t="n"/>
      <c r="H39" s="392" t="n"/>
      <c r="I39" s="390" t="n"/>
      <c r="J39" s="391" t="n"/>
      <c r="K39" s="392" t="n"/>
      <c r="L39" s="390" t="n"/>
      <c r="M39" s="391" t="n"/>
      <c r="N39" s="392" t="n"/>
      <c r="O39" s="390" t="n"/>
      <c r="P39" s="391" t="n"/>
      <c r="Q39" s="393" t="n"/>
      <c r="R39" s="390" t="n"/>
      <c r="S39" s="391" t="n"/>
      <c r="T39" s="393" t="n"/>
      <c r="U39" s="390" t="n"/>
      <c r="V39" s="391" t="n"/>
      <c r="W39" s="393" t="n"/>
      <c r="X39" s="390" t="n"/>
      <c r="Y39" s="390" t="n"/>
      <c r="Z39" s="390" t="n"/>
      <c r="AA39" s="390" t="n"/>
      <c r="AB39" s="390" t="n"/>
      <c r="AC39" s="390" t="n"/>
      <c r="AD39" s="390" t="n"/>
      <c r="AE39" s="390" t="n"/>
      <c r="AF39" s="390" t="n"/>
      <c r="AG39" s="390" t="n"/>
      <c r="AH39" s="390" t="n"/>
      <c r="AI39" s="390" t="n"/>
      <c r="AJ39" s="390" t="n"/>
      <c r="AK39" s="390" t="n"/>
      <c r="AL39" s="390" t="n"/>
      <c r="AM39" s="390" t="n"/>
      <c r="AN39" s="390" t="n"/>
      <c r="AO39" s="390" t="n"/>
      <c r="AP39" s="390" t="n"/>
      <c r="AQ39" s="390" t="n"/>
      <c r="AR39" s="390" t="n"/>
      <c r="AS39" s="390" t="n"/>
      <c r="AT39" s="390" t="n"/>
      <c r="AU39" s="390" t="n"/>
      <c r="AV39" s="390" t="n"/>
      <c r="AW39" s="390" t="n"/>
      <c r="AX39" s="390" t="n"/>
      <c r="AY39" s="390" t="n"/>
      <c r="AZ39" s="390" t="n"/>
      <c r="BA39" s="390" t="n"/>
      <c r="BB39" s="390" t="n"/>
      <c r="BC39" s="390" t="n"/>
      <c r="BD39" s="390" t="n"/>
      <c r="BE39" s="390" t="n"/>
      <c r="BF39" s="390" t="n"/>
      <c r="BG39" s="390" t="n"/>
      <c r="BH39" s="390" t="n"/>
      <c r="BI39" s="390" t="n"/>
      <c r="BJ39" s="390" t="n"/>
      <c r="BK39" s="390" t="n"/>
      <c r="BL39" s="390" t="n"/>
      <c r="BM39" s="390" t="n"/>
      <c r="BN39" s="390" t="n"/>
      <c r="BO39" s="390" t="n"/>
      <c r="BP39" s="390" t="n"/>
      <c r="BQ39" s="390" t="n"/>
      <c r="BR39" s="390" t="n"/>
      <c r="BS39" s="390" t="n"/>
      <c r="BT39" s="390" t="n"/>
      <c r="BU39" s="390" t="n"/>
      <c r="BV39" s="390" t="n"/>
      <c r="BW39" s="390" t="n"/>
      <c r="BX39" s="390" t="n"/>
      <c r="BY39" s="390" t="n"/>
      <c r="BZ39" s="390" t="n"/>
      <c r="CA39" s="390" t="n"/>
      <c r="CB39" s="390" t="n"/>
      <c r="CC39" s="394" t="n"/>
      <c r="CF39" s="254" t="inlineStr">
        <is>
          <t>休日</t>
        </is>
      </c>
      <c r="CG39" s="395" t="n"/>
      <c r="CH39" s="395" t="n"/>
      <c r="CI39" s="396" t="n"/>
      <c r="CJ39" s="397">
        <f>IF(Q36="作業者1",N39-N36,0)</f>
        <v/>
      </c>
      <c r="CK39" s="395" t="n"/>
      <c r="CL39" s="395" t="n"/>
      <c r="CM39" s="395" t="n"/>
      <c r="CN39" s="396" t="n"/>
      <c r="CP39" s="254" t="inlineStr">
        <is>
          <t>休日</t>
        </is>
      </c>
      <c r="CQ39" s="395" t="n"/>
      <c r="CR39" s="395" t="n"/>
      <c r="CS39" s="396" t="n"/>
      <c r="CT39" s="397">
        <f>IF(Q36="作業者2",N39-N36,0)</f>
        <v/>
      </c>
      <c r="CU39" s="395" t="n"/>
      <c r="CV39" s="395" t="n"/>
      <c r="CW39" s="395" t="n"/>
      <c r="CX39" s="396" t="n"/>
      <c r="CZ39" s="254" t="inlineStr">
        <is>
          <t>休日</t>
        </is>
      </c>
      <c r="DA39" s="395" t="n"/>
      <c r="DB39" s="395" t="n"/>
      <c r="DC39" s="396" t="n"/>
      <c r="DD39" s="397">
        <f>IF(Q36="作業者3",N39-N36,0)</f>
        <v/>
      </c>
      <c r="DE39" s="395" t="n"/>
      <c r="DF39" s="395" t="n"/>
      <c r="DG39" s="395" t="n"/>
      <c r="DH39" s="396" t="n"/>
      <c r="DJ39" s="254" t="inlineStr">
        <is>
          <t>休日</t>
        </is>
      </c>
      <c r="DK39" s="395" t="n"/>
      <c r="DL39" s="395" t="n"/>
      <c r="DM39" s="396" t="n"/>
      <c r="DN39" s="397">
        <f>IF(Q36="作業者4",N39-N36,0)</f>
        <v/>
      </c>
      <c r="DO39" s="395" t="n"/>
      <c r="DP39" s="395" t="n"/>
      <c r="DQ39" s="395" t="n"/>
      <c r="DR39" s="396" t="n"/>
      <c r="DT39" s="254" t="inlineStr">
        <is>
          <t>休日</t>
        </is>
      </c>
      <c r="DU39" s="395" t="n"/>
      <c r="DV39" s="395" t="n"/>
      <c r="DW39" s="396" t="n"/>
      <c r="DX39" s="397">
        <f>IF(Q36="作業者5",N39-N36,0)</f>
        <v/>
      </c>
      <c r="DY39" s="395" t="n"/>
      <c r="DZ39" s="395" t="n"/>
      <c r="EA39" s="395" t="n"/>
      <c r="EB39" s="396" t="n"/>
    </row>
    <row r="40" ht="9" customHeight="1" s="337">
      <c r="B40" s="398" t="n"/>
      <c r="C40" s="372" t="n"/>
      <c r="D40" s="373" t="n"/>
      <c r="E40" s="399" t="n"/>
      <c r="F40" s="372" t="n"/>
      <c r="G40" s="373" t="n"/>
      <c r="H40" s="399" t="n"/>
      <c r="I40" s="372" t="n"/>
      <c r="J40" s="373" t="n"/>
      <c r="K40" s="399" t="n"/>
      <c r="L40" s="372" t="n"/>
      <c r="M40" s="373" t="n"/>
      <c r="N40" s="399" t="n"/>
      <c r="O40" s="372" t="n"/>
      <c r="P40" s="373" t="n"/>
      <c r="Q40" s="371" t="n"/>
      <c r="R40" s="372" t="n"/>
      <c r="S40" s="373" t="n"/>
      <c r="T40" s="371" t="n"/>
      <c r="U40" s="372" t="n"/>
      <c r="V40" s="373" t="n"/>
      <c r="W40" s="443" t="n"/>
      <c r="X40" s="372" t="n"/>
      <c r="Y40" s="372" t="n"/>
      <c r="Z40" s="372" t="n"/>
      <c r="AA40" s="372" t="n"/>
      <c r="AB40" s="372" t="n"/>
      <c r="AC40" s="372" t="n"/>
      <c r="AD40" s="372" t="n"/>
      <c r="AE40" s="372" t="n"/>
      <c r="AF40" s="372" t="n"/>
      <c r="AG40" s="372" t="n"/>
      <c r="AH40" s="372" t="n"/>
      <c r="AI40" s="372" t="n"/>
      <c r="AJ40" s="372" t="n"/>
      <c r="AK40" s="372" t="n"/>
      <c r="AL40" s="372" t="n"/>
      <c r="AM40" s="372" t="n"/>
      <c r="AN40" s="372" t="n"/>
      <c r="AO40" s="372" t="n"/>
      <c r="AP40" s="372" t="n"/>
      <c r="AQ40" s="372" t="n"/>
      <c r="AR40" s="372" t="n"/>
      <c r="AS40" s="372" t="n"/>
      <c r="AT40" s="372" t="n"/>
      <c r="AU40" s="372" t="n"/>
      <c r="AV40" s="372" t="n"/>
      <c r="AW40" s="372" t="n"/>
      <c r="AX40" s="372" t="n"/>
      <c r="AY40" s="372" t="n"/>
      <c r="AZ40" s="372" t="n"/>
      <c r="BA40" s="372" t="n"/>
      <c r="BB40" s="372" t="n"/>
      <c r="BC40" s="372" t="n"/>
      <c r="BD40" s="372" t="n"/>
      <c r="BE40" s="372" t="n"/>
      <c r="BF40" s="372" t="n"/>
      <c r="BG40" s="372" t="n"/>
      <c r="BH40" s="372" t="n"/>
      <c r="BI40" s="372" t="n"/>
      <c r="BJ40" s="372" t="n"/>
      <c r="BK40" s="372" t="n"/>
      <c r="BL40" s="372" t="n"/>
      <c r="BM40" s="372" t="n"/>
      <c r="BN40" s="372" t="n"/>
      <c r="BO40" s="372" t="n"/>
      <c r="BP40" s="372" t="n"/>
      <c r="BQ40" s="372" t="n"/>
      <c r="BR40" s="372" t="n"/>
      <c r="BS40" s="372" t="n"/>
      <c r="BT40" s="372" t="n"/>
      <c r="BU40" s="372" t="n"/>
      <c r="BV40" s="372" t="n"/>
      <c r="BW40" s="372" t="n"/>
      <c r="BX40" s="372" t="n"/>
      <c r="BY40" s="372" t="n"/>
      <c r="BZ40" s="372" t="n"/>
      <c r="CA40" s="372" t="n"/>
      <c r="CB40" s="372" t="n"/>
      <c r="CC40" s="402" t="n"/>
      <c r="CF40" s="248" t="inlineStr">
        <is>
          <t>移動</t>
        </is>
      </c>
      <c r="CG40" s="377" t="n"/>
      <c r="CH40" s="377" t="n"/>
      <c r="CI40" s="378" t="n"/>
      <c r="CJ40" s="379">
        <f>IF(Q40="作業者1",E43-E40,0)</f>
        <v/>
      </c>
      <c r="CK40" s="377" t="n"/>
      <c r="CL40" s="377" t="n"/>
      <c r="CM40" s="377" t="n"/>
      <c r="CN40" s="378" t="n"/>
      <c r="CP40" s="248" t="inlineStr">
        <is>
          <t>移動</t>
        </is>
      </c>
      <c r="CQ40" s="377" t="n"/>
      <c r="CR40" s="377" t="n"/>
      <c r="CS40" s="378" t="n"/>
      <c r="CT40" s="379">
        <f>IF(Q40="作業者2",E43-E40,0)</f>
        <v/>
      </c>
      <c r="CU40" s="377" t="n"/>
      <c r="CV40" s="377" t="n"/>
      <c r="CW40" s="377" t="n"/>
      <c r="CX40" s="378" t="n"/>
      <c r="CZ40" s="259" t="inlineStr">
        <is>
          <t>移動</t>
        </is>
      </c>
      <c r="DA40" s="403" t="n"/>
      <c r="DB40" s="403" t="n"/>
      <c r="DC40" s="404" t="n"/>
      <c r="DD40" s="405">
        <f>IF(Q40="作業者3",E43-E40,0)</f>
        <v/>
      </c>
      <c r="DE40" s="406" t="n"/>
      <c r="DF40" s="406" t="n"/>
      <c r="DG40" s="406" t="n"/>
      <c r="DH40" s="407" t="n"/>
      <c r="DJ40" s="259" t="inlineStr">
        <is>
          <t>移動</t>
        </is>
      </c>
      <c r="DK40" s="403" t="n"/>
      <c r="DL40" s="403" t="n"/>
      <c r="DM40" s="404" t="n"/>
      <c r="DN40" s="379">
        <f>IF(Q40="作業者4",E43-E40,0)</f>
        <v/>
      </c>
      <c r="DO40" s="377" t="n"/>
      <c r="DP40" s="377" t="n"/>
      <c r="DQ40" s="377" t="n"/>
      <c r="DR40" s="378" t="n"/>
      <c r="DT40" s="259" t="inlineStr">
        <is>
          <t>移動</t>
        </is>
      </c>
      <c r="DU40" s="403" t="n"/>
      <c r="DV40" s="403" t="n"/>
      <c r="DW40" s="404" t="n"/>
      <c r="DX40" s="379">
        <f>IF(Q40="作業者5",E43-E40,0)</f>
        <v/>
      </c>
      <c r="DY40" s="377" t="n"/>
      <c r="DZ40" s="377" t="n"/>
      <c r="EA40" s="377" t="n"/>
      <c r="EB40" s="378" t="n"/>
    </row>
    <row r="41" ht="9" customHeight="1" s="337">
      <c r="B41" s="350" t="n"/>
      <c r="C41" s="338" t="n"/>
      <c r="D41" s="380" t="n"/>
      <c r="E41" s="381" t="n"/>
      <c r="F41" s="122" t="inlineStr">
        <is>
          <t>～</t>
        </is>
      </c>
      <c r="G41" s="22" t="n"/>
      <c r="H41" s="381" t="n"/>
      <c r="I41" s="122" t="inlineStr">
        <is>
          <t>～</t>
        </is>
      </c>
      <c r="J41" s="22" t="n"/>
      <c r="K41" s="381" t="n"/>
      <c r="L41" s="122" t="inlineStr">
        <is>
          <t>～</t>
        </is>
      </c>
      <c r="M41" s="22" t="n"/>
      <c r="N41" s="381" t="n"/>
      <c r="O41" s="122" t="inlineStr">
        <is>
          <t>～</t>
        </is>
      </c>
      <c r="P41" s="22" t="n"/>
      <c r="Q41" s="382" t="n"/>
      <c r="R41" s="338" t="n"/>
      <c r="S41" s="380" t="n"/>
      <c r="T41" s="382" t="n"/>
      <c r="U41" s="338" t="n"/>
      <c r="V41" s="380" t="n"/>
      <c r="W41" s="382" t="n"/>
      <c r="X41" s="338" t="n"/>
      <c r="Y41" s="338" t="n"/>
      <c r="Z41" s="338" t="n"/>
      <c r="AA41" s="338" t="n"/>
      <c r="AB41" s="338" t="n"/>
      <c r="AC41" s="338" t="n"/>
      <c r="AD41" s="338" t="n"/>
      <c r="AE41" s="338" t="n"/>
      <c r="AF41" s="338" t="n"/>
      <c r="AG41" s="338" t="n"/>
      <c r="AH41" s="338" t="n"/>
      <c r="AI41" s="338" t="n"/>
      <c r="AJ41" s="338" t="n"/>
      <c r="AK41" s="338" t="n"/>
      <c r="AL41" s="338" t="n"/>
      <c r="AM41" s="338" t="n"/>
      <c r="AN41" s="338" t="n"/>
      <c r="AO41" s="338" t="n"/>
      <c r="AP41" s="338" t="n"/>
      <c r="AQ41" s="338" t="n"/>
      <c r="AR41" s="338" t="n"/>
      <c r="AS41" s="338" t="n"/>
      <c r="AT41" s="338" t="n"/>
      <c r="AU41" s="338" t="n"/>
      <c r="AV41" s="338" t="n"/>
      <c r="AW41" s="338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8" t="n"/>
      <c r="BH41" s="338" t="n"/>
      <c r="BI41" s="338" t="n"/>
      <c r="BJ41" s="338" t="n"/>
      <c r="BK41" s="338" t="n"/>
      <c r="BL41" s="338" t="n"/>
      <c r="BM41" s="338" t="n"/>
      <c r="BN41" s="338" t="n"/>
      <c r="BO41" s="338" t="n"/>
      <c r="BP41" s="338" t="n"/>
      <c r="BQ41" s="338" t="n"/>
      <c r="BR41" s="338" t="n"/>
      <c r="BS41" s="338" t="n"/>
      <c r="BT41" s="338" t="n"/>
      <c r="BU41" s="338" t="n"/>
      <c r="BV41" s="338" t="n"/>
      <c r="BW41" s="338" t="n"/>
      <c r="BX41" s="338" t="n"/>
      <c r="BY41" s="338" t="n"/>
      <c r="BZ41" s="338" t="n"/>
      <c r="CA41" s="338" t="n"/>
      <c r="CB41" s="338" t="n"/>
      <c r="CC41" s="383" t="n"/>
      <c r="CF41" s="253" t="inlineStr">
        <is>
          <t>時間内</t>
        </is>
      </c>
      <c r="CG41" s="384" t="n"/>
      <c r="CH41" s="384" t="n"/>
      <c r="CI41" s="385" t="n"/>
      <c r="CJ41" s="386">
        <f>IF(Q40="作業者1",H43-H40,0)</f>
        <v/>
      </c>
      <c r="CK41" s="387" t="n"/>
      <c r="CL41" s="387" t="n"/>
      <c r="CM41" s="387" t="n"/>
      <c r="CN41" s="388" t="n"/>
      <c r="CP41" s="253" t="inlineStr">
        <is>
          <t>時間内</t>
        </is>
      </c>
      <c r="CQ41" s="384" t="n"/>
      <c r="CR41" s="384" t="n"/>
      <c r="CS41" s="385" t="n"/>
      <c r="CT41" s="386">
        <f>IF(Q40="作業者2",H43-H40,0)</f>
        <v/>
      </c>
      <c r="CU41" s="387" t="n"/>
      <c r="CV41" s="387" t="n"/>
      <c r="CW41" s="387" t="n"/>
      <c r="CX41" s="388" t="n"/>
      <c r="CZ41" s="253" t="inlineStr">
        <is>
          <t>時間内</t>
        </is>
      </c>
      <c r="DA41" s="384" t="n"/>
      <c r="DB41" s="384" t="n"/>
      <c r="DC41" s="385" t="n"/>
      <c r="DD41" s="386">
        <f>IF(Q40="作業者3",H43-H40,0)</f>
        <v/>
      </c>
      <c r="DE41" s="387" t="n"/>
      <c r="DF41" s="387" t="n"/>
      <c r="DG41" s="387" t="n"/>
      <c r="DH41" s="388" t="n"/>
      <c r="DJ41" s="253" t="inlineStr">
        <is>
          <t>時間内</t>
        </is>
      </c>
      <c r="DK41" s="384" t="n"/>
      <c r="DL41" s="384" t="n"/>
      <c r="DM41" s="385" t="n"/>
      <c r="DN41" s="386">
        <f>IF(Q40="作業者4",H43-H40,0)</f>
        <v/>
      </c>
      <c r="DO41" s="387" t="n"/>
      <c r="DP41" s="387" t="n"/>
      <c r="DQ41" s="387" t="n"/>
      <c r="DR41" s="388" t="n"/>
      <c r="DT41" s="253" t="inlineStr">
        <is>
          <t>時間内</t>
        </is>
      </c>
      <c r="DU41" s="384" t="n"/>
      <c r="DV41" s="384" t="n"/>
      <c r="DW41" s="385" t="n"/>
      <c r="DX41" s="386">
        <f>IF(Q40="作業者5",H43-H40,0)</f>
        <v/>
      </c>
      <c r="DY41" s="387" t="n"/>
      <c r="DZ41" s="387" t="n"/>
      <c r="EA41" s="387" t="n"/>
      <c r="EB41" s="388" t="n"/>
    </row>
    <row r="42" ht="9" customHeight="1" s="337">
      <c r="B42" s="350" t="n"/>
      <c r="C42" s="338" t="n"/>
      <c r="D42" s="380" t="n"/>
      <c r="E42" s="23" t="n"/>
      <c r="F42" s="338" t="n"/>
      <c r="G42" s="24" t="n"/>
      <c r="H42" s="23" t="n"/>
      <c r="I42" s="338" t="n"/>
      <c r="J42" s="24" t="n"/>
      <c r="K42" s="23" t="n"/>
      <c r="L42" s="338" t="n"/>
      <c r="M42" s="24" t="n"/>
      <c r="N42" s="23" t="n"/>
      <c r="O42" s="338" t="n"/>
      <c r="P42" s="24" t="n"/>
      <c r="Q42" s="382" t="n"/>
      <c r="R42" s="338" t="n"/>
      <c r="S42" s="380" t="n"/>
      <c r="T42" s="382" t="n"/>
      <c r="U42" s="338" t="n"/>
      <c r="V42" s="380" t="n"/>
      <c r="W42" s="382" t="n"/>
      <c r="X42" s="338" t="n"/>
      <c r="Y42" s="338" t="n"/>
      <c r="Z42" s="338" t="n"/>
      <c r="AA42" s="338" t="n"/>
      <c r="AB42" s="338" t="n"/>
      <c r="AC42" s="338" t="n"/>
      <c r="AD42" s="338" t="n"/>
      <c r="AE42" s="338" t="n"/>
      <c r="AF42" s="338" t="n"/>
      <c r="AG42" s="338" t="n"/>
      <c r="AH42" s="338" t="n"/>
      <c r="AI42" s="338" t="n"/>
      <c r="AJ42" s="338" t="n"/>
      <c r="AK42" s="338" t="n"/>
      <c r="AL42" s="338" t="n"/>
      <c r="AM42" s="338" t="n"/>
      <c r="AN42" s="338" t="n"/>
      <c r="AO42" s="338" t="n"/>
      <c r="AP42" s="338" t="n"/>
      <c r="AQ42" s="338" t="n"/>
      <c r="AR42" s="338" t="n"/>
      <c r="AS42" s="338" t="n"/>
      <c r="AT42" s="338" t="n"/>
      <c r="AU42" s="338" t="n"/>
      <c r="AV42" s="338" t="n"/>
      <c r="AW42" s="338" t="n"/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8" t="n"/>
      <c r="BH42" s="338" t="n"/>
      <c r="BI42" s="338" t="n"/>
      <c r="BJ42" s="338" t="n"/>
      <c r="BK42" s="338" t="n"/>
      <c r="BL42" s="338" t="n"/>
      <c r="BM42" s="338" t="n"/>
      <c r="BN42" s="338" t="n"/>
      <c r="BO42" s="338" t="n"/>
      <c r="BP42" s="338" t="n"/>
      <c r="BQ42" s="338" t="n"/>
      <c r="BR42" s="338" t="n"/>
      <c r="BS42" s="338" t="n"/>
      <c r="BT42" s="338" t="n"/>
      <c r="BU42" s="338" t="n"/>
      <c r="BV42" s="338" t="n"/>
      <c r="BW42" s="338" t="n"/>
      <c r="BX42" s="338" t="n"/>
      <c r="BY42" s="338" t="n"/>
      <c r="BZ42" s="338" t="n"/>
      <c r="CA42" s="338" t="n"/>
      <c r="CB42" s="338" t="n"/>
      <c r="CC42" s="383" t="n"/>
      <c r="CF42" s="253" t="inlineStr">
        <is>
          <t>時間外</t>
        </is>
      </c>
      <c r="CG42" s="384" t="n"/>
      <c r="CH42" s="384" t="n"/>
      <c r="CI42" s="385" t="n"/>
      <c r="CJ42" s="386">
        <f>IF(Q40="作業者1",K43-K40,0)</f>
        <v/>
      </c>
      <c r="CK42" s="387" t="n"/>
      <c r="CL42" s="387" t="n"/>
      <c r="CM42" s="387" t="n"/>
      <c r="CN42" s="388" t="n"/>
      <c r="CP42" s="253" t="inlineStr">
        <is>
          <t>時間外</t>
        </is>
      </c>
      <c r="CQ42" s="384" t="n"/>
      <c r="CR42" s="384" t="n"/>
      <c r="CS42" s="385" t="n"/>
      <c r="CT42" s="386">
        <f>IF(Q40="作業者2",K43-K40,0)</f>
        <v/>
      </c>
      <c r="CU42" s="387" t="n"/>
      <c r="CV42" s="387" t="n"/>
      <c r="CW42" s="387" t="n"/>
      <c r="CX42" s="388" t="n"/>
      <c r="CZ42" s="253" t="inlineStr">
        <is>
          <t>時間外</t>
        </is>
      </c>
      <c r="DA42" s="384" t="n"/>
      <c r="DB42" s="384" t="n"/>
      <c r="DC42" s="385" t="n"/>
      <c r="DD42" s="386">
        <f>IF(Q40="作業者3",K43-K40,0)</f>
        <v/>
      </c>
      <c r="DE42" s="387" t="n"/>
      <c r="DF42" s="387" t="n"/>
      <c r="DG42" s="387" t="n"/>
      <c r="DH42" s="388" t="n"/>
      <c r="DJ42" s="253" t="inlineStr">
        <is>
          <t>時間外</t>
        </is>
      </c>
      <c r="DK42" s="384" t="n"/>
      <c r="DL42" s="384" t="n"/>
      <c r="DM42" s="385" t="n"/>
      <c r="DN42" s="386">
        <f>IF(Q40="作業者4",K43-K40,0)</f>
        <v/>
      </c>
      <c r="DO42" s="387" t="n"/>
      <c r="DP42" s="387" t="n"/>
      <c r="DQ42" s="387" t="n"/>
      <c r="DR42" s="388" t="n"/>
      <c r="DT42" s="253" t="inlineStr">
        <is>
          <t>時間外</t>
        </is>
      </c>
      <c r="DU42" s="384" t="n"/>
      <c r="DV42" s="384" t="n"/>
      <c r="DW42" s="385" t="n"/>
      <c r="DX42" s="386">
        <f>IF(Q40="作業者5",K43-K40,0)</f>
        <v/>
      </c>
      <c r="DY42" s="387" t="n"/>
      <c r="DZ42" s="387" t="n"/>
      <c r="EA42" s="387" t="n"/>
      <c r="EB42" s="388" t="n"/>
    </row>
    <row r="43" ht="9" customHeight="1" s="337">
      <c r="B43" s="389" t="n"/>
      <c r="C43" s="390" t="n"/>
      <c r="D43" s="391" t="n"/>
      <c r="E43" s="392" t="n"/>
      <c r="F43" s="390" t="n"/>
      <c r="G43" s="391" t="n"/>
      <c r="H43" s="392" t="n"/>
      <c r="I43" s="390" t="n"/>
      <c r="J43" s="391" t="n"/>
      <c r="K43" s="392" t="n"/>
      <c r="L43" s="390" t="n"/>
      <c r="M43" s="391" t="n"/>
      <c r="N43" s="392" t="n"/>
      <c r="O43" s="390" t="n"/>
      <c r="P43" s="391" t="n"/>
      <c r="Q43" s="393" t="n"/>
      <c r="R43" s="390" t="n"/>
      <c r="S43" s="391" t="n"/>
      <c r="T43" s="393" t="n"/>
      <c r="U43" s="390" t="n"/>
      <c r="V43" s="391" t="n"/>
      <c r="W43" s="393" t="n"/>
      <c r="X43" s="390" t="n"/>
      <c r="Y43" s="390" t="n"/>
      <c r="Z43" s="390" t="n"/>
      <c r="AA43" s="390" t="n"/>
      <c r="AB43" s="390" t="n"/>
      <c r="AC43" s="390" t="n"/>
      <c r="AD43" s="390" t="n"/>
      <c r="AE43" s="390" t="n"/>
      <c r="AF43" s="390" t="n"/>
      <c r="AG43" s="390" t="n"/>
      <c r="AH43" s="390" t="n"/>
      <c r="AI43" s="390" t="n"/>
      <c r="AJ43" s="390" t="n"/>
      <c r="AK43" s="390" t="n"/>
      <c r="AL43" s="390" t="n"/>
      <c r="AM43" s="390" t="n"/>
      <c r="AN43" s="390" t="n"/>
      <c r="AO43" s="390" t="n"/>
      <c r="AP43" s="390" t="n"/>
      <c r="AQ43" s="390" t="n"/>
      <c r="AR43" s="390" t="n"/>
      <c r="AS43" s="390" t="n"/>
      <c r="AT43" s="390" t="n"/>
      <c r="AU43" s="390" t="n"/>
      <c r="AV43" s="390" t="n"/>
      <c r="AW43" s="390" t="n"/>
      <c r="AX43" s="390" t="n"/>
      <c r="AY43" s="390" t="n"/>
      <c r="AZ43" s="390" t="n"/>
      <c r="BA43" s="390" t="n"/>
      <c r="BB43" s="390" t="n"/>
      <c r="BC43" s="390" t="n"/>
      <c r="BD43" s="390" t="n"/>
      <c r="BE43" s="390" t="n"/>
      <c r="BF43" s="390" t="n"/>
      <c r="BG43" s="390" t="n"/>
      <c r="BH43" s="390" t="n"/>
      <c r="BI43" s="390" t="n"/>
      <c r="BJ43" s="390" t="n"/>
      <c r="BK43" s="390" t="n"/>
      <c r="BL43" s="390" t="n"/>
      <c r="BM43" s="390" t="n"/>
      <c r="BN43" s="390" t="n"/>
      <c r="BO43" s="390" t="n"/>
      <c r="BP43" s="390" t="n"/>
      <c r="BQ43" s="390" t="n"/>
      <c r="BR43" s="390" t="n"/>
      <c r="BS43" s="390" t="n"/>
      <c r="BT43" s="390" t="n"/>
      <c r="BU43" s="390" t="n"/>
      <c r="BV43" s="390" t="n"/>
      <c r="BW43" s="390" t="n"/>
      <c r="BX43" s="390" t="n"/>
      <c r="BY43" s="390" t="n"/>
      <c r="BZ43" s="390" t="n"/>
      <c r="CA43" s="390" t="n"/>
      <c r="CB43" s="390" t="n"/>
      <c r="CC43" s="394" t="n"/>
      <c r="CF43" s="254" t="inlineStr">
        <is>
          <t>休日</t>
        </is>
      </c>
      <c r="CG43" s="395" t="n"/>
      <c r="CH43" s="395" t="n"/>
      <c r="CI43" s="396" t="n"/>
      <c r="CJ43" s="397">
        <f>IF(Q40="作業者1",N43-N40,0)</f>
        <v/>
      </c>
      <c r="CK43" s="395" t="n"/>
      <c r="CL43" s="395" t="n"/>
      <c r="CM43" s="395" t="n"/>
      <c r="CN43" s="396" t="n"/>
      <c r="CP43" s="254" t="inlineStr">
        <is>
          <t>休日</t>
        </is>
      </c>
      <c r="CQ43" s="395" t="n"/>
      <c r="CR43" s="395" t="n"/>
      <c r="CS43" s="396" t="n"/>
      <c r="CT43" s="397">
        <f>IF(Q40="作業者2",N43-N40,0)</f>
        <v/>
      </c>
      <c r="CU43" s="395" t="n"/>
      <c r="CV43" s="395" t="n"/>
      <c r="CW43" s="395" t="n"/>
      <c r="CX43" s="396" t="n"/>
      <c r="CZ43" s="254" t="inlineStr">
        <is>
          <t>休日</t>
        </is>
      </c>
      <c r="DA43" s="395" t="n"/>
      <c r="DB43" s="395" t="n"/>
      <c r="DC43" s="396" t="n"/>
      <c r="DD43" s="397">
        <f>IF(Q40="作業者3",N43-N40,0)</f>
        <v/>
      </c>
      <c r="DE43" s="395" t="n"/>
      <c r="DF43" s="395" t="n"/>
      <c r="DG43" s="395" t="n"/>
      <c r="DH43" s="396" t="n"/>
      <c r="DJ43" s="254" t="inlineStr">
        <is>
          <t>休日</t>
        </is>
      </c>
      <c r="DK43" s="395" t="n"/>
      <c r="DL43" s="395" t="n"/>
      <c r="DM43" s="396" t="n"/>
      <c r="DN43" s="397">
        <f>IF(Q40="作業者4",N43-N40,0)</f>
        <v/>
      </c>
      <c r="DO43" s="395" t="n"/>
      <c r="DP43" s="395" t="n"/>
      <c r="DQ43" s="395" t="n"/>
      <c r="DR43" s="396" t="n"/>
      <c r="DT43" s="254" t="inlineStr">
        <is>
          <t>休日</t>
        </is>
      </c>
      <c r="DU43" s="395" t="n"/>
      <c r="DV43" s="395" t="n"/>
      <c r="DW43" s="396" t="n"/>
      <c r="DX43" s="397">
        <f>IF(Q40="作業者5",N43-N40,0)</f>
        <v/>
      </c>
      <c r="DY43" s="395" t="n"/>
      <c r="DZ43" s="395" t="n"/>
      <c r="EA43" s="395" t="n"/>
      <c r="EB43" s="396" t="n"/>
    </row>
    <row r="44" ht="9" customHeight="1" s="337">
      <c r="B44" s="398" t="n"/>
      <c r="C44" s="372" t="n"/>
      <c r="D44" s="373" t="n"/>
      <c r="E44" s="399" t="n"/>
      <c r="F44" s="372" t="n"/>
      <c r="G44" s="373" t="n"/>
      <c r="H44" s="399" t="n"/>
      <c r="I44" s="372" t="n"/>
      <c r="J44" s="373" t="n"/>
      <c r="K44" s="399" t="n"/>
      <c r="L44" s="372" t="n"/>
      <c r="M44" s="373" t="n"/>
      <c r="N44" s="399" t="n"/>
      <c r="O44" s="372" t="n"/>
      <c r="P44" s="373" t="n"/>
      <c r="Q44" s="371" t="n"/>
      <c r="R44" s="372" t="n"/>
      <c r="S44" s="373" t="n"/>
      <c r="T44" s="371" t="n"/>
      <c r="U44" s="372" t="n"/>
      <c r="V44" s="373" t="n"/>
      <c r="W44" s="443" t="n"/>
      <c r="X44" s="372" t="n"/>
      <c r="Y44" s="372" t="n"/>
      <c r="Z44" s="372" t="n"/>
      <c r="AA44" s="372" t="n"/>
      <c r="AB44" s="372" t="n"/>
      <c r="AC44" s="372" t="n"/>
      <c r="AD44" s="372" t="n"/>
      <c r="AE44" s="372" t="n"/>
      <c r="AF44" s="372" t="n"/>
      <c r="AG44" s="372" t="n"/>
      <c r="AH44" s="372" t="n"/>
      <c r="AI44" s="372" t="n"/>
      <c r="AJ44" s="372" t="n"/>
      <c r="AK44" s="372" t="n"/>
      <c r="AL44" s="372" t="n"/>
      <c r="AM44" s="372" t="n"/>
      <c r="AN44" s="372" t="n"/>
      <c r="AO44" s="372" t="n"/>
      <c r="AP44" s="372" t="n"/>
      <c r="AQ44" s="372" t="n"/>
      <c r="AR44" s="372" t="n"/>
      <c r="AS44" s="372" t="n"/>
      <c r="AT44" s="372" t="n"/>
      <c r="AU44" s="372" t="n"/>
      <c r="AV44" s="372" t="n"/>
      <c r="AW44" s="372" t="n"/>
      <c r="AX44" s="372" t="n"/>
      <c r="AY44" s="372" t="n"/>
      <c r="AZ44" s="372" t="n"/>
      <c r="BA44" s="372" t="n"/>
      <c r="BB44" s="372" t="n"/>
      <c r="BC44" s="372" t="n"/>
      <c r="BD44" s="372" t="n"/>
      <c r="BE44" s="372" t="n"/>
      <c r="BF44" s="372" t="n"/>
      <c r="BG44" s="372" t="n"/>
      <c r="BH44" s="372" t="n"/>
      <c r="BI44" s="372" t="n"/>
      <c r="BJ44" s="372" t="n"/>
      <c r="BK44" s="372" t="n"/>
      <c r="BL44" s="372" t="n"/>
      <c r="BM44" s="372" t="n"/>
      <c r="BN44" s="372" t="n"/>
      <c r="BO44" s="372" t="n"/>
      <c r="BP44" s="372" t="n"/>
      <c r="BQ44" s="372" t="n"/>
      <c r="BR44" s="372" t="n"/>
      <c r="BS44" s="372" t="n"/>
      <c r="BT44" s="372" t="n"/>
      <c r="BU44" s="372" t="n"/>
      <c r="BV44" s="372" t="n"/>
      <c r="BW44" s="372" t="n"/>
      <c r="BX44" s="372" t="n"/>
      <c r="BY44" s="372" t="n"/>
      <c r="BZ44" s="372" t="n"/>
      <c r="CA44" s="372" t="n"/>
      <c r="CB44" s="372" t="n"/>
      <c r="CC44" s="402" t="n"/>
      <c r="CF44" s="248" t="inlineStr">
        <is>
          <t>移動</t>
        </is>
      </c>
      <c r="CG44" s="377" t="n"/>
      <c r="CH44" s="377" t="n"/>
      <c r="CI44" s="378" t="n"/>
      <c r="CJ44" s="379">
        <f>IF(Q44="作業者1",E47-E44,0)</f>
        <v/>
      </c>
      <c r="CK44" s="377" t="n"/>
      <c r="CL44" s="377" t="n"/>
      <c r="CM44" s="377" t="n"/>
      <c r="CN44" s="378" t="n"/>
      <c r="CP44" s="248" t="inlineStr">
        <is>
          <t>移動</t>
        </is>
      </c>
      <c r="CQ44" s="377" t="n"/>
      <c r="CR44" s="377" t="n"/>
      <c r="CS44" s="378" t="n"/>
      <c r="CT44" s="379">
        <f>IF(Q44="作業者2",E47-E44,0)</f>
        <v/>
      </c>
      <c r="CU44" s="377" t="n"/>
      <c r="CV44" s="377" t="n"/>
      <c r="CW44" s="377" t="n"/>
      <c r="CX44" s="378" t="n"/>
      <c r="CZ44" s="259" t="inlineStr">
        <is>
          <t>移動</t>
        </is>
      </c>
      <c r="DA44" s="403" t="n"/>
      <c r="DB44" s="403" t="n"/>
      <c r="DC44" s="404" t="n"/>
      <c r="DD44" s="405">
        <f>IF(Q44="作業者3",E47-E44,0)</f>
        <v/>
      </c>
      <c r="DE44" s="406" t="n"/>
      <c r="DF44" s="406" t="n"/>
      <c r="DG44" s="406" t="n"/>
      <c r="DH44" s="407" t="n"/>
      <c r="DJ44" s="259" t="inlineStr">
        <is>
          <t>移動</t>
        </is>
      </c>
      <c r="DK44" s="403" t="n"/>
      <c r="DL44" s="403" t="n"/>
      <c r="DM44" s="404" t="n"/>
      <c r="DN44" s="379">
        <f>IF(Q44="作業者4",E47-E44,0)</f>
        <v/>
      </c>
      <c r="DO44" s="377" t="n"/>
      <c r="DP44" s="377" t="n"/>
      <c r="DQ44" s="377" t="n"/>
      <c r="DR44" s="378" t="n"/>
      <c r="DT44" s="259" t="inlineStr">
        <is>
          <t>移動</t>
        </is>
      </c>
      <c r="DU44" s="403" t="n"/>
      <c r="DV44" s="403" t="n"/>
      <c r="DW44" s="404" t="n"/>
      <c r="DX44" s="379">
        <f>IF(Q44="作業者5",E47-E44,0)</f>
        <v/>
      </c>
      <c r="DY44" s="377" t="n"/>
      <c r="DZ44" s="377" t="n"/>
      <c r="EA44" s="377" t="n"/>
      <c r="EB44" s="378" t="n"/>
    </row>
    <row r="45" ht="9" customHeight="1" s="337">
      <c r="B45" s="350" t="n"/>
      <c r="C45" s="338" t="n"/>
      <c r="D45" s="380" t="n"/>
      <c r="E45" s="381" t="n"/>
      <c r="F45" s="122" t="inlineStr">
        <is>
          <t>～</t>
        </is>
      </c>
      <c r="G45" s="22" t="n"/>
      <c r="H45" s="381" t="n"/>
      <c r="I45" s="122" t="inlineStr">
        <is>
          <t>～</t>
        </is>
      </c>
      <c r="J45" s="22" t="n"/>
      <c r="K45" s="381" t="n"/>
      <c r="L45" s="122" t="inlineStr">
        <is>
          <t>～</t>
        </is>
      </c>
      <c r="M45" s="22" t="n"/>
      <c r="N45" s="381" t="n"/>
      <c r="O45" s="122" t="inlineStr">
        <is>
          <t>～</t>
        </is>
      </c>
      <c r="P45" s="22" t="n"/>
      <c r="Q45" s="382" t="n"/>
      <c r="R45" s="338" t="n"/>
      <c r="S45" s="380" t="n"/>
      <c r="T45" s="382" t="n"/>
      <c r="U45" s="338" t="n"/>
      <c r="V45" s="380" t="n"/>
      <c r="W45" s="382" t="n"/>
      <c r="X45" s="338" t="n"/>
      <c r="Y45" s="338" t="n"/>
      <c r="Z45" s="338" t="n"/>
      <c r="AA45" s="338" t="n"/>
      <c r="AB45" s="338" t="n"/>
      <c r="AC45" s="338" t="n"/>
      <c r="AD45" s="338" t="n"/>
      <c r="AE45" s="338" t="n"/>
      <c r="AF45" s="338" t="n"/>
      <c r="AG45" s="338" t="n"/>
      <c r="AH45" s="338" t="n"/>
      <c r="AI45" s="338" t="n"/>
      <c r="AJ45" s="338" t="n"/>
      <c r="AK45" s="338" t="n"/>
      <c r="AL45" s="338" t="n"/>
      <c r="AM45" s="338" t="n"/>
      <c r="AN45" s="338" t="n"/>
      <c r="AO45" s="338" t="n"/>
      <c r="AP45" s="338" t="n"/>
      <c r="AQ45" s="338" t="n"/>
      <c r="AR45" s="338" t="n"/>
      <c r="AS45" s="338" t="n"/>
      <c r="AT45" s="338" t="n"/>
      <c r="AU45" s="338" t="n"/>
      <c r="AV45" s="338" t="n"/>
      <c r="AW45" s="338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8" t="n"/>
      <c r="BH45" s="338" t="n"/>
      <c r="BI45" s="338" t="n"/>
      <c r="BJ45" s="338" t="n"/>
      <c r="BK45" s="338" t="n"/>
      <c r="BL45" s="338" t="n"/>
      <c r="BM45" s="338" t="n"/>
      <c r="BN45" s="338" t="n"/>
      <c r="BO45" s="338" t="n"/>
      <c r="BP45" s="338" t="n"/>
      <c r="BQ45" s="338" t="n"/>
      <c r="BR45" s="338" t="n"/>
      <c r="BS45" s="338" t="n"/>
      <c r="BT45" s="338" t="n"/>
      <c r="BU45" s="338" t="n"/>
      <c r="BV45" s="338" t="n"/>
      <c r="BW45" s="338" t="n"/>
      <c r="BX45" s="338" t="n"/>
      <c r="BY45" s="338" t="n"/>
      <c r="BZ45" s="338" t="n"/>
      <c r="CA45" s="338" t="n"/>
      <c r="CB45" s="338" t="n"/>
      <c r="CC45" s="383" t="n"/>
      <c r="CF45" s="253" t="inlineStr">
        <is>
          <t>時間内</t>
        </is>
      </c>
      <c r="CG45" s="384" t="n"/>
      <c r="CH45" s="384" t="n"/>
      <c r="CI45" s="385" t="n"/>
      <c r="CJ45" s="386">
        <f>IF(Q44="作業者1",H47-H44,0)</f>
        <v/>
      </c>
      <c r="CK45" s="387" t="n"/>
      <c r="CL45" s="387" t="n"/>
      <c r="CM45" s="387" t="n"/>
      <c r="CN45" s="388" t="n"/>
      <c r="CP45" s="253" t="inlineStr">
        <is>
          <t>時間内</t>
        </is>
      </c>
      <c r="CQ45" s="384" t="n"/>
      <c r="CR45" s="384" t="n"/>
      <c r="CS45" s="385" t="n"/>
      <c r="CT45" s="386">
        <f>IF(Q44="作業者2",H47-H44,0)</f>
        <v/>
      </c>
      <c r="CU45" s="387" t="n"/>
      <c r="CV45" s="387" t="n"/>
      <c r="CW45" s="387" t="n"/>
      <c r="CX45" s="388" t="n"/>
      <c r="CZ45" s="253" t="inlineStr">
        <is>
          <t>時間内</t>
        </is>
      </c>
      <c r="DA45" s="384" t="n"/>
      <c r="DB45" s="384" t="n"/>
      <c r="DC45" s="385" t="n"/>
      <c r="DD45" s="386">
        <f>IF(Q44="作業者3",H47-H44,0)</f>
        <v/>
      </c>
      <c r="DE45" s="387" t="n"/>
      <c r="DF45" s="387" t="n"/>
      <c r="DG45" s="387" t="n"/>
      <c r="DH45" s="388" t="n"/>
      <c r="DJ45" s="253" t="inlineStr">
        <is>
          <t>時間内</t>
        </is>
      </c>
      <c r="DK45" s="384" t="n"/>
      <c r="DL45" s="384" t="n"/>
      <c r="DM45" s="385" t="n"/>
      <c r="DN45" s="386">
        <f>IF(Q44="作業者4",H47-H44,0)</f>
        <v/>
      </c>
      <c r="DO45" s="387" t="n"/>
      <c r="DP45" s="387" t="n"/>
      <c r="DQ45" s="387" t="n"/>
      <c r="DR45" s="388" t="n"/>
      <c r="DT45" s="253" t="inlineStr">
        <is>
          <t>時間内</t>
        </is>
      </c>
      <c r="DU45" s="384" t="n"/>
      <c r="DV45" s="384" t="n"/>
      <c r="DW45" s="385" t="n"/>
      <c r="DX45" s="386">
        <f>IF(Q44="作業者5",H47-H44,0)</f>
        <v/>
      </c>
      <c r="DY45" s="387" t="n"/>
      <c r="DZ45" s="387" t="n"/>
      <c r="EA45" s="387" t="n"/>
      <c r="EB45" s="388" t="n"/>
    </row>
    <row r="46" ht="9" customHeight="1" s="337">
      <c r="B46" s="350" t="n"/>
      <c r="C46" s="338" t="n"/>
      <c r="D46" s="380" t="n"/>
      <c r="E46" s="23" t="n"/>
      <c r="F46" s="338" t="n"/>
      <c r="G46" s="24" t="n"/>
      <c r="H46" s="23" t="n"/>
      <c r="I46" s="338" t="n"/>
      <c r="J46" s="24" t="n"/>
      <c r="K46" s="23" t="n"/>
      <c r="L46" s="338" t="n"/>
      <c r="M46" s="24" t="n"/>
      <c r="N46" s="23" t="n"/>
      <c r="O46" s="338" t="n"/>
      <c r="P46" s="24" t="n"/>
      <c r="Q46" s="382" t="n"/>
      <c r="R46" s="338" t="n"/>
      <c r="S46" s="380" t="n"/>
      <c r="T46" s="382" t="n"/>
      <c r="U46" s="338" t="n"/>
      <c r="V46" s="380" t="n"/>
      <c r="W46" s="382" t="n"/>
      <c r="X46" s="338" t="n"/>
      <c r="Y46" s="338" t="n"/>
      <c r="Z46" s="338" t="n"/>
      <c r="AA46" s="338" t="n"/>
      <c r="AB46" s="338" t="n"/>
      <c r="AC46" s="338" t="n"/>
      <c r="AD46" s="338" t="n"/>
      <c r="AE46" s="338" t="n"/>
      <c r="AF46" s="338" t="n"/>
      <c r="AG46" s="338" t="n"/>
      <c r="AH46" s="338" t="n"/>
      <c r="AI46" s="338" t="n"/>
      <c r="AJ46" s="338" t="n"/>
      <c r="AK46" s="338" t="n"/>
      <c r="AL46" s="338" t="n"/>
      <c r="AM46" s="338" t="n"/>
      <c r="AN46" s="338" t="n"/>
      <c r="AO46" s="338" t="n"/>
      <c r="AP46" s="338" t="n"/>
      <c r="AQ46" s="338" t="n"/>
      <c r="AR46" s="338" t="n"/>
      <c r="AS46" s="338" t="n"/>
      <c r="AT46" s="338" t="n"/>
      <c r="AU46" s="338" t="n"/>
      <c r="AV46" s="338" t="n"/>
      <c r="AW46" s="338" t="n"/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8" t="n"/>
      <c r="BH46" s="338" t="n"/>
      <c r="BI46" s="338" t="n"/>
      <c r="BJ46" s="338" t="n"/>
      <c r="BK46" s="338" t="n"/>
      <c r="BL46" s="338" t="n"/>
      <c r="BM46" s="338" t="n"/>
      <c r="BN46" s="338" t="n"/>
      <c r="BO46" s="338" t="n"/>
      <c r="BP46" s="338" t="n"/>
      <c r="BQ46" s="338" t="n"/>
      <c r="BR46" s="338" t="n"/>
      <c r="BS46" s="338" t="n"/>
      <c r="BT46" s="338" t="n"/>
      <c r="BU46" s="338" t="n"/>
      <c r="BV46" s="338" t="n"/>
      <c r="BW46" s="338" t="n"/>
      <c r="BX46" s="338" t="n"/>
      <c r="BY46" s="338" t="n"/>
      <c r="BZ46" s="338" t="n"/>
      <c r="CA46" s="338" t="n"/>
      <c r="CB46" s="338" t="n"/>
      <c r="CC46" s="383" t="n"/>
      <c r="CF46" s="253" t="inlineStr">
        <is>
          <t>時間外</t>
        </is>
      </c>
      <c r="CG46" s="384" t="n"/>
      <c r="CH46" s="384" t="n"/>
      <c r="CI46" s="385" t="n"/>
      <c r="CJ46" s="386">
        <f>IF(Q44="作業者1",K47-K44,0)</f>
        <v/>
      </c>
      <c r="CK46" s="387" t="n"/>
      <c r="CL46" s="387" t="n"/>
      <c r="CM46" s="387" t="n"/>
      <c r="CN46" s="388" t="n"/>
      <c r="CP46" s="253" t="inlineStr">
        <is>
          <t>時間外</t>
        </is>
      </c>
      <c r="CQ46" s="384" t="n"/>
      <c r="CR46" s="384" t="n"/>
      <c r="CS46" s="385" t="n"/>
      <c r="CT46" s="386">
        <f>IF(Q44="作業者2",K47-K44,0)</f>
        <v/>
      </c>
      <c r="CU46" s="387" t="n"/>
      <c r="CV46" s="387" t="n"/>
      <c r="CW46" s="387" t="n"/>
      <c r="CX46" s="388" t="n"/>
      <c r="CZ46" s="253" t="inlineStr">
        <is>
          <t>時間外</t>
        </is>
      </c>
      <c r="DA46" s="384" t="n"/>
      <c r="DB46" s="384" t="n"/>
      <c r="DC46" s="385" t="n"/>
      <c r="DD46" s="386">
        <f>IF(Q44="作業者3",K47-K44,0)</f>
        <v/>
      </c>
      <c r="DE46" s="387" t="n"/>
      <c r="DF46" s="387" t="n"/>
      <c r="DG46" s="387" t="n"/>
      <c r="DH46" s="388" t="n"/>
      <c r="DJ46" s="253" t="inlineStr">
        <is>
          <t>時間外</t>
        </is>
      </c>
      <c r="DK46" s="384" t="n"/>
      <c r="DL46" s="384" t="n"/>
      <c r="DM46" s="385" t="n"/>
      <c r="DN46" s="386">
        <f>IF(Q44="作業者4",K47-K44,0)</f>
        <v/>
      </c>
      <c r="DO46" s="387" t="n"/>
      <c r="DP46" s="387" t="n"/>
      <c r="DQ46" s="387" t="n"/>
      <c r="DR46" s="388" t="n"/>
      <c r="DT46" s="253" t="inlineStr">
        <is>
          <t>時間外</t>
        </is>
      </c>
      <c r="DU46" s="384" t="n"/>
      <c r="DV46" s="384" t="n"/>
      <c r="DW46" s="385" t="n"/>
      <c r="DX46" s="386">
        <f>IF(Q44="作業者5",K47-K44,0)</f>
        <v/>
      </c>
      <c r="DY46" s="387" t="n"/>
      <c r="DZ46" s="387" t="n"/>
      <c r="EA46" s="387" t="n"/>
      <c r="EB46" s="388" t="n"/>
    </row>
    <row r="47" ht="9" customHeight="1" s="337">
      <c r="B47" s="389" t="n"/>
      <c r="C47" s="390" t="n"/>
      <c r="D47" s="391" t="n"/>
      <c r="E47" s="392" t="n"/>
      <c r="F47" s="390" t="n"/>
      <c r="G47" s="391" t="n"/>
      <c r="H47" s="392" t="n"/>
      <c r="I47" s="390" t="n"/>
      <c r="J47" s="391" t="n"/>
      <c r="K47" s="392" t="n"/>
      <c r="L47" s="390" t="n"/>
      <c r="M47" s="391" t="n"/>
      <c r="N47" s="392" t="n"/>
      <c r="O47" s="390" t="n"/>
      <c r="P47" s="391" t="n"/>
      <c r="Q47" s="393" t="n"/>
      <c r="R47" s="390" t="n"/>
      <c r="S47" s="391" t="n"/>
      <c r="T47" s="393" t="n"/>
      <c r="U47" s="390" t="n"/>
      <c r="V47" s="391" t="n"/>
      <c r="W47" s="393" t="n"/>
      <c r="X47" s="390" t="n"/>
      <c r="Y47" s="390" t="n"/>
      <c r="Z47" s="390" t="n"/>
      <c r="AA47" s="390" t="n"/>
      <c r="AB47" s="390" t="n"/>
      <c r="AC47" s="390" t="n"/>
      <c r="AD47" s="390" t="n"/>
      <c r="AE47" s="390" t="n"/>
      <c r="AF47" s="390" t="n"/>
      <c r="AG47" s="390" t="n"/>
      <c r="AH47" s="390" t="n"/>
      <c r="AI47" s="390" t="n"/>
      <c r="AJ47" s="390" t="n"/>
      <c r="AK47" s="390" t="n"/>
      <c r="AL47" s="390" t="n"/>
      <c r="AM47" s="390" t="n"/>
      <c r="AN47" s="390" t="n"/>
      <c r="AO47" s="390" t="n"/>
      <c r="AP47" s="390" t="n"/>
      <c r="AQ47" s="390" t="n"/>
      <c r="AR47" s="390" t="n"/>
      <c r="AS47" s="390" t="n"/>
      <c r="AT47" s="390" t="n"/>
      <c r="AU47" s="390" t="n"/>
      <c r="AV47" s="390" t="n"/>
      <c r="AW47" s="390" t="n"/>
      <c r="AX47" s="390" t="n"/>
      <c r="AY47" s="390" t="n"/>
      <c r="AZ47" s="390" t="n"/>
      <c r="BA47" s="390" t="n"/>
      <c r="BB47" s="390" t="n"/>
      <c r="BC47" s="390" t="n"/>
      <c r="BD47" s="390" t="n"/>
      <c r="BE47" s="390" t="n"/>
      <c r="BF47" s="390" t="n"/>
      <c r="BG47" s="390" t="n"/>
      <c r="BH47" s="390" t="n"/>
      <c r="BI47" s="390" t="n"/>
      <c r="BJ47" s="390" t="n"/>
      <c r="BK47" s="390" t="n"/>
      <c r="BL47" s="390" t="n"/>
      <c r="BM47" s="390" t="n"/>
      <c r="BN47" s="390" t="n"/>
      <c r="BO47" s="390" t="n"/>
      <c r="BP47" s="390" t="n"/>
      <c r="BQ47" s="390" t="n"/>
      <c r="BR47" s="390" t="n"/>
      <c r="BS47" s="390" t="n"/>
      <c r="BT47" s="390" t="n"/>
      <c r="BU47" s="390" t="n"/>
      <c r="BV47" s="390" t="n"/>
      <c r="BW47" s="390" t="n"/>
      <c r="BX47" s="390" t="n"/>
      <c r="BY47" s="390" t="n"/>
      <c r="BZ47" s="390" t="n"/>
      <c r="CA47" s="390" t="n"/>
      <c r="CB47" s="390" t="n"/>
      <c r="CC47" s="394" t="n"/>
      <c r="CF47" s="254" t="inlineStr">
        <is>
          <t>休日</t>
        </is>
      </c>
      <c r="CG47" s="395" t="n"/>
      <c r="CH47" s="395" t="n"/>
      <c r="CI47" s="396" t="n"/>
      <c r="CJ47" s="397">
        <f>IF(Q44="作業者1",N47-N44,0)</f>
        <v/>
      </c>
      <c r="CK47" s="395" t="n"/>
      <c r="CL47" s="395" t="n"/>
      <c r="CM47" s="395" t="n"/>
      <c r="CN47" s="396" t="n"/>
      <c r="CP47" s="254" t="inlineStr">
        <is>
          <t>休日</t>
        </is>
      </c>
      <c r="CQ47" s="395" t="n"/>
      <c r="CR47" s="395" t="n"/>
      <c r="CS47" s="396" t="n"/>
      <c r="CT47" s="397">
        <f>IF(Q44="作業者2",N47-N44,0)</f>
        <v/>
      </c>
      <c r="CU47" s="395" t="n"/>
      <c r="CV47" s="395" t="n"/>
      <c r="CW47" s="395" t="n"/>
      <c r="CX47" s="396" t="n"/>
      <c r="CZ47" s="254" t="inlineStr">
        <is>
          <t>休日</t>
        </is>
      </c>
      <c r="DA47" s="395" t="n"/>
      <c r="DB47" s="395" t="n"/>
      <c r="DC47" s="396" t="n"/>
      <c r="DD47" s="397">
        <f>IF(Q44="作業者3",N47-N44,0)</f>
        <v/>
      </c>
      <c r="DE47" s="395" t="n"/>
      <c r="DF47" s="395" t="n"/>
      <c r="DG47" s="395" t="n"/>
      <c r="DH47" s="396" t="n"/>
      <c r="DJ47" s="254" t="inlineStr">
        <is>
          <t>休日</t>
        </is>
      </c>
      <c r="DK47" s="395" t="n"/>
      <c r="DL47" s="395" t="n"/>
      <c r="DM47" s="396" t="n"/>
      <c r="DN47" s="397">
        <f>IF(Q44="作業者4",N47-N44,0)</f>
        <v/>
      </c>
      <c r="DO47" s="395" t="n"/>
      <c r="DP47" s="395" t="n"/>
      <c r="DQ47" s="395" t="n"/>
      <c r="DR47" s="396" t="n"/>
      <c r="DT47" s="254" t="inlineStr">
        <is>
          <t>休日</t>
        </is>
      </c>
      <c r="DU47" s="395" t="n"/>
      <c r="DV47" s="395" t="n"/>
      <c r="DW47" s="396" t="n"/>
      <c r="DX47" s="397">
        <f>IF(Q44="作業者5",N47-N44,0)</f>
        <v/>
      </c>
      <c r="DY47" s="395" t="n"/>
      <c r="DZ47" s="395" t="n"/>
      <c r="EA47" s="395" t="n"/>
      <c r="EB47" s="396" t="n"/>
    </row>
    <row r="48" ht="9" customHeight="1" s="337">
      <c r="B48" s="398" t="n"/>
      <c r="C48" s="372" t="n"/>
      <c r="D48" s="373" t="n"/>
      <c r="E48" s="399" t="n"/>
      <c r="F48" s="372" t="n"/>
      <c r="G48" s="373" t="n"/>
      <c r="H48" s="399" t="n"/>
      <c r="I48" s="372" t="n"/>
      <c r="J48" s="373" t="n"/>
      <c r="K48" s="399" t="n"/>
      <c r="L48" s="372" t="n"/>
      <c r="M48" s="373" t="n"/>
      <c r="N48" s="399" t="n"/>
      <c r="O48" s="372" t="n"/>
      <c r="P48" s="373" t="n"/>
      <c r="Q48" s="371" t="n"/>
      <c r="R48" s="372" t="n"/>
      <c r="S48" s="373" t="n"/>
      <c r="T48" s="371" t="n"/>
      <c r="U48" s="372" t="n"/>
      <c r="V48" s="373" t="n"/>
      <c r="W48" s="443" t="n"/>
      <c r="X48" s="372" t="n"/>
      <c r="Y48" s="372" t="n"/>
      <c r="Z48" s="372" t="n"/>
      <c r="AA48" s="372" t="n"/>
      <c r="AB48" s="372" t="n"/>
      <c r="AC48" s="372" t="n"/>
      <c r="AD48" s="372" t="n"/>
      <c r="AE48" s="372" t="n"/>
      <c r="AF48" s="372" t="n"/>
      <c r="AG48" s="372" t="n"/>
      <c r="AH48" s="372" t="n"/>
      <c r="AI48" s="372" t="n"/>
      <c r="AJ48" s="372" t="n"/>
      <c r="AK48" s="372" t="n"/>
      <c r="AL48" s="372" t="n"/>
      <c r="AM48" s="372" t="n"/>
      <c r="AN48" s="372" t="n"/>
      <c r="AO48" s="372" t="n"/>
      <c r="AP48" s="372" t="n"/>
      <c r="AQ48" s="372" t="n"/>
      <c r="AR48" s="372" t="n"/>
      <c r="AS48" s="372" t="n"/>
      <c r="AT48" s="372" t="n"/>
      <c r="AU48" s="372" t="n"/>
      <c r="AV48" s="372" t="n"/>
      <c r="AW48" s="372" t="n"/>
      <c r="AX48" s="372" t="n"/>
      <c r="AY48" s="372" t="n"/>
      <c r="AZ48" s="372" t="n"/>
      <c r="BA48" s="372" t="n"/>
      <c r="BB48" s="372" t="n"/>
      <c r="BC48" s="372" t="n"/>
      <c r="BD48" s="372" t="n"/>
      <c r="BE48" s="372" t="n"/>
      <c r="BF48" s="372" t="n"/>
      <c r="BG48" s="372" t="n"/>
      <c r="BH48" s="372" t="n"/>
      <c r="BI48" s="372" t="n"/>
      <c r="BJ48" s="372" t="n"/>
      <c r="BK48" s="372" t="n"/>
      <c r="BL48" s="372" t="n"/>
      <c r="BM48" s="372" t="n"/>
      <c r="BN48" s="372" t="n"/>
      <c r="BO48" s="372" t="n"/>
      <c r="BP48" s="372" t="n"/>
      <c r="BQ48" s="372" t="n"/>
      <c r="BR48" s="372" t="n"/>
      <c r="BS48" s="372" t="n"/>
      <c r="BT48" s="372" t="n"/>
      <c r="BU48" s="372" t="n"/>
      <c r="BV48" s="372" t="n"/>
      <c r="BW48" s="372" t="n"/>
      <c r="BX48" s="372" t="n"/>
      <c r="BY48" s="372" t="n"/>
      <c r="BZ48" s="372" t="n"/>
      <c r="CA48" s="372" t="n"/>
      <c r="CB48" s="372" t="n"/>
      <c r="CC48" s="402" t="n"/>
      <c r="CF48" s="248" t="inlineStr">
        <is>
          <t>移動</t>
        </is>
      </c>
      <c r="CG48" s="377" t="n"/>
      <c r="CH48" s="377" t="n"/>
      <c r="CI48" s="378" t="n"/>
      <c r="CJ48" s="379">
        <f>IF(Q48="作業者1",E51-E48,0)</f>
        <v/>
      </c>
      <c r="CK48" s="377" t="n"/>
      <c r="CL48" s="377" t="n"/>
      <c r="CM48" s="377" t="n"/>
      <c r="CN48" s="378" t="n"/>
      <c r="CP48" s="248" t="inlineStr">
        <is>
          <t>移動</t>
        </is>
      </c>
      <c r="CQ48" s="377" t="n"/>
      <c r="CR48" s="377" t="n"/>
      <c r="CS48" s="378" t="n"/>
      <c r="CT48" s="379">
        <f>IF(Q48="作業者2",E51-E48,0)</f>
        <v/>
      </c>
      <c r="CU48" s="377" t="n"/>
      <c r="CV48" s="377" t="n"/>
      <c r="CW48" s="377" t="n"/>
      <c r="CX48" s="378" t="n"/>
      <c r="CZ48" s="259" t="inlineStr">
        <is>
          <t>移動</t>
        </is>
      </c>
      <c r="DA48" s="403" t="n"/>
      <c r="DB48" s="403" t="n"/>
      <c r="DC48" s="404" t="n"/>
      <c r="DD48" s="405">
        <f>IF(Q48="作業者3",E51-E48,0)</f>
        <v/>
      </c>
      <c r="DE48" s="406" t="n"/>
      <c r="DF48" s="406" t="n"/>
      <c r="DG48" s="406" t="n"/>
      <c r="DH48" s="407" t="n"/>
      <c r="DJ48" s="259" t="inlineStr">
        <is>
          <t>移動</t>
        </is>
      </c>
      <c r="DK48" s="403" t="n"/>
      <c r="DL48" s="403" t="n"/>
      <c r="DM48" s="404" t="n"/>
      <c r="DN48" s="379">
        <f>IF(Q48="作業者4",E51-E48,0)</f>
        <v/>
      </c>
      <c r="DO48" s="377" t="n"/>
      <c r="DP48" s="377" t="n"/>
      <c r="DQ48" s="377" t="n"/>
      <c r="DR48" s="378" t="n"/>
      <c r="DT48" s="259" t="inlineStr">
        <is>
          <t>移動</t>
        </is>
      </c>
      <c r="DU48" s="403" t="n"/>
      <c r="DV48" s="403" t="n"/>
      <c r="DW48" s="404" t="n"/>
      <c r="DX48" s="379">
        <f>IF(Q48="作業者5",E51-E48,0)</f>
        <v/>
      </c>
      <c r="DY48" s="377" t="n"/>
      <c r="DZ48" s="377" t="n"/>
      <c r="EA48" s="377" t="n"/>
      <c r="EB48" s="378" t="n"/>
    </row>
    <row r="49" ht="9" customHeight="1" s="337">
      <c r="B49" s="350" t="n"/>
      <c r="C49" s="338" t="n"/>
      <c r="D49" s="380" t="n"/>
      <c r="E49" s="381" t="n"/>
      <c r="F49" s="122" t="inlineStr">
        <is>
          <t>～</t>
        </is>
      </c>
      <c r="G49" s="22" t="n"/>
      <c r="H49" s="381" t="n"/>
      <c r="I49" s="122" t="inlineStr">
        <is>
          <t>～</t>
        </is>
      </c>
      <c r="J49" s="22" t="n"/>
      <c r="K49" s="381" t="n"/>
      <c r="L49" s="122" t="inlineStr">
        <is>
          <t>～</t>
        </is>
      </c>
      <c r="M49" s="22" t="n"/>
      <c r="N49" s="381" t="n"/>
      <c r="O49" s="122" t="inlineStr">
        <is>
          <t>～</t>
        </is>
      </c>
      <c r="P49" s="22" t="n"/>
      <c r="Q49" s="382" t="n"/>
      <c r="R49" s="338" t="n"/>
      <c r="S49" s="380" t="n"/>
      <c r="T49" s="382" t="n"/>
      <c r="U49" s="338" t="n"/>
      <c r="V49" s="380" t="n"/>
      <c r="W49" s="382" t="n"/>
      <c r="X49" s="338" t="n"/>
      <c r="Y49" s="338" t="n"/>
      <c r="Z49" s="338" t="n"/>
      <c r="AA49" s="338" t="n"/>
      <c r="AB49" s="338" t="n"/>
      <c r="AC49" s="338" t="n"/>
      <c r="AD49" s="338" t="n"/>
      <c r="AE49" s="338" t="n"/>
      <c r="AF49" s="338" t="n"/>
      <c r="AG49" s="338" t="n"/>
      <c r="AH49" s="338" t="n"/>
      <c r="AI49" s="338" t="n"/>
      <c r="AJ49" s="338" t="n"/>
      <c r="AK49" s="338" t="n"/>
      <c r="AL49" s="338" t="n"/>
      <c r="AM49" s="338" t="n"/>
      <c r="AN49" s="338" t="n"/>
      <c r="AO49" s="338" t="n"/>
      <c r="AP49" s="338" t="n"/>
      <c r="AQ49" s="338" t="n"/>
      <c r="AR49" s="338" t="n"/>
      <c r="AS49" s="338" t="n"/>
      <c r="AT49" s="338" t="n"/>
      <c r="AU49" s="338" t="n"/>
      <c r="AV49" s="338" t="n"/>
      <c r="AW49" s="338" t="n"/>
      <c r="AX49" s="338" t="n"/>
      <c r="AY49" s="338" t="n"/>
      <c r="AZ49" s="338" t="n"/>
      <c r="BA49" s="338" t="n"/>
      <c r="BB49" s="338" t="n"/>
      <c r="BC49" s="338" t="n"/>
      <c r="BD49" s="338" t="n"/>
      <c r="BE49" s="338" t="n"/>
      <c r="BF49" s="338" t="n"/>
      <c r="BG49" s="338" t="n"/>
      <c r="BH49" s="338" t="n"/>
      <c r="BI49" s="338" t="n"/>
      <c r="BJ49" s="338" t="n"/>
      <c r="BK49" s="338" t="n"/>
      <c r="BL49" s="338" t="n"/>
      <c r="BM49" s="338" t="n"/>
      <c r="BN49" s="338" t="n"/>
      <c r="BO49" s="338" t="n"/>
      <c r="BP49" s="338" t="n"/>
      <c r="BQ49" s="338" t="n"/>
      <c r="BR49" s="338" t="n"/>
      <c r="BS49" s="338" t="n"/>
      <c r="BT49" s="338" t="n"/>
      <c r="BU49" s="338" t="n"/>
      <c r="BV49" s="338" t="n"/>
      <c r="BW49" s="338" t="n"/>
      <c r="BX49" s="338" t="n"/>
      <c r="BY49" s="338" t="n"/>
      <c r="BZ49" s="338" t="n"/>
      <c r="CA49" s="338" t="n"/>
      <c r="CB49" s="338" t="n"/>
      <c r="CC49" s="383" t="n"/>
      <c r="CF49" s="253" t="inlineStr">
        <is>
          <t>時間内</t>
        </is>
      </c>
      <c r="CG49" s="384" t="n"/>
      <c r="CH49" s="384" t="n"/>
      <c r="CI49" s="385" t="n"/>
      <c r="CJ49" s="386">
        <f>IF(Q48="作業者1",H51-H48,0)</f>
        <v/>
      </c>
      <c r="CK49" s="387" t="n"/>
      <c r="CL49" s="387" t="n"/>
      <c r="CM49" s="387" t="n"/>
      <c r="CN49" s="388" t="n"/>
      <c r="CP49" s="253" t="inlineStr">
        <is>
          <t>時間内</t>
        </is>
      </c>
      <c r="CQ49" s="384" t="n"/>
      <c r="CR49" s="384" t="n"/>
      <c r="CS49" s="385" t="n"/>
      <c r="CT49" s="386">
        <f>IF(Q48="作業者2",H51-H48,0)</f>
        <v/>
      </c>
      <c r="CU49" s="387" t="n"/>
      <c r="CV49" s="387" t="n"/>
      <c r="CW49" s="387" t="n"/>
      <c r="CX49" s="388" t="n"/>
      <c r="CZ49" s="253" t="inlineStr">
        <is>
          <t>時間内</t>
        </is>
      </c>
      <c r="DA49" s="384" t="n"/>
      <c r="DB49" s="384" t="n"/>
      <c r="DC49" s="385" t="n"/>
      <c r="DD49" s="386">
        <f>IF(Q48="作業者3",H51-H48,0)</f>
        <v/>
      </c>
      <c r="DE49" s="387" t="n"/>
      <c r="DF49" s="387" t="n"/>
      <c r="DG49" s="387" t="n"/>
      <c r="DH49" s="388" t="n"/>
      <c r="DJ49" s="253" t="inlineStr">
        <is>
          <t>時間内</t>
        </is>
      </c>
      <c r="DK49" s="384" t="n"/>
      <c r="DL49" s="384" t="n"/>
      <c r="DM49" s="385" t="n"/>
      <c r="DN49" s="386">
        <f>IF(Q48="作業者4",H51-H48,0)</f>
        <v/>
      </c>
      <c r="DO49" s="387" t="n"/>
      <c r="DP49" s="387" t="n"/>
      <c r="DQ49" s="387" t="n"/>
      <c r="DR49" s="388" t="n"/>
      <c r="DT49" s="253" t="inlineStr">
        <is>
          <t>時間内</t>
        </is>
      </c>
      <c r="DU49" s="384" t="n"/>
      <c r="DV49" s="384" t="n"/>
      <c r="DW49" s="385" t="n"/>
      <c r="DX49" s="386">
        <f>IF(Q48="作業者5",H51-H48,0)</f>
        <v/>
      </c>
      <c r="DY49" s="387" t="n"/>
      <c r="DZ49" s="387" t="n"/>
      <c r="EA49" s="387" t="n"/>
      <c r="EB49" s="388" t="n"/>
    </row>
    <row r="50" ht="9" customHeight="1" s="337">
      <c r="B50" s="350" t="n"/>
      <c r="C50" s="338" t="n"/>
      <c r="D50" s="380" t="n"/>
      <c r="E50" s="23" t="n"/>
      <c r="F50" s="338" t="n"/>
      <c r="G50" s="24" t="n"/>
      <c r="H50" s="23" t="n"/>
      <c r="I50" s="338" t="n"/>
      <c r="J50" s="24" t="n"/>
      <c r="K50" s="23" t="n"/>
      <c r="L50" s="338" t="n"/>
      <c r="M50" s="24" t="n"/>
      <c r="N50" s="23" t="n"/>
      <c r="O50" s="338" t="n"/>
      <c r="P50" s="24" t="n"/>
      <c r="Q50" s="382" t="n"/>
      <c r="R50" s="338" t="n"/>
      <c r="S50" s="380" t="n"/>
      <c r="T50" s="382" t="n"/>
      <c r="U50" s="338" t="n"/>
      <c r="V50" s="380" t="n"/>
      <c r="W50" s="382" t="n"/>
      <c r="X50" s="338" t="n"/>
      <c r="Y50" s="338" t="n"/>
      <c r="Z50" s="338" t="n"/>
      <c r="AA50" s="338" t="n"/>
      <c r="AB50" s="338" t="n"/>
      <c r="AC50" s="338" t="n"/>
      <c r="AD50" s="338" t="n"/>
      <c r="AE50" s="338" t="n"/>
      <c r="AF50" s="338" t="n"/>
      <c r="AG50" s="338" t="n"/>
      <c r="AH50" s="338" t="n"/>
      <c r="AI50" s="338" t="n"/>
      <c r="AJ50" s="338" t="n"/>
      <c r="AK50" s="338" t="n"/>
      <c r="AL50" s="338" t="n"/>
      <c r="AM50" s="338" t="n"/>
      <c r="AN50" s="338" t="n"/>
      <c r="AO50" s="338" t="n"/>
      <c r="AP50" s="338" t="n"/>
      <c r="AQ50" s="338" t="n"/>
      <c r="AR50" s="338" t="n"/>
      <c r="AS50" s="338" t="n"/>
      <c r="AT50" s="338" t="n"/>
      <c r="AU50" s="338" t="n"/>
      <c r="AV50" s="338" t="n"/>
      <c r="AW50" s="338" t="n"/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8" t="n"/>
      <c r="BH50" s="338" t="n"/>
      <c r="BI50" s="338" t="n"/>
      <c r="BJ50" s="338" t="n"/>
      <c r="BK50" s="338" t="n"/>
      <c r="BL50" s="338" t="n"/>
      <c r="BM50" s="338" t="n"/>
      <c r="BN50" s="338" t="n"/>
      <c r="BO50" s="338" t="n"/>
      <c r="BP50" s="338" t="n"/>
      <c r="BQ50" s="338" t="n"/>
      <c r="BR50" s="338" t="n"/>
      <c r="BS50" s="338" t="n"/>
      <c r="BT50" s="338" t="n"/>
      <c r="BU50" s="338" t="n"/>
      <c r="BV50" s="338" t="n"/>
      <c r="BW50" s="338" t="n"/>
      <c r="BX50" s="338" t="n"/>
      <c r="BY50" s="338" t="n"/>
      <c r="BZ50" s="338" t="n"/>
      <c r="CA50" s="338" t="n"/>
      <c r="CB50" s="338" t="n"/>
      <c r="CC50" s="383" t="n"/>
      <c r="CF50" s="253" t="inlineStr">
        <is>
          <t>時間外</t>
        </is>
      </c>
      <c r="CG50" s="384" t="n"/>
      <c r="CH50" s="384" t="n"/>
      <c r="CI50" s="385" t="n"/>
      <c r="CJ50" s="386">
        <f>IF(Q48="作業者1",K51-K48,0)</f>
        <v/>
      </c>
      <c r="CK50" s="387" t="n"/>
      <c r="CL50" s="387" t="n"/>
      <c r="CM50" s="387" t="n"/>
      <c r="CN50" s="388" t="n"/>
      <c r="CP50" s="253" t="inlineStr">
        <is>
          <t>時間外</t>
        </is>
      </c>
      <c r="CQ50" s="384" t="n"/>
      <c r="CR50" s="384" t="n"/>
      <c r="CS50" s="385" t="n"/>
      <c r="CT50" s="386">
        <f>IF(Q48="作業者2",K51-K48,0)</f>
        <v/>
      </c>
      <c r="CU50" s="387" t="n"/>
      <c r="CV50" s="387" t="n"/>
      <c r="CW50" s="387" t="n"/>
      <c r="CX50" s="388" t="n"/>
      <c r="CZ50" s="253" t="inlineStr">
        <is>
          <t>時間外</t>
        </is>
      </c>
      <c r="DA50" s="384" t="n"/>
      <c r="DB50" s="384" t="n"/>
      <c r="DC50" s="385" t="n"/>
      <c r="DD50" s="386">
        <f>IF(Q48="作業者3",K51-K48,0)</f>
        <v/>
      </c>
      <c r="DE50" s="387" t="n"/>
      <c r="DF50" s="387" t="n"/>
      <c r="DG50" s="387" t="n"/>
      <c r="DH50" s="388" t="n"/>
      <c r="DJ50" s="253" t="inlineStr">
        <is>
          <t>時間外</t>
        </is>
      </c>
      <c r="DK50" s="384" t="n"/>
      <c r="DL50" s="384" t="n"/>
      <c r="DM50" s="385" t="n"/>
      <c r="DN50" s="386">
        <f>IF(Q48="作業者4",K51-K48,0)</f>
        <v/>
      </c>
      <c r="DO50" s="387" t="n"/>
      <c r="DP50" s="387" t="n"/>
      <c r="DQ50" s="387" t="n"/>
      <c r="DR50" s="388" t="n"/>
      <c r="DT50" s="253" t="inlineStr">
        <is>
          <t>時間外</t>
        </is>
      </c>
      <c r="DU50" s="384" t="n"/>
      <c r="DV50" s="384" t="n"/>
      <c r="DW50" s="385" t="n"/>
      <c r="DX50" s="386">
        <f>IF(Q48="作業者5",K51-K48,0)</f>
        <v/>
      </c>
      <c r="DY50" s="387" t="n"/>
      <c r="DZ50" s="387" t="n"/>
      <c r="EA50" s="387" t="n"/>
      <c r="EB50" s="388" t="n"/>
    </row>
    <row r="51" ht="9" customHeight="1" s="337">
      <c r="B51" s="389" t="n"/>
      <c r="C51" s="390" t="n"/>
      <c r="D51" s="391" t="n"/>
      <c r="E51" s="392" t="n"/>
      <c r="F51" s="390" t="n"/>
      <c r="G51" s="391" t="n"/>
      <c r="H51" s="392" t="n"/>
      <c r="I51" s="390" t="n"/>
      <c r="J51" s="391" t="n"/>
      <c r="K51" s="392" t="n"/>
      <c r="L51" s="390" t="n"/>
      <c r="M51" s="391" t="n"/>
      <c r="N51" s="392" t="n"/>
      <c r="O51" s="390" t="n"/>
      <c r="P51" s="391" t="n"/>
      <c r="Q51" s="393" t="n"/>
      <c r="R51" s="390" t="n"/>
      <c r="S51" s="391" t="n"/>
      <c r="T51" s="393" t="n"/>
      <c r="U51" s="390" t="n"/>
      <c r="V51" s="391" t="n"/>
      <c r="W51" s="393" t="n"/>
      <c r="X51" s="390" t="n"/>
      <c r="Y51" s="390" t="n"/>
      <c r="Z51" s="390" t="n"/>
      <c r="AA51" s="390" t="n"/>
      <c r="AB51" s="390" t="n"/>
      <c r="AC51" s="390" t="n"/>
      <c r="AD51" s="390" t="n"/>
      <c r="AE51" s="390" t="n"/>
      <c r="AF51" s="390" t="n"/>
      <c r="AG51" s="390" t="n"/>
      <c r="AH51" s="390" t="n"/>
      <c r="AI51" s="390" t="n"/>
      <c r="AJ51" s="390" t="n"/>
      <c r="AK51" s="390" t="n"/>
      <c r="AL51" s="390" t="n"/>
      <c r="AM51" s="390" t="n"/>
      <c r="AN51" s="390" t="n"/>
      <c r="AO51" s="390" t="n"/>
      <c r="AP51" s="390" t="n"/>
      <c r="AQ51" s="390" t="n"/>
      <c r="AR51" s="390" t="n"/>
      <c r="AS51" s="390" t="n"/>
      <c r="AT51" s="390" t="n"/>
      <c r="AU51" s="390" t="n"/>
      <c r="AV51" s="390" t="n"/>
      <c r="AW51" s="390" t="n"/>
      <c r="AX51" s="390" t="n"/>
      <c r="AY51" s="390" t="n"/>
      <c r="AZ51" s="390" t="n"/>
      <c r="BA51" s="390" t="n"/>
      <c r="BB51" s="390" t="n"/>
      <c r="BC51" s="390" t="n"/>
      <c r="BD51" s="390" t="n"/>
      <c r="BE51" s="390" t="n"/>
      <c r="BF51" s="390" t="n"/>
      <c r="BG51" s="390" t="n"/>
      <c r="BH51" s="390" t="n"/>
      <c r="BI51" s="390" t="n"/>
      <c r="BJ51" s="390" t="n"/>
      <c r="BK51" s="390" t="n"/>
      <c r="BL51" s="390" t="n"/>
      <c r="BM51" s="390" t="n"/>
      <c r="BN51" s="390" t="n"/>
      <c r="BO51" s="390" t="n"/>
      <c r="BP51" s="390" t="n"/>
      <c r="BQ51" s="390" t="n"/>
      <c r="BR51" s="390" t="n"/>
      <c r="BS51" s="390" t="n"/>
      <c r="BT51" s="390" t="n"/>
      <c r="BU51" s="390" t="n"/>
      <c r="BV51" s="390" t="n"/>
      <c r="BW51" s="390" t="n"/>
      <c r="BX51" s="390" t="n"/>
      <c r="BY51" s="390" t="n"/>
      <c r="BZ51" s="390" t="n"/>
      <c r="CA51" s="390" t="n"/>
      <c r="CB51" s="390" t="n"/>
      <c r="CC51" s="394" t="n"/>
      <c r="CF51" s="254" t="inlineStr">
        <is>
          <t>休日</t>
        </is>
      </c>
      <c r="CG51" s="395" t="n"/>
      <c r="CH51" s="395" t="n"/>
      <c r="CI51" s="396" t="n"/>
      <c r="CJ51" s="397">
        <f>IF(Q48="作業者1",N51-N48,0)</f>
        <v/>
      </c>
      <c r="CK51" s="395" t="n"/>
      <c r="CL51" s="395" t="n"/>
      <c r="CM51" s="395" t="n"/>
      <c r="CN51" s="396" t="n"/>
      <c r="CP51" s="254" t="inlineStr">
        <is>
          <t>休日</t>
        </is>
      </c>
      <c r="CQ51" s="395" t="n"/>
      <c r="CR51" s="395" t="n"/>
      <c r="CS51" s="396" t="n"/>
      <c r="CT51" s="397">
        <f>IF(Q48="作業者2",N51-N48,0)</f>
        <v/>
      </c>
      <c r="CU51" s="395" t="n"/>
      <c r="CV51" s="395" t="n"/>
      <c r="CW51" s="395" t="n"/>
      <c r="CX51" s="396" t="n"/>
      <c r="CZ51" s="254" t="inlineStr">
        <is>
          <t>休日</t>
        </is>
      </c>
      <c r="DA51" s="395" t="n"/>
      <c r="DB51" s="395" t="n"/>
      <c r="DC51" s="396" t="n"/>
      <c r="DD51" s="397">
        <f>IF(Q48="作業者3",N51-N48,0)</f>
        <v/>
      </c>
      <c r="DE51" s="395" t="n"/>
      <c r="DF51" s="395" t="n"/>
      <c r="DG51" s="395" t="n"/>
      <c r="DH51" s="396" t="n"/>
      <c r="DJ51" s="254" t="inlineStr">
        <is>
          <t>休日</t>
        </is>
      </c>
      <c r="DK51" s="395" t="n"/>
      <c r="DL51" s="395" t="n"/>
      <c r="DM51" s="396" t="n"/>
      <c r="DN51" s="397">
        <f>IF(Q48="作業者4",N51-N48,0)</f>
        <v/>
      </c>
      <c r="DO51" s="395" t="n"/>
      <c r="DP51" s="395" t="n"/>
      <c r="DQ51" s="395" t="n"/>
      <c r="DR51" s="396" t="n"/>
      <c r="DT51" s="254" t="inlineStr">
        <is>
          <t>休日</t>
        </is>
      </c>
      <c r="DU51" s="395" t="n"/>
      <c r="DV51" s="395" t="n"/>
      <c r="DW51" s="396" t="n"/>
      <c r="DX51" s="397">
        <f>IF(Q48="作業者5",N51-N48,0)</f>
        <v/>
      </c>
      <c r="DY51" s="395" t="n"/>
      <c r="DZ51" s="395" t="n"/>
      <c r="EA51" s="395" t="n"/>
      <c r="EB51" s="396" t="n"/>
    </row>
    <row r="52" ht="9" customHeight="1" s="337">
      <c r="B52" s="398" t="n"/>
      <c r="C52" s="372" t="n"/>
      <c r="D52" s="373" t="n"/>
      <c r="E52" s="399" t="n"/>
      <c r="F52" s="372" t="n"/>
      <c r="G52" s="373" t="n"/>
      <c r="H52" s="399" t="n"/>
      <c r="I52" s="372" t="n"/>
      <c r="J52" s="373" t="n"/>
      <c r="K52" s="399" t="n"/>
      <c r="L52" s="372" t="n"/>
      <c r="M52" s="373" t="n"/>
      <c r="N52" s="399" t="n"/>
      <c r="O52" s="372" t="n"/>
      <c r="P52" s="373" t="n"/>
      <c r="Q52" s="371" t="n"/>
      <c r="R52" s="372" t="n"/>
      <c r="S52" s="373" t="n"/>
      <c r="T52" s="371" t="n"/>
      <c r="U52" s="372" t="n"/>
      <c r="V52" s="373" t="n"/>
      <c r="W52" s="443" t="n"/>
      <c r="X52" s="372" t="n"/>
      <c r="Y52" s="372" t="n"/>
      <c r="Z52" s="372" t="n"/>
      <c r="AA52" s="372" t="n"/>
      <c r="AB52" s="372" t="n"/>
      <c r="AC52" s="372" t="n"/>
      <c r="AD52" s="372" t="n"/>
      <c r="AE52" s="372" t="n"/>
      <c r="AF52" s="372" t="n"/>
      <c r="AG52" s="372" t="n"/>
      <c r="AH52" s="372" t="n"/>
      <c r="AI52" s="372" t="n"/>
      <c r="AJ52" s="372" t="n"/>
      <c r="AK52" s="372" t="n"/>
      <c r="AL52" s="372" t="n"/>
      <c r="AM52" s="372" t="n"/>
      <c r="AN52" s="372" t="n"/>
      <c r="AO52" s="372" t="n"/>
      <c r="AP52" s="372" t="n"/>
      <c r="AQ52" s="372" t="n"/>
      <c r="AR52" s="372" t="n"/>
      <c r="AS52" s="372" t="n"/>
      <c r="AT52" s="372" t="n"/>
      <c r="AU52" s="372" t="n"/>
      <c r="AV52" s="372" t="n"/>
      <c r="AW52" s="372" t="n"/>
      <c r="AX52" s="372" t="n"/>
      <c r="AY52" s="372" t="n"/>
      <c r="AZ52" s="372" t="n"/>
      <c r="BA52" s="372" t="n"/>
      <c r="BB52" s="372" t="n"/>
      <c r="BC52" s="372" t="n"/>
      <c r="BD52" s="372" t="n"/>
      <c r="BE52" s="372" t="n"/>
      <c r="BF52" s="372" t="n"/>
      <c r="BG52" s="372" t="n"/>
      <c r="BH52" s="372" t="n"/>
      <c r="BI52" s="372" t="n"/>
      <c r="BJ52" s="372" t="n"/>
      <c r="BK52" s="372" t="n"/>
      <c r="BL52" s="372" t="n"/>
      <c r="BM52" s="372" t="n"/>
      <c r="BN52" s="372" t="n"/>
      <c r="BO52" s="372" t="n"/>
      <c r="BP52" s="372" t="n"/>
      <c r="BQ52" s="372" t="n"/>
      <c r="BR52" s="372" t="n"/>
      <c r="BS52" s="372" t="n"/>
      <c r="BT52" s="372" t="n"/>
      <c r="BU52" s="372" t="n"/>
      <c r="BV52" s="372" t="n"/>
      <c r="BW52" s="372" t="n"/>
      <c r="BX52" s="372" t="n"/>
      <c r="BY52" s="372" t="n"/>
      <c r="BZ52" s="372" t="n"/>
      <c r="CA52" s="372" t="n"/>
      <c r="CB52" s="372" t="n"/>
      <c r="CC52" s="402" t="n"/>
      <c r="CF52" s="248" t="inlineStr">
        <is>
          <t>移動</t>
        </is>
      </c>
      <c r="CG52" s="377" t="n"/>
      <c r="CH52" s="377" t="n"/>
      <c r="CI52" s="378" t="n"/>
      <c r="CJ52" s="379">
        <f>IF(Q52="作業者1",E55-E52,0)</f>
        <v/>
      </c>
      <c r="CK52" s="377" t="n"/>
      <c r="CL52" s="377" t="n"/>
      <c r="CM52" s="377" t="n"/>
      <c r="CN52" s="378" t="n"/>
      <c r="CP52" s="248" t="inlineStr">
        <is>
          <t>移動</t>
        </is>
      </c>
      <c r="CQ52" s="377" t="n"/>
      <c r="CR52" s="377" t="n"/>
      <c r="CS52" s="378" t="n"/>
      <c r="CT52" s="379">
        <f>IF(Q52="作業者2",E55-E52,0)</f>
        <v/>
      </c>
      <c r="CU52" s="377" t="n"/>
      <c r="CV52" s="377" t="n"/>
      <c r="CW52" s="377" t="n"/>
      <c r="CX52" s="378" t="n"/>
      <c r="CZ52" s="259" t="inlineStr">
        <is>
          <t>移動</t>
        </is>
      </c>
      <c r="DA52" s="403" t="n"/>
      <c r="DB52" s="403" t="n"/>
      <c r="DC52" s="404" t="n"/>
      <c r="DD52" s="405">
        <f>IF(Q52="作業者3",E55-E52,0)</f>
        <v/>
      </c>
      <c r="DE52" s="406" t="n"/>
      <c r="DF52" s="406" t="n"/>
      <c r="DG52" s="406" t="n"/>
      <c r="DH52" s="407" t="n"/>
      <c r="DJ52" s="259" t="inlineStr">
        <is>
          <t>移動</t>
        </is>
      </c>
      <c r="DK52" s="403" t="n"/>
      <c r="DL52" s="403" t="n"/>
      <c r="DM52" s="404" t="n"/>
      <c r="DN52" s="379">
        <f>IF(Q52="作業者4",E55-E52,0)</f>
        <v/>
      </c>
      <c r="DO52" s="377" t="n"/>
      <c r="DP52" s="377" t="n"/>
      <c r="DQ52" s="377" t="n"/>
      <c r="DR52" s="378" t="n"/>
      <c r="DT52" s="259" t="inlineStr">
        <is>
          <t>移動</t>
        </is>
      </c>
      <c r="DU52" s="403" t="n"/>
      <c r="DV52" s="403" t="n"/>
      <c r="DW52" s="404" t="n"/>
      <c r="DX52" s="379">
        <f>IF(Q52="作業者5",E55-E52,0)</f>
        <v/>
      </c>
      <c r="DY52" s="377" t="n"/>
      <c r="DZ52" s="377" t="n"/>
      <c r="EA52" s="377" t="n"/>
      <c r="EB52" s="378" t="n"/>
    </row>
    <row r="53" ht="9" customHeight="1" s="337">
      <c r="B53" s="350" t="n"/>
      <c r="C53" s="338" t="n"/>
      <c r="D53" s="380" t="n"/>
      <c r="E53" s="381" t="n"/>
      <c r="F53" s="122" t="inlineStr">
        <is>
          <t>～</t>
        </is>
      </c>
      <c r="G53" s="22" t="n"/>
      <c r="H53" s="381" t="n"/>
      <c r="I53" s="122" t="inlineStr">
        <is>
          <t>～</t>
        </is>
      </c>
      <c r="J53" s="22" t="n"/>
      <c r="K53" s="381" t="n"/>
      <c r="L53" s="122" t="inlineStr">
        <is>
          <t>～</t>
        </is>
      </c>
      <c r="M53" s="22" t="n"/>
      <c r="N53" s="381" t="n"/>
      <c r="O53" s="122" t="inlineStr">
        <is>
          <t>～</t>
        </is>
      </c>
      <c r="P53" s="22" t="n"/>
      <c r="Q53" s="382" t="n"/>
      <c r="R53" s="338" t="n"/>
      <c r="S53" s="380" t="n"/>
      <c r="T53" s="382" t="n"/>
      <c r="U53" s="338" t="n"/>
      <c r="V53" s="380" t="n"/>
      <c r="W53" s="382" t="n"/>
      <c r="X53" s="338" t="n"/>
      <c r="Y53" s="338" t="n"/>
      <c r="Z53" s="338" t="n"/>
      <c r="AA53" s="338" t="n"/>
      <c r="AB53" s="338" t="n"/>
      <c r="AC53" s="338" t="n"/>
      <c r="AD53" s="338" t="n"/>
      <c r="AE53" s="338" t="n"/>
      <c r="AF53" s="338" t="n"/>
      <c r="AG53" s="338" t="n"/>
      <c r="AH53" s="338" t="n"/>
      <c r="AI53" s="338" t="n"/>
      <c r="AJ53" s="338" t="n"/>
      <c r="AK53" s="338" t="n"/>
      <c r="AL53" s="338" t="n"/>
      <c r="AM53" s="338" t="n"/>
      <c r="AN53" s="338" t="n"/>
      <c r="AO53" s="338" t="n"/>
      <c r="AP53" s="338" t="n"/>
      <c r="AQ53" s="338" t="n"/>
      <c r="AR53" s="338" t="n"/>
      <c r="AS53" s="338" t="n"/>
      <c r="AT53" s="338" t="n"/>
      <c r="AU53" s="338" t="n"/>
      <c r="AV53" s="338" t="n"/>
      <c r="AW53" s="338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8" t="n"/>
      <c r="BH53" s="338" t="n"/>
      <c r="BI53" s="338" t="n"/>
      <c r="BJ53" s="338" t="n"/>
      <c r="BK53" s="338" t="n"/>
      <c r="BL53" s="338" t="n"/>
      <c r="BM53" s="338" t="n"/>
      <c r="BN53" s="338" t="n"/>
      <c r="BO53" s="338" t="n"/>
      <c r="BP53" s="338" t="n"/>
      <c r="BQ53" s="338" t="n"/>
      <c r="BR53" s="338" t="n"/>
      <c r="BS53" s="338" t="n"/>
      <c r="BT53" s="338" t="n"/>
      <c r="BU53" s="338" t="n"/>
      <c r="BV53" s="338" t="n"/>
      <c r="BW53" s="338" t="n"/>
      <c r="BX53" s="338" t="n"/>
      <c r="BY53" s="338" t="n"/>
      <c r="BZ53" s="338" t="n"/>
      <c r="CA53" s="338" t="n"/>
      <c r="CB53" s="338" t="n"/>
      <c r="CC53" s="383" t="n"/>
      <c r="CF53" s="253" t="inlineStr">
        <is>
          <t>時間内</t>
        </is>
      </c>
      <c r="CG53" s="384" t="n"/>
      <c r="CH53" s="384" t="n"/>
      <c r="CI53" s="385" t="n"/>
      <c r="CJ53" s="386">
        <f>IF(Q52="作業者1",H55-H52,0)</f>
        <v/>
      </c>
      <c r="CK53" s="387" t="n"/>
      <c r="CL53" s="387" t="n"/>
      <c r="CM53" s="387" t="n"/>
      <c r="CN53" s="388" t="n"/>
      <c r="CP53" s="253" t="inlineStr">
        <is>
          <t>時間内</t>
        </is>
      </c>
      <c r="CQ53" s="384" t="n"/>
      <c r="CR53" s="384" t="n"/>
      <c r="CS53" s="385" t="n"/>
      <c r="CT53" s="386">
        <f>IF(Q52="作業者2",H55-H52,0)</f>
        <v/>
      </c>
      <c r="CU53" s="387" t="n"/>
      <c r="CV53" s="387" t="n"/>
      <c r="CW53" s="387" t="n"/>
      <c r="CX53" s="388" t="n"/>
      <c r="CZ53" s="253" t="inlineStr">
        <is>
          <t>時間内</t>
        </is>
      </c>
      <c r="DA53" s="384" t="n"/>
      <c r="DB53" s="384" t="n"/>
      <c r="DC53" s="385" t="n"/>
      <c r="DD53" s="386">
        <f>IF(Q52="作業者3",H55-H52,0)</f>
        <v/>
      </c>
      <c r="DE53" s="387" t="n"/>
      <c r="DF53" s="387" t="n"/>
      <c r="DG53" s="387" t="n"/>
      <c r="DH53" s="388" t="n"/>
      <c r="DJ53" s="253" t="inlineStr">
        <is>
          <t>時間内</t>
        </is>
      </c>
      <c r="DK53" s="384" t="n"/>
      <c r="DL53" s="384" t="n"/>
      <c r="DM53" s="385" t="n"/>
      <c r="DN53" s="386">
        <f>IF(Q52="作業者4",H55-H52,0)</f>
        <v/>
      </c>
      <c r="DO53" s="387" t="n"/>
      <c r="DP53" s="387" t="n"/>
      <c r="DQ53" s="387" t="n"/>
      <c r="DR53" s="388" t="n"/>
      <c r="DT53" s="253" t="inlineStr">
        <is>
          <t>時間内</t>
        </is>
      </c>
      <c r="DU53" s="384" t="n"/>
      <c r="DV53" s="384" t="n"/>
      <c r="DW53" s="385" t="n"/>
      <c r="DX53" s="386">
        <f>IF(Q52="作業者5",H55-H52,0)</f>
        <v/>
      </c>
      <c r="DY53" s="387" t="n"/>
      <c r="DZ53" s="387" t="n"/>
      <c r="EA53" s="387" t="n"/>
      <c r="EB53" s="388" t="n"/>
    </row>
    <row r="54" ht="9" customHeight="1" s="337">
      <c r="B54" s="350" t="n"/>
      <c r="C54" s="338" t="n"/>
      <c r="D54" s="380" t="n"/>
      <c r="E54" s="23" t="n"/>
      <c r="F54" s="338" t="n"/>
      <c r="G54" s="24" t="n"/>
      <c r="H54" s="23" t="n"/>
      <c r="I54" s="338" t="n"/>
      <c r="J54" s="24" t="n"/>
      <c r="K54" s="23" t="n"/>
      <c r="L54" s="338" t="n"/>
      <c r="M54" s="24" t="n"/>
      <c r="N54" s="23" t="n"/>
      <c r="O54" s="338" t="n"/>
      <c r="P54" s="24" t="n"/>
      <c r="Q54" s="382" t="n"/>
      <c r="R54" s="338" t="n"/>
      <c r="S54" s="380" t="n"/>
      <c r="T54" s="382" t="n"/>
      <c r="U54" s="338" t="n"/>
      <c r="V54" s="380" t="n"/>
      <c r="W54" s="382" t="n"/>
      <c r="X54" s="338" t="n"/>
      <c r="Y54" s="338" t="n"/>
      <c r="Z54" s="338" t="n"/>
      <c r="AA54" s="338" t="n"/>
      <c r="AB54" s="338" t="n"/>
      <c r="AC54" s="338" t="n"/>
      <c r="AD54" s="338" t="n"/>
      <c r="AE54" s="338" t="n"/>
      <c r="AF54" s="338" t="n"/>
      <c r="AG54" s="338" t="n"/>
      <c r="AH54" s="338" t="n"/>
      <c r="AI54" s="338" t="n"/>
      <c r="AJ54" s="338" t="n"/>
      <c r="AK54" s="338" t="n"/>
      <c r="AL54" s="338" t="n"/>
      <c r="AM54" s="338" t="n"/>
      <c r="AN54" s="338" t="n"/>
      <c r="AO54" s="338" t="n"/>
      <c r="AP54" s="338" t="n"/>
      <c r="AQ54" s="338" t="n"/>
      <c r="AR54" s="338" t="n"/>
      <c r="AS54" s="338" t="n"/>
      <c r="AT54" s="338" t="n"/>
      <c r="AU54" s="338" t="n"/>
      <c r="AV54" s="338" t="n"/>
      <c r="AW54" s="338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8" t="n"/>
      <c r="BH54" s="338" t="n"/>
      <c r="BI54" s="338" t="n"/>
      <c r="BJ54" s="338" t="n"/>
      <c r="BK54" s="338" t="n"/>
      <c r="BL54" s="338" t="n"/>
      <c r="BM54" s="338" t="n"/>
      <c r="BN54" s="338" t="n"/>
      <c r="BO54" s="338" t="n"/>
      <c r="BP54" s="338" t="n"/>
      <c r="BQ54" s="338" t="n"/>
      <c r="BR54" s="338" t="n"/>
      <c r="BS54" s="338" t="n"/>
      <c r="BT54" s="338" t="n"/>
      <c r="BU54" s="338" t="n"/>
      <c r="BV54" s="338" t="n"/>
      <c r="BW54" s="338" t="n"/>
      <c r="BX54" s="338" t="n"/>
      <c r="BY54" s="338" t="n"/>
      <c r="BZ54" s="338" t="n"/>
      <c r="CA54" s="338" t="n"/>
      <c r="CB54" s="338" t="n"/>
      <c r="CC54" s="383" t="n"/>
      <c r="CF54" s="253" t="inlineStr">
        <is>
          <t>時間外</t>
        </is>
      </c>
      <c r="CG54" s="384" t="n"/>
      <c r="CH54" s="384" t="n"/>
      <c r="CI54" s="385" t="n"/>
      <c r="CJ54" s="386">
        <f>IF(Q52="作業者1",K55-K52,0)</f>
        <v/>
      </c>
      <c r="CK54" s="387" t="n"/>
      <c r="CL54" s="387" t="n"/>
      <c r="CM54" s="387" t="n"/>
      <c r="CN54" s="388" t="n"/>
      <c r="CP54" s="253" t="inlineStr">
        <is>
          <t>時間外</t>
        </is>
      </c>
      <c r="CQ54" s="384" t="n"/>
      <c r="CR54" s="384" t="n"/>
      <c r="CS54" s="385" t="n"/>
      <c r="CT54" s="386">
        <f>IF(Q52="作業者2",K55-K52,0)</f>
        <v/>
      </c>
      <c r="CU54" s="387" t="n"/>
      <c r="CV54" s="387" t="n"/>
      <c r="CW54" s="387" t="n"/>
      <c r="CX54" s="388" t="n"/>
      <c r="CZ54" s="253" t="inlineStr">
        <is>
          <t>時間外</t>
        </is>
      </c>
      <c r="DA54" s="384" t="n"/>
      <c r="DB54" s="384" t="n"/>
      <c r="DC54" s="385" t="n"/>
      <c r="DD54" s="386">
        <f>IF(Q52="作業者3",K55-K52,0)</f>
        <v/>
      </c>
      <c r="DE54" s="387" t="n"/>
      <c r="DF54" s="387" t="n"/>
      <c r="DG54" s="387" t="n"/>
      <c r="DH54" s="388" t="n"/>
      <c r="DJ54" s="253" t="inlineStr">
        <is>
          <t>時間外</t>
        </is>
      </c>
      <c r="DK54" s="384" t="n"/>
      <c r="DL54" s="384" t="n"/>
      <c r="DM54" s="385" t="n"/>
      <c r="DN54" s="386">
        <f>IF(Q52="作業者4",K55-K52,0)</f>
        <v/>
      </c>
      <c r="DO54" s="387" t="n"/>
      <c r="DP54" s="387" t="n"/>
      <c r="DQ54" s="387" t="n"/>
      <c r="DR54" s="388" t="n"/>
      <c r="DT54" s="253" t="inlineStr">
        <is>
          <t>時間外</t>
        </is>
      </c>
      <c r="DU54" s="384" t="n"/>
      <c r="DV54" s="384" t="n"/>
      <c r="DW54" s="385" t="n"/>
      <c r="DX54" s="386">
        <f>IF(Q52="作業者5",K55-K52,0)</f>
        <v/>
      </c>
      <c r="DY54" s="387" t="n"/>
      <c r="DZ54" s="387" t="n"/>
      <c r="EA54" s="387" t="n"/>
      <c r="EB54" s="388" t="n"/>
    </row>
    <row r="55" ht="9" customHeight="1" s="337">
      <c r="B55" s="389" t="n"/>
      <c r="C55" s="390" t="n"/>
      <c r="D55" s="391" t="n"/>
      <c r="E55" s="392" t="n"/>
      <c r="F55" s="390" t="n"/>
      <c r="G55" s="391" t="n"/>
      <c r="H55" s="392" t="n"/>
      <c r="I55" s="390" t="n"/>
      <c r="J55" s="391" t="n"/>
      <c r="K55" s="392" t="n"/>
      <c r="L55" s="390" t="n"/>
      <c r="M55" s="391" t="n"/>
      <c r="N55" s="392" t="n"/>
      <c r="O55" s="390" t="n"/>
      <c r="P55" s="391" t="n"/>
      <c r="Q55" s="393" t="n"/>
      <c r="R55" s="390" t="n"/>
      <c r="S55" s="391" t="n"/>
      <c r="T55" s="393" t="n"/>
      <c r="U55" s="390" t="n"/>
      <c r="V55" s="391" t="n"/>
      <c r="W55" s="393" t="n"/>
      <c r="X55" s="390" t="n"/>
      <c r="Y55" s="390" t="n"/>
      <c r="Z55" s="390" t="n"/>
      <c r="AA55" s="390" t="n"/>
      <c r="AB55" s="390" t="n"/>
      <c r="AC55" s="390" t="n"/>
      <c r="AD55" s="390" t="n"/>
      <c r="AE55" s="390" t="n"/>
      <c r="AF55" s="390" t="n"/>
      <c r="AG55" s="390" t="n"/>
      <c r="AH55" s="390" t="n"/>
      <c r="AI55" s="390" t="n"/>
      <c r="AJ55" s="390" t="n"/>
      <c r="AK55" s="390" t="n"/>
      <c r="AL55" s="390" t="n"/>
      <c r="AM55" s="390" t="n"/>
      <c r="AN55" s="390" t="n"/>
      <c r="AO55" s="390" t="n"/>
      <c r="AP55" s="390" t="n"/>
      <c r="AQ55" s="390" t="n"/>
      <c r="AR55" s="390" t="n"/>
      <c r="AS55" s="390" t="n"/>
      <c r="AT55" s="390" t="n"/>
      <c r="AU55" s="390" t="n"/>
      <c r="AV55" s="390" t="n"/>
      <c r="AW55" s="390" t="n"/>
      <c r="AX55" s="390" t="n"/>
      <c r="AY55" s="390" t="n"/>
      <c r="AZ55" s="390" t="n"/>
      <c r="BA55" s="390" t="n"/>
      <c r="BB55" s="390" t="n"/>
      <c r="BC55" s="390" t="n"/>
      <c r="BD55" s="390" t="n"/>
      <c r="BE55" s="390" t="n"/>
      <c r="BF55" s="390" t="n"/>
      <c r="BG55" s="390" t="n"/>
      <c r="BH55" s="390" t="n"/>
      <c r="BI55" s="390" t="n"/>
      <c r="BJ55" s="390" t="n"/>
      <c r="BK55" s="390" t="n"/>
      <c r="BL55" s="390" t="n"/>
      <c r="BM55" s="390" t="n"/>
      <c r="BN55" s="390" t="n"/>
      <c r="BO55" s="390" t="n"/>
      <c r="BP55" s="390" t="n"/>
      <c r="BQ55" s="390" t="n"/>
      <c r="BR55" s="390" t="n"/>
      <c r="BS55" s="390" t="n"/>
      <c r="BT55" s="390" t="n"/>
      <c r="BU55" s="390" t="n"/>
      <c r="BV55" s="390" t="n"/>
      <c r="BW55" s="390" t="n"/>
      <c r="BX55" s="390" t="n"/>
      <c r="BY55" s="390" t="n"/>
      <c r="BZ55" s="390" t="n"/>
      <c r="CA55" s="390" t="n"/>
      <c r="CB55" s="390" t="n"/>
      <c r="CC55" s="394" t="n"/>
      <c r="CF55" s="254" t="inlineStr">
        <is>
          <t>休日</t>
        </is>
      </c>
      <c r="CG55" s="395" t="n"/>
      <c r="CH55" s="395" t="n"/>
      <c r="CI55" s="396" t="n"/>
      <c r="CJ55" s="397">
        <f>IF(Q52="作業者1",N55-N52,0)</f>
        <v/>
      </c>
      <c r="CK55" s="395" t="n"/>
      <c r="CL55" s="395" t="n"/>
      <c r="CM55" s="395" t="n"/>
      <c r="CN55" s="396" t="n"/>
      <c r="CP55" s="254" t="inlineStr">
        <is>
          <t>休日</t>
        </is>
      </c>
      <c r="CQ55" s="395" t="n"/>
      <c r="CR55" s="395" t="n"/>
      <c r="CS55" s="396" t="n"/>
      <c r="CT55" s="397">
        <f>IF(Q52="作業者2",N55-N52,0)</f>
        <v/>
      </c>
      <c r="CU55" s="395" t="n"/>
      <c r="CV55" s="395" t="n"/>
      <c r="CW55" s="395" t="n"/>
      <c r="CX55" s="396" t="n"/>
      <c r="CZ55" s="254" t="inlineStr">
        <is>
          <t>休日</t>
        </is>
      </c>
      <c r="DA55" s="395" t="n"/>
      <c r="DB55" s="395" t="n"/>
      <c r="DC55" s="396" t="n"/>
      <c r="DD55" s="397">
        <f>IF(Q52="作業者3",N55-N52,0)</f>
        <v/>
      </c>
      <c r="DE55" s="395" t="n"/>
      <c r="DF55" s="395" t="n"/>
      <c r="DG55" s="395" t="n"/>
      <c r="DH55" s="396" t="n"/>
      <c r="DJ55" s="254" t="inlineStr">
        <is>
          <t>休日</t>
        </is>
      </c>
      <c r="DK55" s="395" t="n"/>
      <c r="DL55" s="395" t="n"/>
      <c r="DM55" s="396" t="n"/>
      <c r="DN55" s="397">
        <f>IF(Q52="作業者4",N55-N52,0)</f>
        <v/>
      </c>
      <c r="DO55" s="395" t="n"/>
      <c r="DP55" s="395" t="n"/>
      <c r="DQ55" s="395" t="n"/>
      <c r="DR55" s="396" t="n"/>
      <c r="DT55" s="254" t="inlineStr">
        <is>
          <t>休日</t>
        </is>
      </c>
      <c r="DU55" s="395" t="n"/>
      <c r="DV55" s="395" t="n"/>
      <c r="DW55" s="396" t="n"/>
      <c r="DX55" s="397">
        <f>IF(Q52="作業者5",N55-N52,0)</f>
        <v/>
      </c>
      <c r="DY55" s="395" t="n"/>
      <c r="DZ55" s="395" t="n"/>
      <c r="EA55" s="395" t="n"/>
      <c r="EB55" s="396" t="n"/>
    </row>
    <row r="56" ht="9" customHeight="1" s="337">
      <c r="B56" s="398" t="n"/>
      <c r="C56" s="372" t="n"/>
      <c r="D56" s="373" t="n"/>
      <c r="E56" s="399" t="n"/>
      <c r="F56" s="372" t="n"/>
      <c r="G56" s="373" t="n"/>
      <c r="H56" s="399" t="n"/>
      <c r="I56" s="372" t="n"/>
      <c r="J56" s="373" t="n"/>
      <c r="K56" s="399" t="n"/>
      <c r="L56" s="372" t="n"/>
      <c r="M56" s="373" t="n"/>
      <c r="N56" s="399" t="n"/>
      <c r="O56" s="372" t="n"/>
      <c r="P56" s="373" t="n"/>
      <c r="Q56" s="371" t="n"/>
      <c r="R56" s="372" t="n"/>
      <c r="S56" s="373" t="n"/>
      <c r="T56" s="371" t="n"/>
      <c r="U56" s="372" t="n"/>
      <c r="V56" s="373" t="n"/>
      <c r="W56" s="443" t="n"/>
      <c r="X56" s="372" t="n"/>
      <c r="Y56" s="372" t="n"/>
      <c r="Z56" s="372" t="n"/>
      <c r="AA56" s="372" t="n"/>
      <c r="AB56" s="372" t="n"/>
      <c r="AC56" s="372" t="n"/>
      <c r="AD56" s="372" t="n"/>
      <c r="AE56" s="372" t="n"/>
      <c r="AF56" s="372" t="n"/>
      <c r="AG56" s="372" t="n"/>
      <c r="AH56" s="372" t="n"/>
      <c r="AI56" s="372" t="n"/>
      <c r="AJ56" s="372" t="n"/>
      <c r="AK56" s="372" t="n"/>
      <c r="AL56" s="372" t="n"/>
      <c r="AM56" s="372" t="n"/>
      <c r="AN56" s="372" t="n"/>
      <c r="AO56" s="372" t="n"/>
      <c r="AP56" s="372" t="n"/>
      <c r="AQ56" s="372" t="n"/>
      <c r="AR56" s="372" t="n"/>
      <c r="AS56" s="372" t="n"/>
      <c r="AT56" s="372" t="n"/>
      <c r="AU56" s="372" t="n"/>
      <c r="AV56" s="372" t="n"/>
      <c r="AW56" s="372" t="n"/>
      <c r="AX56" s="372" t="n"/>
      <c r="AY56" s="372" t="n"/>
      <c r="AZ56" s="372" t="n"/>
      <c r="BA56" s="372" t="n"/>
      <c r="BB56" s="372" t="n"/>
      <c r="BC56" s="372" t="n"/>
      <c r="BD56" s="372" t="n"/>
      <c r="BE56" s="372" t="n"/>
      <c r="BF56" s="372" t="n"/>
      <c r="BG56" s="372" t="n"/>
      <c r="BH56" s="372" t="n"/>
      <c r="BI56" s="372" t="n"/>
      <c r="BJ56" s="372" t="n"/>
      <c r="BK56" s="372" t="n"/>
      <c r="BL56" s="372" t="n"/>
      <c r="BM56" s="372" t="n"/>
      <c r="BN56" s="372" t="n"/>
      <c r="BO56" s="372" t="n"/>
      <c r="BP56" s="372" t="n"/>
      <c r="BQ56" s="372" t="n"/>
      <c r="BR56" s="372" t="n"/>
      <c r="BS56" s="372" t="n"/>
      <c r="BT56" s="372" t="n"/>
      <c r="BU56" s="372" t="n"/>
      <c r="BV56" s="372" t="n"/>
      <c r="BW56" s="372" t="n"/>
      <c r="BX56" s="372" t="n"/>
      <c r="BY56" s="372" t="n"/>
      <c r="BZ56" s="372" t="n"/>
      <c r="CA56" s="372" t="n"/>
      <c r="CB56" s="372" t="n"/>
      <c r="CC56" s="402" t="n"/>
      <c r="CF56" s="248" t="inlineStr">
        <is>
          <t>移動</t>
        </is>
      </c>
      <c r="CG56" s="377" t="n"/>
      <c r="CH56" s="377" t="n"/>
      <c r="CI56" s="378" t="n"/>
      <c r="CJ56" s="379">
        <f>IF(Q56="作業者1",E59-E56,0)</f>
        <v/>
      </c>
      <c r="CK56" s="377" t="n"/>
      <c r="CL56" s="377" t="n"/>
      <c r="CM56" s="377" t="n"/>
      <c r="CN56" s="378" t="n"/>
      <c r="CP56" s="248" t="inlineStr">
        <is>
          <t>移動</t>
        </is>
      </c>
      <c r="CQ56" s="377" t="n"/>
      <c r="CR56" s="377" t="n"/>
      <c r="CS56" s="378" t="n"/>
      <c r="CT56" s="379">
        <f>IF(Q56="作業者2",E59-E56,0)</f>
        <v/>
      </c>
      <c r="CU56" s="377" t="n"/>
      <c r="CV56" s="377" t="n"/>
      <c r="CW56" s="377" t="n"/>
      <c r="CX56" s="378" t="n"/>
      <c r="CZ56" s="259" t="inlineStr">
        <is>
          <t>移動</t>
        </is>
      </c>
      <c r="DA56" s="403" t="n"/>
      <c r="DB56" s="403" t="n"/>
      <c r="DC56" s="404" t="n"/>
      <c r="DD56" s="405">
        <f>IF(Q56="作業者3",E59-E56,0)</f>
        <v/>
      </c>
      <c r="DE56" s="406" t="n"/>
      <c r="DF56" s="406" t="n"/>
      <c r="DG56" s="406" t="n"/>
      <c r="DH56" s="407" t="n"/>
      <c r="DJ56" s="259" t="inlineStr">
        <is>
          <t>移動</t>
        </is>
      </c>
      <c r="DK56" s="403" t="n"/>
      <c r="DL56" s="403" t="n"/>
      <c r="DM56" s="404" t="n"/>
      <c r="DN56" s="379">
        <f>IF(Q56="作業者4",E59-E56,0)</f>
        <v/>
      </c>
      <c r="DO56" s="377" t="n"/>
      <c r="DP56" s="377" t="n"/>
      <c r="DQ56" s="377" t="n"/>
      <c r="DR56" s="378" t="n"/>
      <c r="DT56" s="259" t="inlineStr">
        <is>
          <t>移動</t>
        </is>
      </c>
      <c r="DU56" s="403" t="n"/>
      <c r="DV56" s="403" t="n"/>
      <c r="DW56" s="404" t="n"/>
      <c r="DX56" s="379">
        <f>IF(Q56="作業者5",E59-E56,0)</f>
        <v/>
      </c>
      <c r="DY56" s="377" t="n"/>
      <c r="DZ56" s="377" t="n"/>
      <c r="EA56" s="377" t="n"/>
      <c r="EB56" s="378" t="n"/>
    </row>
    <row r="57" ht="9" customHeight="1" s="337">
      <c r="B57" s="350" t="n"/>
      <c r="C57" s="338" t="n"/>
      <c r="D57" s="380" t="n"/>
      <c r="E57" s="381" t="n"/>
      <c r="F57" s="122" t="inlineStr">
        <is>
          <t>～</t>
        </is>
      </c>
      <c r="G57" s="22" t="n"/>
      <c r="H57" s="381" t="n"/>
      <c r="I57" s="122" t="inlineStr">
        <is>
          <t>～</t>
        </is>
      </c>
      <c r="J57" s="22" t="n"/>
      <c r="K57" s="381" t="n"/>
      <c r="L57" s="122" t="inlineStr">
        <is>
          <t>～</t>
        </is>
      </c>
      <c r="M57" s="22" t="n"/>
      <c r="N57" s="381" t="n"/>
      <c r="O57" s="122" t="inlineStr">
        <is>
          <t>～</t>
        </is>
      </c>
      <c r="P57" s="22" t="n"/>
      <c r="Q57" s="382" t="n"/>
      <c r="R57" s="338" t="n"/>
      <c r="S57" s="380" t="n"/>
      <c r="T57" s="382" t="n"/>
      <c r="U57" s="338" t="n"/>
      <c r="V57" s="380" t="n"/>
      <c r="W57" s="382" t="n"/>
      <c r="X57" s="338" t="n"/>
      <c r="Y57" s="338" t="n"/>
      <c r="Z57" s="338" t="n"/>
      <c r="AA57" s="338" t="n"/>
      <c r="AB57" s="338" t="n"/>
      <c r="AC57" s="338" t="n"/>
      <c r="AD57" s="338" t="n"/>
      <c r="AE57" s="338" t="n"/>
      <c r="AF57" s="338" t="n"/>
      <c r="AG57" s="338" t="n"/>
      <c r="AH57" s="338" t="n"/>
      <c r="AI57" s="338" t="n"/>
      <c r="AJ57" s="338" t="n"/>
      <c r="AK57" s="338" t="n"/>
      <c r="AL57" s="338" t="n"/>
      <c r="AM57" s="338" t="n"/>
      <c r="AN57" s="338" t="n"/>
      <c r="AO57" s="338" t="n"/>
      <c r="AP57" s="338" t="n"/>
      <c r="AQ57" s="338" t="n"/>
      <c r="AR57" s="338" t="n"/>
      <c r="AS57" s="338" t="n"/>
      <c r="AT57" s="338" t="n"/>
      <c r="AU57" s="338" t="n"/>
      <c r="AV57" s="338" t="n"/>
      <c r="AW57" s="338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8" t="n"/>
      <c r="BH57" s="338" t="n"/>
      <c r="BI57" s="338" t="n"/>
      <c r="BJ57" s="338" t="n"/>
      <c r="BK57" s="338" t="n"/>
      <c r="BL57" s="338" t="n"/>
      <c r="BM57" s="338" t="n"/>
      <c r="BN57" s="338" t="n"/>
      <c r="BO57" s="338" t="n"/>
      <c r="BP57" s="338" t="n"/>
      <c r="BQ57" s="338" t="n"/>
      <c r="BR57" s="338" t="n"/>
      <c r="BS57" s="338" t="n"/>
      <c r="BT57" s="338" t="n"/>
      <c r="BU57" s="338" t="n"/>
      <c r="BV57" s="338" t="n"/>
      <c r="BW57" s="338" t="n"/>
      <c r="BX57" s="338" t="n"/>
      <c r="BY57" s="338" t="n"/>
      <c r="BZ57" s="338" t="n"/>
      <c r="CA57" s="338" t="n"/>
      <c r="CB57" s="338" t="n"/>
      <c r="CC57" s="383" t="n"/>
      <c r="CF57" s="253" t="inlineStr">
        <is>
          <t>時間内</t>
        </is>
      </c>
      <c r="CG57" s="384" t="n"/>
      <c r="CH57" s="384" t="n"/>
      <c r="CI57" s="385" t="n"/>
      <c r="CJ57" s="386">
        <f>IF(Q56="作業者1",H59-H56,0)</f>
        <v/>
      </c>
      <c r="CK57" s="387" t="n"/>
      <c r="CL57" s="387" t="n"/>
      <c r="CM57" s="387" t="n"/>
      <c r="CN57" s="388" t="n"/>
      <c r="CP57" s="253" t="inlineStr">
        <is>
          <t>時間内</t>
        </is>
      </c>
      <c r="CQ57" s="384" t="n"/>
      <c r="CR57" s="384" t="n"/>
      <c r="CS57" s="385" t="n"/>
      <c r="CT57" s="386">
        <f>IF(Q56="作業者2",H59-H56,0)</f>
        <v/>
      </c>
      <c r="CU57" s="387" t="n"/>
      <c r="CV57" s="387" t="n"/>
      <c r="CW57" s="387" t="n"/>
      <c r="CX57" s="388" t="n"/>
      <c r="CZ57" s="253" t="inlineStr">
        <is>
          <t>時間内</t>
        </is>
      </c>
      <c r="DA57" s="384" t="n"/>
      <c r="DB57" s="384" t="n"/>
      <c r="DC57" s="385" t="n"/>
      <c r="DD57" s="386">
        <f>IF(Q56="作業者3",H59-H56,0)</f>
        <v/>
      </c>
      <c r="DE57" s="387" t="n"/>
      <c r="DF57" s="387" t="n"/>
      <c r="DG57" s="387" t="n"/>
      <c r="DH57" s="388" t="n"/>
      <c r="DJ57" s="253" t="inlineStr">
        <is>
          <t>時間内</t>
        </is>
      </c>
      <c r="DK57" s="384" t="n"/>
      <c r="DL57" s="384" t="n"/>
      <c r="DM57" s="385" t="n"/>
      <c r="DN57" s="386">
        <f>IF(Q56="作業者4",H59-H56,0)</f>
        <v/>
      </c>
      <c r="DO57" s="387" t="n"/>
      <c r="DP57" s="387" t="n"/>
      <c r="DQ57" s="387" t="n"/>
      <c r="DR57" s="388" t="n"/>
      <c r="DT57" s="253" t="inlineStr">
        <is>
          <t>時間内</t>
        </is>
      </c>
      <c r="DU57" s="384" t="n"/>
      <c r="DV57" s="384" t="n"/>
      <c r="DW57" s="385" t="n"/>
      <c r="DX57" s="386">
        <f>IF(Q56="作業者5",H59-H56,0)</f>
        <v/>
      </c>
      <c r="DY57" s="387" t="n"/>
      <c r="DZ57" s="387" t="n"/>
      <c r="EA57" s="387" t="n"/>
      <c r="EB57" s="388" t="n"/>
    </row>
    <row r="58" ht="9" customHeight="1" s="337">
      <c r="B58" s="350" t="n"/>
      <c r="C58" s="338" t="n"/>
      <c r="D58" s="380" t="n"/>
      <c r="E58" s="23" t="n"/>
      <c r="F58" s="338" t="n"/>
      <c r="G58" s="24" t="n"/>
      <c r="H58" s="23" t="n"/>
      <c r="I58" s="338" t="n"/>
      <c r="J58" s="24" t="n"/>
      <c r="K58" s="23" t="n"/>
      <c r="L58" s="338" t="n"/>
      <c r="M58" s="24" t="n"/>
      <c r="N58" s="23" t="n"/>
      <c r="O58" s="338" t="n"/>
      <c r="P58" s="24" t="n"/>
      <c r="Q58" s="382" t="n"/>
      <c r="R58" s="338" t="n"/>
      <c r="S58" s="380" t="n"/>
      <c r="T58" s="382" t="n"/>
      <c r="U58" s="338" t="n"/>
      <c r="V58" s="380" t="n"/>
      <c r="W58" s="382" t="n"/>
      <c r="X58" s="338" t="n"/>
      <c r="Y58" s="338" t="n"/>
      <c r="Z58" s="338" t="n"/>
      <c r="AA58" s="338" t="n"/>
      <c r="AB58" s="338" t="n"/>
      <c r="AC58" s="338" t="n"/>
      <c r="AD58" s="338" t="n"/>
      <c r="AE58" s="338" t="n"/>
      <c r="AF58" s="338" t="n"/>
      <c r="AG58" s="338" t="n"/>
      <c r="AH58" s="338" t="n"/>
      <c r="AI58" s="338" t="n"/>
      <c r="AJ58" s="338" t="n"/>
      <c r="AK58" s="338" t="n"/>
      <c r="AL58" s="338" t="n"/>
      <c r="AM58" s="338" t="n"/>
      <c r="AN58" s="338" t="n"/>
      <c r="AO58" s="338" t="n"/>
      <c r="AP58" s="338" t="n"/>
      <c r="AQ58" s="338" t="n"/>
      <c r="AR58" s="338" t="n"/>
      <c r="AS58" s="338" t="n"/>
      <c r="AT58" s="338" t="n"/>
      <c r="AU58" s="338" t="n"/>
      <c r="AV58" s="338" t="n"/>
      <c r="AW58" s="338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8" t="n"/>
      <c r="BH58" s="338" t="n"/>
      <c r="BI58" s="338" t="n"/>
      <c r="BJ58" s="338" t="n"/>
      <c r="BK58" s="338" t="n"/>
      <c r="BL58" s="338" t="n"/>
      <c r="BM58" s="338" t="n"/>
      <c r="BN58" s="338" t="n"/>
      <c r="BO58" s="338" t="n"/>
      <c r="BP58" s="338" t="n"/>
      <c r="BQ58" s="338" t="n"/>
      <c r="BR58" s="338" t="n"/>
      <c r="BS58" s="338" t="n"/>
      <c r="BT58" s="338" t="n"/>
      <c r="BU58" s="338" t="n"/>
      <c r="BV58" s="338" t="n"/>
      <c r="BW58" s="338" t="n"/>
      <c r="BX58" s="338" t="n"/>
      <c r="BY58" s="338" t="n"/>
      <c r="BZ58" s="338" t="n"/>
      <c r="CA58" s="338" t="n"/>
      <c r="CB58" s="338" t="n"/>
      <c r="CC58" s="383" t="n"/>
      <c r="CF58" s="253" t="inlineStr">
        <is>
          <t>時間外</t>
        </is>
      </c>
      <c r="CG58" s="384" t="n"/>
      <c r="CH58" s="384" t="n"/>
      <c r="CI58" s="385" t="n"/>
      <c r="CJ58" s="386">
        <f>IF(Q56="作業者1",K59-K56,0)</f>
        <v/>
      </c>
      <c r="CK58" s="387" t="n"/>
      <c r="CL58" s="387" t="n"/>
      <c r="CM58" s="387" t="n"/>
      <c r="CN58" s="388" t="n"/>
      <c r="CP58" s="253" t="inlineStr">
        <is>
          <t>時間外</t>
        </is>
      </c>
      <c r="CQ58" s="384" t="n"/>
      <c r="CR58" s="384" t="n"/>
      <c r="CS58" s="385" t="n"/>
      <c r="CT58" s="386">
        <f>IF(Q56="作業者2",K59-K56,0)</f>
        <v/>
      </c>
      <c r="CU58" s="387" t="n"/>
      <c r="CV58" s="387" t="n"/>
      <c r="CW58" s="387" t="n"/>
      <c r="CX58" s="388" t="n"/>
      <c r="CZ58" s="253" t="inlineStr">
        <is>
          <t>時間外</t>
        </is>
      </c>
      <c r="DA58" s="384" t="n"/>
      <c r="DB58" s="384" t="n"/>
      <c r="DC58" s="385" t="n"/>
      <c r="DD58" s="386">
        <f>IF(Q56="作業者3",K59-K56,0)</f>
        <v/>
      </c>
      <c r="DE58" s="387" t="n"/>
      <c r="DF58" s="387" t="n"/>
      <c r="DG58" s="387" t="n"/>
      <c r="DH58" s="388" t="n"/>
      <c r="DJ58" s="253" t="inlineStr">
        <is>
          <t>時間外</t>
        </is>
      </c>
      <c r="DK58" s="384" t="n"/>
      <c r="DL58" s="384" t="n"/>
      <c r="DM58" s="385" t="n"/>
      <c r="DN58" s="386">
        <f>IF(Q56="作業者4",K59-K56,0)</f>
        <v/>
      </c>
      <c r="DO58" s="387" t="n"/>
      <c r="DP58" s="387" t="n"/>
      <c r="DQ58" s="387" t="n"/>
      <c r="DR58" s="388" t="n"/>
      <c r="DT58" s="253" t="inlineStr">
        <is>
          <t>時間外</t>
        </is>
      </c>
      <c r="DU58" s="384" t="n"/>
      <c r="DV58" s="384" t="n"/>
      <c r="DW58" s="385" t="n"/>
      <c r="DX58" s="386">
        <f>IF(Q56="作業者5",K59-K56,0)</f>
        <v/>
      </c>
      <c r="DY58" s="387" t="n"/>
      <c r="DZ58" s="387" t="n"/>
      <c r="EA58" s="387" t="n"/>
      <c r="EB58" s="388" t="n"/>
    </row>
    <row r="59" ht="9" customHeight="1" s="337">
      <c r="B59" s="389" t="n"/>
      <c r="C59" s="390" t="n"/>
      <c r="D59" s="391" t="n"/>
      <c r="E59" s="392" t="n"/>
      <c r="F59" s="390" t="n"/>
      <c r="G59" s="391" t="n"/>
      <c r="H59" s="392" t="n"/>
      <c r="I59" s="390" t="n"/>
      <c r="J59" s="391" t="n"/>
      <c r="K59" s="392" t="n"/>
      <c r="L59" s="390" t="n"/>
      <c r="M59" s="391" t="n"/>
      <c r="N59" s="392" t="n"/>
      <c r="O59" s="390" t="n"/>
      <c r="P59" s="391" t="n"/>
      <c r="Q59" s="393" t="n"/>
      <c r="R59" s="390" t="n"/>
      <c r="S59" s="391" t="n"/>
      <c r="T59" s="393" t="n"/>
      <c r="U59" s="390" t="n"/>
      <c r="V59" s="391" t="n"/>
      <c r="W59" s="393" t="n"/>
      <c r="X59" s="390" t="n"/>
      <c r="Y59" s="390" t="n"/>
      <c r="Z59" s="390" t="n"/>
      <c r="AA59" s="390" t="n"/>
      <c r="AB59" s="390" t="n"/>
      <c r="AC59" s="390" t="n"/>
      <c r="AD59" s="390" t="n"/>
      <c r="AE59" s="390" t="n"/>
      <c r="AF59" s="390" t="n"/>
      <c r="AG59" s="390" t="n"/>
      <c r="AH59" s="390" t="n"/>
      <c r="AI59" s="390" t="n"/>
      <c r="AJ59" s="390" t="n"/>
      <c r="AK59" s="390" t="n"/>
      <c r="AL59" s="390" t="n"/>
      <c r="AM59" s="390" t="n"/>
      <c r="AN59" s="390" t="n"/>
      <c r="AO59" s="390" t="n"/>
      <c r="AP59" s="390" t="n"/>
      <c r="AQ59" s="390" t="n"/>
      <c r="AR59" s="390" t="n"/>
      <c r="AS59" s="390" t="n"/>
      <c r="AT59" s="390" t="n"/>
      <c r="AU59" s="390" t="n"/>
      <c r="AV59" s="390" t="n"/>
      <c r="AW59" s="390" t="n"/>
      <c r="AX59" s="390" t="n"/>
      <c r="AY59" s="390" t="n"/>
      <c r="AZ59" s="390" t="n"/>
      <c r="BA59" s="390" t="n"/>
      <c r="BB59" s="390" t="n"/>
      <c r="BC59" s="390" t="n"/>
      <c r="BD59" s="390" t="n"/>
      <c r="BE59" s="390" t="n"/>
      <c r="BF59" s="390" t="n"/>
      <c r="BG59" s="390" t="n"/>
      <c r="BH59" s="390" t="n"/>
      <c r="BI59" s="390" t="n"/>
      <c r="BJ59" s="390" t="n"/>
      <c r="BK59" s="390" t="n"/>
      <c r="BL59" s="390" t="n"/>
      <c r="BM59" s="390" t="n"/>
      <c r="BN59" s="390" t="n"/>
      <c r="BO59" s="390" t="n"/>
      <c r="BP59" s="390" t="n"/>
      <c r="BQ59" s="390" t="n"/>
      <c r="BR59" s="390" t="n"/>
      <c r="BS59" s="390" t="n"/>
      <c r="BT59" s="390" t="n"/>
      <c r="BU59" s="390" t="n"/>
      <c r="BV59" s="390" t="n"/>
      <c r="BW59" s="390" t="n"/>
      <c r="BX59" s="390" t="n"/>
      <c r="BY59" s="390" t="n"/>
      <c r="BZ59" s="390" t="n"/>
      <c r="CA59" s="390" t="n"/>
      <c r="CB59" s="390" t="n"/>
      <c r="CC59" s="394" t="n"/>
      <c r="CF59" s="254" t="inlineStr">
        <is>
          <t>休日</t>
        </is>
      </c>
      <c r="CG59" s="395" t="n"/>
      <c r="CH59" s="395" t="n"/>
      <c r="CI59" s="396" t="n"/>
      <c r="CJ59" s="397">
        <f>IF(Q56="作業者1",N59-N56,0)</f>
        <v/>
      </c>
      <c r="CK59" s="395" t="n"/>
      <c r="CL59" s="395" t="n"/>
      <c r="CM59" s="395" t="n"/>
      <c r="CN59" s="396" t="n"/>
      <c r="CP59" s="254" t="inlineStr">
        <is>
          <t>休日</t>
        </is>
      </c>
      <c r="CQ59" s="395" t="n"/>
      <c r="CR59" s="395" t="n"/>
      <c r="CS59" s="396" t="n"/>
      <c r="CT59" s="397">
        <f>IF(Q56="作業者2",N59-N56,0)</f>
        <v/>
      </c>
      <c r="CU59" s="395" t="n"/>
      <c r="CV59" s="395" t="n"/>
      <c r="CW59" s="395" t="n"/>
      <c r="CX59" s="396" t="n"/>
      <c r="CZ59" s="254" t="inlineStr">
        <is>
          <t>休日</t>
        </is>
      </c>
      <c r="DA59" s="395" t="n"/>
      <c r="DB59" s="395" t="n"/>
      <c r="DC59" s="396" t="n"/>
      <c r="DD59" s="397">
        <f>IF(Q56="作業者3",N59-N56,0)</f>
        <v/>
      </c>
      <c r="DE59" s="395" t="n"/>
      <c r="DF59" s="395" t="n"/>
      <c r="DG59" s="395" t="n"/>
      <c r="DH59" s="396" t="n"/>
      <c r="DJ59" s="254" t="inlineStr">
        <is>
          <t>休日</t>
        </is>
      </c>
      <c r="DK59" s="395" t="n"/>
      <c r="DL59" s="395" t="n"/>
      <c r="DM59" s="396" t="n"/>
      <c r="DN59" s="397">
        <f>IF(Q56="作業者4",N59-N56,0)</f>
        <v/>
      </c>
      <c r="DO59" s="395" t="n"/>
      <c r="DP59" s="395" t="n"/>
      <c r="DQ59" s="395" t="n"/>
      <c r="DR59" s="396" t="n"/>
      <c r="DT59" s="254" t="inlineStr">
        <is>
          <t>休日</t>
        </is>
      </c>
      <c r="DU59" s="395" t="n"/>
      <c r="DV59" s="395" t="n"/>
      <c r="DW59" s="396" t="n"/>
      <c r="DX59" s="397">
        <f>IF(Q56="作業者5",N59-N56,0)</f>
        <v/>
      </c>
      <c r="DY59" s="395" t="n"/>
      <c r="DZ59" s="395" t="n"/>
      <c r="EA59" s="395" t="n"/>
      <c r="EB59" s="396" t="n"/>
    </row>
    <row r="60" ht="9" customHeight="1" s="337">
      <c r="B60" s="398" t="n"/>
      <c r="C60" s="372" t="n"/>
      <c r="D60" s="373" t="n"/>
      <c r="E60" s="399" t="n"/>
      <c r="F60" s="372" t="n"/>
      <c r="G60" s="373" t="n"/>
      <c r="H60" s="399" t="n"/>
      <c r="I60" s="372" t="n"/>
      <c r="J60" s="373" t="n"/>
      <c r="K60" s="399" t="n"/>
      <c r="L60" s="372" t="n"/>
      <c r="M60" s="373" t="n"/>
      <c r="N60" s="399" t="n"/>
      <c r="O60" s="372" t="n"/>
      <c r="P60" s="373" t="n"/>
      <c r="Q60" s="371" t="n"/>
      <c r="R60" s="372" t="n"/>
      <c r="S60" s="373" t="n"/>
      <c r="T60" s="371" t="n"/>
      <c r="U60" s="372" t="n"/>
      <c r="V60" s="373" t="n"/>
      <c r="W60" s="443" t="n"/>
      <c r="X60" s="372" t="n"/>
      <c r="Y60" s="372" t="n"/>
      <c r="Z60" s="372" t="n"/>
      <c r="AA60" s="372" t="n"/>
      <c r="AB60" s="372" t="n"/>
      <c r="AC60" s="372" t="n"/>
      <c r="AD60" s="372" t="n"/>
      <c r="AE60" s="372" t="n"/>
      <c r="AF60" s="372" t="n"/>
      <c r="AG60" s="372" t="n"/>
      <c r="AH60" s="372" t="n"/>
      <c r="AI60" s="372" t="n"/>
      <c r="AJ60" s="372" t="n"/>
      <c r="AK60" s="372" t="n"/>
      <c r="AL60" s="372" t="n"/>
      <c r="AM60" s="372" t="n"/>
      <c r="AN60" s="372" t="n"/>
      <c r="AO60" s="372" t="n"/>
      <c r="AP60" s="372" t="n"/>
      <c r="AQ60" s="372" t="n"/>
      <c r="AR60" s="372" t="n"/>
      <c r="AS60" s="372" t="n"/>
      <c r="AT60" s="372" t="n"/>
      <c r="AU60" s="372" t="n"/>
      <c r="AV60" s="372" t="n"/>
      <c r="AW60" s="372" t="n"/>
      <c r="AX60" s="372" t="n"/>
      <c r="AY60" s="372" t="n"/>
      <c r="AZ60" s="372" t="n"/>
      <c r="BA60" s="372" t="n"/>
      <c r="BB60" s="372" t="n"/>
      <c r="BC60" s="372" t="n"/>
      <c r="BD60" s="372" t="n"/>
      <c r="BE60" s="372" t="n"/>
      <c r="BF60" s="372" t="n"/>
      <c r="BG60" s="372" t="n"/>
      <c r="BH60" s="372" t="n"/>
      <c r="BI60" s="372" t="n"/>
      <c r="BJ60" s="372" t="n"/>
      <c r="BK60" s="372" t="n"/>
      <c r="BL60" s="372" t="n"/>
      <c r="BM60" s="372" t="n"/>
      <c r="BN60" s="372" t="n"/>
      <c r="BO60" s="372" t="n"/>
      <c r="BP60" s="372" t="n"/>
      <c r="BQ60" s="372" t="n"/>
      <c r="BR60" s="372" t="n"/>
      <c r="BS60" s="372" t="n"/>
      <c r="BT60" s="372" t="n"/>
      <c r="BU60" s="372" t="n"/>
      <c r="BV60" s="372" t="n"/>
      <c r="BW60" s="372" t="n"/>
      <c r="BX60" s="372" t="n"/>
      <c r="BY60" s="372" t="n"/>
      <c r="BZ60" s="372" t="n"/>
      <c r="CA60" s="372" t="n"/>
      <c r="CB60" s="372" t="n"/>
      <c r="CC60" s="402" t="n"/>
      <c r="CF60" s="248" t="inlineStr">
        <is>
          <t>移動</t>
        </is>
      </c>
      <c r="CG60" s="377" t="n"/>
      <c r="CH60" s="377" t="n"/>
      <c r="CI60" s="378" t="n"/>
      <c r="CJ60" s="379">
        <f>IF(Q60="作業者1",E63-E60,0)</f>
        <v/>
      </c>
      <c r="CK60" s="377" t="n"/>
      <c r="CL60" s="377" t="n"/>
      <c r="CM60" s="377" t="n"/>
      <c r="CN60" s="378" t="n"/>
      <c r="CP60" s="248" t="inlineStr">
        <is>
          <t>移動</t>
        </is>
      </c>
      <c r="CQ60" s="377" t="n"/>
      <c r="CR60" s="377" t="n"/>
      <c r="CS60" s="378" t="n"/>
      <c r="CT60" s="379">
        <f>IF(Q60="作業者2",E63-E60,0)</f>
        <v/>
      </c>
      <c r="CU60" s="377" t="n"/>
      <c r="CV60" s="377" t="n"/>
      <c r="CW60" s="377" t="n"/>
      <c r="CX60" s="378" t="n"/>
      <c r="CZ60" s="259" t="inlineStr">
        <is>
          <t>移動</t>
        </is>
      </c>
      <c r="DA60" s="403" t="n"/>
      <c r="DB60" s="403" t="n"/>
      <c r="DC60" s="404" t="n"/>
      <c r="DD60" s="405">
        <f>IF(Q60="作業者3",E63-E60,0)</f>
        <v/>
      </c>
      <c r="DE60" s="406" t="n"/>
      <c r="DF60" s="406" t="n"/>
      <c r="DG60" s="406" t="n"/>
      <c r="DH60" s="407" t="n"/>
      <c r="DJ60" s="259" t="inlineStr">
        <is>
          <t>移動</t>
        </is>
      </c>
      <c r="DK60" s="403" t="n"/>
      <c r="DL60" s="403" t="n"/>
      <c r="DM60" s="404" t="n"/>
      <c r="DN60" s="379">
        <f>IF(Q60="作業者4",E63-E60,0)</f>
        <v/>
      </c>
      <c r="DO60" s="377" t="n"/>
      <c r="DP60" s="377" t="n"/>
      <c r="DQ60" s="377" t="n"/>
      <c r="DR60" s="378" t="n"/>
      <c r="DT60" s="259" t="inlineStr">
        <is>
          <t>移動</t>
        </is>
      </c>
      <c r="DU60" s="403" t="n"/>
      <c r="DV60" s="403" t="n"/>
      <c r="DW60" s="404" t="n"/>
      <c r="DX60" s="379">
        <f>IF(Q60="作業者5",E63-E60,0)</f>
        <v/>
      </c>
      <c r="DY60" s="377" t="n"/>
      <c r="DZ60" s="377" t="n"/>
      <c r="EA60" s="377" t="n"/>
      <c r="EB60" s="378" t="n"/>
    </row>
    <row r="61" ht="9" customHeight="1" s="337">
      <c r="B61" s="350" t="n"/>
      <c r="C61" s="338" t="n"/>
      <c r="D61" s="380" t="n"/>
      <c r="E61" s="381" t="n"/>
      <c r="F61" s="122" t="inlineStr">
        <is>
          <t>～</t>
        </is>
      </c>
      <c r="G61" s="22" t="n"/>
      <c r="H61" s="381" t="n"/>
      <c r="I61" s="122" t="inlineStr">
        <is>
          <t>～</t>
        </is>
      </c>
      <c r="J61" s="22" t="n"/>
      <c r="K61" s="381" t="n"/>
      <c r="L61" s="122" t="inlineStr">
        <is>
          <t>～</t>
        </is>
      </c>
      <c r="M61" s="22" t="n"/>
      <c r="N61" s="381" t="n"/>
      <c r="O61" s="122" t="inlineStr">
        <is>
          <t>～</t>
        </is>
      </c>
      <c r="P61" s="22" t="n"/>
      <c r="Q61" s="382" t="n"/>
      <c r="R61" s="338" t="n"/>
      <c r="S61" s="380" t="n"/>
      <c r="T61" s="382" t="n"/>
      <c r="U61" s="338" t="n"/>
      <c r="V61" s="380" t="n"/>
      <c r="W61" s="382" t="n"/>
      <c r="X61" s="338" t="n"/>
      <c r="Y61" s="338" t="n"/>
      <c r="Z61" s="338" t="n"/>
      <c r="AA61" s="338" t="n"/>
      <c r="AB61" s="338" t="n"/>
      <c r="AC61" s="338" t="n"/>
      <c r="AD61" s="338" t="n"/>
      <c r="AE61" s="338" t="n"/>
      <c r="AF61" s="338" t="n"/>
      <c r="AG61" s="338" t="n"/>
      <c r="AH61" s="338" t="n"/>
      <c r="AI61" s="338" t="n"/>
      <c r="AJ61" s="338" t="n"/>
      <c r="AK61" s="338" t="n"/>
      <c r="AL61" s="338" t="n"/>
      <c r="AM61" s="338" t="n"/>
      <c r="AN61" s="338" t="n"/>
      <c r="AO61" s="338" t="n"/>
      <c r="AP61" s="338" t="n"/>
      <c r="AQ61" s="338" t="n"/>
      <c r="AR61" s="338" t="n"/>
      <c r="AS61" s="338" t="n"/>
      <c r="AT61" s="338" t="n"/>
      <c r="AU61" s="338" t="n"/>
      <c r="AV61" s="338" t="n"/>
      <c r="AW61" s="338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8" t="n"/>
      <c r="BH61" s="338" t="n"/>
      <c r="BI61" s="338" t="n"/>
      <c r="BJ61" s="338" t="n"/>
      <c r="BK61" s="338" t="n"/>
      <c r="BL61" s="338" t="n"/>
      <c r="BM61" s="338" t="n"/>
      <c r="BN61" s="338" t="n"/>
      <c r="BO61" s="338" t="n"/>
      <c r="BP61" s="338" t="n"/>
      <c r="BQ61" s="338" t="n"/>
      <c r="BR61" s="338" t="n"/>
      <c r="BS61" s="338" t="n"/>
      <c r="BT61" s="338" t="n"/>
      <c r="BU61" s="338" t="n"/>
      <c r="BV61" s="338" t="n"/>
      <c r="BW61" s="338" t="n"/>
      <c r="BX61" s="338" t="n"/>
      <c r="BY61" s="338" t="n"/>
      <c r="BZ61" s="338" t="n"/>
      <c r="CA61" s="338" t="n"/>
      <c r="CB61" s="338" t="n"/>
      <c r="CC61" s="383" t="n"/>
      <c r="CF61" s="253" t="inlineStr">
        <is>
          <t>時間内</t>
        </is>
      </c>
      <c r="CG61" s="384" t="n"/>
      <c r="CH61" s="384" t="n"/>
      <c r="CI61" s="385" t="n"/>
      <c r="CJ61" s="386">
        <f>IF(Q60="作業者1",H63-H60,0)</f>
        <v/>
      </c>
      <c r="CK61" s="387" t="n"/>
      <c r="CL61" s="387" t="n"/>
      <c r="CM61" s="387" t="n"/>
      <c r="CN61" s="388" t="n"/>
      <c r="CP61" s="253" t="inlineStr">
        <is>
          <t>時間内</t>
        </is>
      </c>
      <c r="CQ61" s="384" t="n"/>
      <c r="CR61" s="384" t="n"/>
      <c r="CS61" s="385" t="n"/>
      <c r="CT61" s="386">
        <f>IF(Q60="作業者2",H63-H60,0)</f>
        <v/>
      </c>
      <c r="CU61" s="387" t="n"/>
      <c r="CV61" s="387" t="n"/>
      <c r="CW61" s="387" t="n"/>
      <c r="CX61" s="388" t="n"/>
      <c r="CZ61" s="253" t="inlineStr">
        <is>
          <t>時間内</t>
        </is>
      </c>
      <c r="DA61" s="384" t="n"/>
      <c r="DB61" s="384" t="n"/>
      <c r="DC61" s="385" t="n"/>
      <c r="DD61" s="386">
        <f>IF(Q60="作業者3",H63-H60,0)</f>
        <v/>
      </c>
      <c r="DE61" s="387" t="n"/>
      <c r="DF61" s="387" t="n"/>
      <c r="DG61" s="387" t="n"/>
      <c r="DH61" s="388" t="n"/>
      <c r="DJ61" s="253" t="inlineStr">
        <is>
          <t>時間内</t>
        </is>
      </c>
      <c r="DK61" s="384" t="n"/>
      <c r="DL61" s="384" t="n"/>
      <c r="DM61" s="385" t="n"/>
      <c r="DN61" s="386">
        <f>IF(Q60="作業者4",H63-H60,0)</f>
        <v/>
      </c>
      <c r="DO61" s="387" t="n"/>
      <c r="DP61" s="387" t="n"/>
      <c r="DQ61" s="387" t="n"/>
      <c r="DR61" s="388" t="n"/>
      <c r="DT61" s="253" t="inlineStr">
        <is>
          <t>時間内</t>
        </is>
      </c>
      <c r="DU61" s="384" t="n"/>
      <c r="DV61" s="384" t="n"/>
      <c r="DW61" s="385" t="n"/>
      <c r="DX61" s="386">
        <f>IF(Q60="作業者5",H63-H60,0)</f>
        <v/>
      </c>
      <c r="DY61" s="387" t="n"/>
      <c r="DZ61" s="387" t="n"/>
      <c r="EA61" s="387" t="n"/>
      <c r="EB61" s="388" t="n"/>
    </row>
    <row r="62" ht="9" customHeight="1" s="337">
      <c r="B62" s="350" t="n"/>
      <c r="C62" s="338" t="n"/>
      <c r="D62" s="380" t="n"/>
      <c r="E62" s="23" t="n"/>
      <c r="F62" s="338" t="n"/>
      <c r="G62" s="24" t="n"/>
      <c r="H62" s="23" t="n"/>
      <c r="I62" s="338" t="n"/>
      <c r="J62" s="24" t="n"/>
      <c r="K62" s="23" t="n"/>
      <c r="L62" s="338" t="n"/>
      <c r="M62" s="24" t="n"/>
      <c r="N62" s="23" t="n"/>
      <c r="O62" s="338" t="n"/>
      <c r="P62" s="24" t="n"/>
      <c r="Q62" s="382" t="n"/>
      <c r="R62" s="338" t="n"/>
      <c r="S62" s="380" t="n"/>
      <c r="T62" s="382" t="n"/>
      <c r="U62" s="338" t="n"/>
      <c r="V62" s="380" t="n"/>
      <c r="W62" s="382" t="n"/>
      <c r="X62" s="338" t="n"/>
      <c r="Y62" s="338" t="n"/>
      <c r="Z62" s="338" t="n"/>
      <c r="AA62" s="338" t="n"/>
      <c r="AB62" s="338" t="n"/>
      <c r="AC62" s="338" t="n"/>
      <c r="AD62" s="338" t="n"/>
      <c r="AE62" s="338" t="n"/>
      <c r="AF62" s="338" t="n"/>
      <c r="AG62" s="338" t="n"/>
      <c r="AH62" s="338" t="n"/>
      <c r="AI62" s="338" t="n"/>
      <c r="AJ62" s="338" t="n"/>
      <c r="AK62" s="338" t="n"/>
      <c r="AL62" s="338" t="n"/>
      <c r="AM62" s="338" t="n"/>
      <c r="AN62" s="338" t="n"/>
      <c r="AO62" s="338" t="n"/>
      <c r="AP62" s="338" t="n"/>
      <c r="AQ62" s="338" t="n"/>
      <c r="AR62" s="338" t="n"/>
      <c r="AS62" s="338" t="n"/>
      <c r="AT62" s="338" t="n"/>
      <c r="AU62" s="338" t="n"/>
      <c r="AV62" s="338" t="n"/>
      <c r="AW62" s="338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8" t="n"/>
      <c r="BH62" s="338" t="n"/>
      <c r="BI62" s="338" t="n"/>
      <c r="BJ62" s="338" t="n"/>
      <c r="BK62" s="338" t="n"/>
      <c r="BL62" s="338" t="n"/>
      <c r="BM62" s="338" t="n"/>
      <c r="BN62" s="338" t="n"/>
      <c r="BO62" s="338" t="n"/>
      <c r="BP62" s="338" t="n"/>
      <c r="BQ62" s="338" t="n"/>
      <c r="BR62" s="338" t="n"/>
      <c r="BS62" s="338" t="n"/>
      <c r="BT62" s="338" t="n"/>
      <c r="BU62" s="338" t="n"/>
      <c r="BV62" s="338" t="n"/>
      <c r="BW62" s="338" t="n"/>
      <c r="BX62" s="338" t="n"/>
      <c r="BY62" s="338" t="n"/>
      <c r="BZ62" s="338" t="n"/>
      <c r="CA62" s="338" t="n"/>
      <c r="CB62" s="338" t="n"/>
      <c r="CC62" s="383" t="n"/>
      <c r="CF62" s="253" t="inlineStr">
        <is>
          <t>時間外</t>
        </is>
      </c>
      <c r="CG62" s="384" t="n"/>
      <c r="CH62" s="384" t="n"/>
      <c r="CI62" s="385" t="n"/>
      <c r="CJ62" s="386">
        <f>IF(Q60="作業者1",K63-K60,0)</f>
        <v/>
      </c>
      <c r="CK62" s="387" t="n"/>
      <c r="CL62" s="387" t="n"/>
      <c r="CM62" s="387" t="n"/>
      <c r="CN62" s="388" t="n"/>
      <c r="CP62" s="253" t="inlineStr">
        <is>
          <t>時間外</t>
        </is>
      </c>
      <c r="CQ62" s="384" t="n"/>
      <c r="CR62" s="384" t="n"/>
      <c r="CS62" s="385" t="n"/>
      <c r="CT62" s="386">
        <f>IF(Q60="作業者2",K63-K60,0)</f>
        <v/>
      </c>
      <c r="CU62" s="387" t="n"/>
      <c r="CV62" s="387" t="n"/>
      <c r="CW62" s="387" t="n"/>
      <c r="CX62" s="388" t="n"/>
      <c r="CZ62" s="253" t="inlineStr">
        <is>
          <t>時間外</t>
        </is>
      </c>
      <c r="DA62" s="384" t="n"/>
      <c r="DB62" s="384" t="n"/>
      <c r="DC62" s="385" t="n"/>
      <c r="DD62" s="386">
        <f>IF(Q60="作業者3",K63-K60,0)</f>
        <v/>
      </c>
      <c r="DE62" s="387" t="n"/>
      <c r="DF62" s="387" t="n"/>
      <c r="DG62" s="387" t="n"/>
      <c r="DH62" s="388" t="n"/>
      <c r="DJ62" s="253" t="inlineStr">
        <is>
          <t>時間外</t>
        </is>
      </c>
      <c r="DK62" s="384" t="n"/>
      <c r="DL62" s="384" t="n"/>
      <c r="DM62" s="385" t="n"/>
      <c r="DN62" s="386">
        <f>IF(Q60="作業者4",K63-K60,0)</f>
        <v/>
      </c>
      <c r="DO62" s="387" t="n"/>
      <c r="DP62" s="387" t="n"/>
      <c r="DQ62" s="387" t="n"/>
      <c r="DR62" s="388" t="n"/>
      <c r="DT62" s="253" t="inlineStr">
        <is>
          <t>時間外</t>
        </is>
      </c>
      <c r="DU62" s="384" t="n"/>
      <c r="DV62" s="384" t="n"/>
      <c r="DW62" s="385" t="n"/>
      <c r="DX62" s="386">
        <f>IF(Q60="作業者5",K63-K60,0)</f>
        <v/>
      </c>
      <c r="DY62" s="387" t="n"/>
      <c r="DZ62" s="387" t="n"/>
      <c r="EA62" s="387" t="n"/>
      <c r="EB62" s="388" t="n"/>
    </row>
    <row r="63" ht="9" customHeight="1" s="337">
      <c r="B63" s="389" t="n"/>
      <c r="C63" s="390" t="n"/>
      <c r="D63" s="391" t="n"/>
      <c r="E63" s="392" t="n"/>
      <c r="F63" s="390" t="n"/>
      <c r="G63" s="391" t="n"/>
      <c r="H63" s="392" t="n"/>
      <c r="I63" s="390" t="n"/>
      <c r="J63" s="391" t="n"/>
      <c r="K63" s="392" t="n"/>
      <c r="L63" s="390" t="n"/>
      <c r="M63" s="391" t="n"/>
      <c r="N63" s="392" t="n"/>
      <c r="O63" s="390" t="n"/>
      <c r="P63" s="391" t="n"/>
      <c r="Q63" s="393" t="n"/>
      <c r="R63" s="390" t="n"/>
      <c r="S63" s="391" t="n"/>
      <c r="T63" s="393" t="n"/>
      <c r="U63" s="390" t="n"/>
      <c r="V63" s="391" t="n"/>
      <c r="W63" s="393" t="n"/>
      <c r="X63" s="390" t="n"/>
      <c r="Y63" s="390" t="n"/>
      <c r="Z63" s="390" t="n"/>
      <c r="AA63" s="390" t="n"/>
      <c r="AB63" s="390" t="n"/>
      <c r="AC63" s="390" t="n"/>
      <c r="AD63" s="390" t="n"/>
      <c r="AE63" s="390" t="n"/>
      <c r="AF63" s="390" t="n"/>
      <c r="AG63" s="390" t="n"/>
      <c r="AH63" s="390" t="n"/>
      <c r="AI63" s="390" t="n"/>
      <c r="AJ63" s="390" t="n"/>
      <c r="AK63" s="390" t="n"/>
      <c r="AL63" s="390" t="n"/>
      <c r="AM63" s="390" t="n"/>
      <c r="AN63" s="390" t="n"/>
      <c r="AO63" s="390" t="n"/>
      <c r="AP63" s="390" t="n"/>
      <c r="AQ63" s="390" t="n"/>
      <c r="AR63" s="390" t="n"/>
      <c r="AS63" s="390" t="n"/>
      <c r="AT63" s="390" t="n"/>
      <c r="AU63" s="390" t="n"/>
      <c r="AV63" s="390" t="n"/>
      <c r="AW63" s="390" t="n"/>
      <c r="AX63" s="390" t="n"/>
      <c r="AY63" s="390" t="n"/>
      <c r="AZ63" s="390" t="n"/>
      <c r="BA63" s="390" t="n"/>
      <c r="BB63" s="390" t="n"/>
      <c r="BC63" s="390" t="n"/>
      <c r="BD63" s="390" t="n"/>
      <c r="BE63" s="390" t="n"/>
      <c r="BF63" s="390" t="n"/>
      <c r="BG63" s="390" t="n"/>
      <c r="BH63" s="390" t="n"/>
      <c r="BI63" s="390" t="n"/>
      <c r="BJ63" s="390" t="n"/>
      <c r="BK63" s="390" t="n"/>
      <c r="BL63" s="390" t="n"/>
      <c r="BM63" s="390" t="n"/>
      <c r="BN63" s="390" t="n"/>
      <c r="BO63" s="390" t="n"/>
      <c r="BP63" s="390" t="n"/>
      <c r="BQ63" s="390" t="n"/>
      <c r="BR63" s="390" t="n"/>
      <c r="BS63" s="390" t="n"/>
      <c r="BT63" s="390" t="n"/>
      <c r="BU63" s="390" t="n"/>
      <c r="BV63" s="390" t="n"/>
      <c r="BW63" s="390" t="n"/>
      <c r="BX63" s="390" t="n"/>
      <c r="BY63" s="390" t="n"/>
      <c r="BZ63" s="390" t="n"/>
      <c r="CA63" s="390" t="n"/>
      <c r="CB63" s="390" t="n"/>
      <c r="CC63" s="394" t="n"/>
      <c r="CF63" s="254" t="inlineStr">
        <is>
          <t>休日</t>
        </is>
      </c>
      <c r="CG63" s="395" t="n"/>
      <c r="CH63" s="395" t="n"/>
      <c r="CI63" s="396" t="n"/>
      <c r="CJ63" s="397">
        <f>IF(Q60="作業者1",N63-N60,0)</f>
        <v/>
      </c>
      <c r="CK63" s="395" t="n"/>
      <c r="CL63" s="395" t="n"/>
      <c r="CM63" s="395" t="n"/>
      <c r="CN63" s="396" t="n"/>
      <c r="CP63" s="254" t="inlineStr">
        <is>
          <t>休日</t>
        </is>
      </c>
      <c r="CQ63" s="395" t="n"/>
      <c r="CR63" s="395" t="n"/>
      <c r="CS63" s="396" t="n"/>
      <c r="CT63" s="397">
        <f>IF(Q60="作業者2",N63-N60,0)</f>
        <v/>
      </c>
      <c r="CU63" s="395" t="n"/>
      <c r="CV63" s="395" t="n"/>
      <c r="CW63" s="395" t="n"/>
      <c r="CX63" s="396" t="n"/>
      <c r="CZ63" s="254" t="inlineStr">
        <is>
          <t>休日</t>
        </is>
      </c>
      <c r="DA63" s="395" t="n"/>
      <c r="DB63" s="395" t="n"/>
      <c r="DC63" s="396" t="n"/>
      <c r="DD63" s="397">
        <f>IF(Q60="作業者3",N63-N60,0)</f>
        <v/>
      </c>
      <c r="DE63" s="395" t="n"/>
      <c r="DF63" s="395" t="n"/>
      <c r="DG63" s="395" t="n"/>
      <c r="DH63" s="396" t="n"/>
      <c r="DJ63" s="254" t="inlineStr">
        <is>
          <t>休日</t>
        </is>
      </c>
      <c r="DK63" s="395" t="n"/>
      <c r="DL63" s="395" t="n"/>
      <c r="DM63" s="396" t="n"/>
      <c r="DN63" s="397">
        <f>IF(Q60="作業者4",N63-N60,0)</f>
        <v/>
      </c>
      <c r="DO63" s="395" t="n"/>
      <c r="DP63" s="395" t="n"/>
      <c r="DQ63" s="395" t="n"/>
      <c r="DR63" s="396" t="n"/>
      <c r="DT63" s="254" t="inlineStr">
        <is>
          <t>休日</t>
        </is>
      </c>
      <c r="DU63" s="395" t="n"/>
      <c r="DV63" s="395" t="n"/>
      <c r="DW63" s="396" t="n"/>
      <c r="DX63" s="397">
        <f>IF(Q60="作業者5",N63-N60,0)</f>
        <v/>
      </c>
      <c r="DY63" s="395" t="n"/>
      <c r="DZ63" s="395" t="n"/>
      <c r="EA63" s="395" t="n"/>
      <c r="EB63" s="396" t="n"/>
    </row>
    <row r="64" ht="9" customHeight="1" s="337">
      <c r="B64" s="410" t="n"/>
      <c r="C64" s="372" t="n"/>
      <c r="D64" s="373" t="n"/>
      <c r="E64" s="399" t="n"/>
      <c r="F64" s="372" t="n"/>
      <c r="G64" s="373" t="n"/>
      <c r="H64" s="399" t="n"/>
      <c r="I64" s="372" t="n"/>
      <c r="J64" s="373" t="n"/>
      <c r="K64" s="399" t="n"/>
      <c r="L64" s="372" t="n"/>
      <c r="M64" s="373" t="n"/>
      <c r="N64" s="399" t="n"/>
      <c r="O64" s="372" t="n"/>
      <c r="P64" s="373" t="n"/>
      <c r="Q64" s="444" t="n"/>
      <c r="R64" s="372" t="n"/>
      <c r="S64" s="445" t="n"/>
      <c r="T64" s="411" t="n"/>
      <c r="U64" s="372" t="n"/>
      <c r="V64" s="373" t="n"/>
      <c r="W64" s="443" t="n"/>
      <c r="X64" s="372" t="n"/>
      <c r="Y64" s="372" t="n"/>
      <c r="Z64" s="372" t="n"/>
      <c r="AA64" s="372" t="n"/>
      <c r="AB64" s="372" t="n"/>
      <c r="AC64" s="372" t="n"/>
      <c r="AD64" s="372" t="n"/>
      <c r="AE64" s="372" t="n"/>
      <c r="AF64" s="372" t="n"/>
      <c r="AG64" s="372" t="n"/>
      <c r="AH64" s="372" t="n"/>
      <c r="AI64" s="372" t="n"/>
      <c r="AJ64" s="372" t="n"/>
      <c r="AK64" s="372" t="n"/>
      <c r="AL64" s="372" t="n"/>
      <c r="AM64" s="372" t="n"/>
      <c r="AN64" s="372" t="n"/>
      <c r="AO64" s="372" t="n"/>
      <c r="AP64" s="372" t="n"/>
      <c r="AQ64" s="372" t="n"/>
      <c r="AR64" s="372" t="n"/>
      <c r="AS64" s="372" t="n"/>
      <c r="AT64" s="372" t="n"/>
      <c r="AU64" s="372" t="n"/>
      <c r="AV64" s="372" t="n"/>
      <c r="AW64" s="372" t="n"/>
      <c r="AX64" s="372" t="n"/>
      <c r="AY64" s="372" t="n"/>
      <c r="AZ64" s="372" t="n"/>
      <c r="BA64" s="372" t="n"/>
      <c r="BB64" s="372" t="n"/>
      <c r="BC64" s="372" t="n"/>
      <c r="BD64" s="372" t="n"/>
      <c r="BE64" s="372" t="n"/>
      <c r="BF64" s="372" t="n"/>
      <c r="BG64" s="372" t="n"/>
      <c r="BH64" s="372" t="n"/>
      <c r="BI64" s="372" t="n"/>
      <c r="BJ64" s="372" t="n"/>
      <c r="BK64" s="372" t="n"/>
      <c r="BL64" s="372" t="n"/>
      <c r="BM64" s="372" t="n"/>
      <c r="BN64" s="372" t="n"/>
      <c r="BO64" s="372" t="n"/>
      <c r="BP64" s="372" t="n"/>
      <c r="BQ64" s="372" t="n"/>
      <c r="BR64" s="372" t="n"/>
      <c r="BS64" s="372" t="n"/>
      <c r="BT64" s="372" t="n"/>
      <c r="BU64" s="372" t="n"/>
      <c r="BV64" s="372" t="n"/>
      <c r="BW64" s="372" t="n"/>
      <c r="BX64" s="372" t="n"/>
      <c r="BY64" s="372" t="n"/>
      <c r="BZ64" s="372" t="n"/>
      <c r="CA64" s="372" t="n"/>
      <c r="CB64" s="372" t="n"/>
      <c r="CC64" s="402" t="n"/>
      <c r="CF64" s="248" t="inlineStr">
        <is>
          <t>移動</t>
        </is>
      </c>
      <c r="CG64" s="377" t="n"/>
      <c r="CH64" s="377" t="n"/>
      <c r="CI64" s="378" t="n"/>
      <c r="CJ64" s="379">
        <f>IF(Q64="作業者1",E67-E64,0)</f>
        <v/>
      </c>
      <c r="CK64" s="377" t="n"/>
      <c r="CL64" s="377" t="n"/>
      <c r="CM64" s="377" t="n"/>
      <c r="CN64" s="378" t="n"/>
      <c r="CP64" s="248" t="inlineStr">
        <is>
          <t>移動</t>
        </is>
      </c>
      <c r="CQ64" s="377" t="n"/>
      <c r="CR64" s="377" t="n"/>
      <c r="CS64" s="378" t="n"/>
      <c r="CT64" s="379">
        <f>IF(Q64="作業者2",E67-E64,0)</f>
        <v/>
      </c>
      <c r="CU64" s="377" t="n"/>
      <c r="CV64" s="377" t="n"/>
      <c r="CW64" s="377" t="n"/>
      <c r="CX64" s="378" t="n"/>
      <c r="CZ64" s="259" t="inlineStr">
        <is>
          <t>移動</t>
        </is>
      </c>
      <c r="DA64" s="403" t="n"/>
      <c r="DB64" s="403" t="n"/>
      <c r="DC64" s="404" t="n"/>
      <c r="DD64" s="405">
        <f>IF(Q64="作業者3",E67-E64,0)</f>
        <v/>
      </c>
      <c r="DE64" s="406" t="n"/>
      <c r="DF64" s="406" t="n"/>
      <c r="DG64" s="406" t="n"/>
      <c r="DH64" s="407" t="n"/>
      <c r="DJ64" s="259" t="inlineStr">
        <is>
          <t>移動</t>
        </is>
      </c>
      <c r="DK64" s="403" t="n"/>
      <c r="DL64" s="403" t="n"/>
      <c r="DM64" s="404" t="n"/>
      <c r="DN64" s="379">
        <f>IF(Q64="作業者4",E67-E64,0)</f>
        <v/>
      </c>
      <c r="DO64" s="377" t="n"/>
      <c r="DP64" s="377" t="n"/>
      <c r="DQ64" s="377" t="n"/>
      <c r="DR64" s="378" t="n"/>
      <c r="DT64" s="259" t="inlineStr">
        <is>
          <t>移動</t>
        </is>
      </c>
      <c r="DU64" s="403" t="n"/>
      <c r="DV64" s="403" t="n"/>
      <c r="DW64" s="404" t="n"/>
      <c r="DX64" s="379">
        <f>IF(Q64="作業者5",E67-E64,0)</f>
        <v/>
      </c>
      <c r="DY64" s="377" t="n"/>
      <c r="DZ64" s="377" t="n"/>
      <c r="EA64" s="377" t="n"/>
      <c r="EB64" s="378" t="n"/>
    </row>
    <row r="65" ht="9" customHeight="1" s="337">
      <c r="B65" s="350" t="n"/>
      <c r="C65" s="338" t="n"/>
      <c r="D65" s="380" t="n"/>
      <c r="E65" s="381" t="n"/>
      <c r="F65" s="122" t="inlineStr">
        <is>
          <t>～</t>
        </is>
      </c>
      <c r="G65" s="22" t="n"/>
      <c r="H65" s="381" t="n"/>
      <c r="I65" s="122" t="inlineStr">
        <is>
          <t>～</t>
        </is>
      </c>
      <c r="J65" s="22" t="n"/>
      <c r="K65" s="381" t="n"/>
      <c r="L65" s="122" t="inlineStr">
        <is>
          <t>～</t>
        </is>
      </c>
      <c r="M65" s="22" t="n"/>
      <c r="N65" s="381" t="n"/>
      <c r="O65" s="122" t="inlineStr">
        <is>
          <t>～</t>
        </is>
      </c>
      <c r="P65" s="22" t="n"/>
      <c r="Q65" s="382" t="n"/>
      <c r="R65" s="338" t="n"/>
      <c r="S65" s="446" t="n"/>
      <c r="T65" s="382" t="n"/>
      <c r="U65" s="338" t="n"/>
      <c r="V65" s="380" t="n"/>
      <c r="W65" s="382" t="n"/>
      <c r="X65" s="338" t="n"/>
      <c r="Y65" s="338" t="n"/>
      <c r="Z65" s="338" t="n"/>
      <c r="AA65" s="338" t="n"/>
      <c r="AB65" s="338" t="n"/>
      <c r="AC65" s="338" t="n"/>
      <c r="AD65" s="338" t="n"/>
      <c r="AE65" s="338" t="n"/>
      <c r="AF65" s="338" t="n"/>
      <c r="AG65" s="338" t="n"/>
      <c r="AH65" s="338" t="n"/>
      <c r="AI65" s="338" t="n"/>
      <c r="AJ65" s="338" t="n"/>
      <c r="AK65" s="338" t="n"/>
      <c r="AL65" s="338" t="n"/>
      <c r="AM65" s="338" t="n"/>
      <c r="AN65" s="338" t="n"/>
      <c r="AO65" s="338" t="n"/>
      <c r="AP65" s="338" t="n"/>
      <c r="AQ65" s="338" t="n"/>
      <c r="AR65" s="338" t="n"/>
      <c r="AS65" s="338" t="n"/>
      <c r="AT65" s="338" t="n"/>
      <c r="AU65" s="338" t="n"/>
      <c r="AV65" s="338" t="n"/>
      <c r="AW65" s="338" t="n"/>
      <c r="AX65" s="338" t="n"/>
      <c r="AY65" s="338" t="n"/>
      <c r="AZ65" s="338" t="n"/>
      <c r="BA65" s="338" t="n"/>
      <c r="BB65" s="338" t="n"/>
      <c r="BC65" s="338" t="n"/>
      <c r="BD65" s="338" t="n"/>
      <c r="BE65" s="338" t="n"/>
      <c r="BF65" s="338" t="n"/>
      <c r="BG65" s="338" t="n"/>
      <c r="BH65" s="338" t="n"/>
      <c r="BI65" s="338" t="n"/>
      <c r="BJ65" s="338" t="n"/>
      <c r="BK65" s="338" t="n"/>
      <c r="BL65" s="338" t="n"/>
      <c r="BM65" s="338" t="n"/>
      <c r="BN65" s="338" t="n"/>
      <c r="BO65" s="338" t="n"/>
      <c r="BP65" s="338" t="n"/>
      <c r="BQ65" s="338" t="n"/>
      <c r="BR65" s="338" t="n"/>
      <c r="BS65" s="338" t="n"/>
      <c r="BT65" s="338" t="n"/>
      <c r="BU65" s="338" t="n"/>
      <c r="BV65" s="338" t="n"/>
      <c r="BW65" s="338" t="n"/>
      <c r="BX65" s="338" t="n"/>
      <c r="BY65" s="338" t="n"/>
      <c r="BZ65" s="338" t="n"/>
      <c r="CA65" s="338" t="n"/>
      <c r="CB65" s="338" t="n"/>
      <c r="CC65" s="383" t="n"/>
      <c r="CF65" s="253" t="inlineStr">
        <is>
          <t>時間内</t>
        </is>
      </c>
      <c r="CG65" s="384" t="n"/>
      <c r="CH65" s="384" t="n"/>
      <c r="CI65" s="385" t="n"/>
      <c r="CJ65" s="386">
        <f>IF(Q64="作業者1",H67-H64,0)</f>
        <v/>
      </c>
      <c r="CK65" s="387" t="n"/>
      <c r="CL65" s="387" t="n"/>
      <c r="CM65" s="387" t="n"/>
      <c r="CN65" s="388" t="n"/>
      <c r="CP65" s="253" t="inlineStr">
        <is>
          <t>時間内</t>
        </is>
      </c>
      <c r="CQ65" s="384" t="n"/>
      <c r="CR65" s="384" t="n"/>
      <c r="CS65" s="385" t="n"/>
      <c r="CT65" s="386">
        <f>IF(Q64="作業者2",H67-H64,0)</f>
        <v/>
      </c>
      <c r="CU65" s="387" t="n"/>
      <c r="CV65" s="387" t="n"/>
      <c r="CW65" s="387" t="n"/>
      <c r="CX65" s="388" t="n"/>
      <c r="CZ65" s="253" t="inlineStr">
        <is>
          <t>時間内</t>
        </is>
      </c>
      <c r="DA65" s="384" t="n"/>
      <c r="DB65" s="384" t="n"/>
      <c r="DC65" s="385" t="n"/>
      <c r="DD65" s="386">
        <f>IF(Q64="作業者3",H67-H64,0)</f>
        <v/>
      </c>
      <c r="DE65" s="387" t="n"/>
      <c r="DF65" s="387" t="n"/>
      <c r="DG65" s="387" t="n"/>
      <c r="DH65" s="388" t="n"/>
      <c r="DJ65" s="253" t="inlineStr">
        <is>
          <t>時間内</t>
        </is>
      </c>
      <c r="DK65" s="384" t="n"/>
      <c r="DL65" s="384" t="n"/>
      <c r="DM65" s="385" t="n"/>
      <c r="DN65" s="386">
        <f>IF(Q64="作業者4",H67-H64,0)</f>
        <v/>
      </c>
      <c r="DO65" s="387" t="n"/>
      <c r="DP65" s="387" t="n"/>
      <c r="DQ65" s="387" t="n"/>
      <c r="DR65" s="388" t="n"/>
      <c r="DT65" s="253" t="inlineStr">
        <is>
          <t>時間内</t>
        </is>
      </c>
      <c r="DU65" s="384" t="n"/>
      <c r="DV65" s="384" t="n"/>
      <c r="DW65" s="385" t="n"/>
      <c r="DX65" s="386">
        <f>IF(Q64="作業者5",H67-H64,0)</f>
        <v/>
      </c>
      <c r="DY65" s="387" t="n"/>
      <c r="DZ65" s="387" t="n"/>
      <c r="EA65" s="387" t="n"/>
      <c r="EB65" s="388" t="n"/>
    </row>
    <row r="66" ht="9" customHeight="1" s="337">
      <c r="B66" s="350" t="n"/>
      <c r="C66" s="338" t="n"/>
      <c r="D66" s="380" t="n"/>
      <c r="E66" s="23" t="n"/>
      <c r="F66" s="338" t="n"/>
      <c r="G66" s="24" t="n"/>
      <c r="H66" s="23" t="n"/>
      <c r="I66" s="338" t="n"/>
      <c r="J66" s="24" t="n"/>
      <c r="K66" s="23" t="n"/>
      <c r="L66" s="338" t="n"/>
      <c r="M66" s="24" t="n"/>
      <c r="N66" s="23" t="n"/>
      <c r="O66" s="338" t="n"/>
      <c r="P66" s="24" t="n"/>
      <c r="Q66" s="382" t="n"/>
      <c r="R66" s="338" t="n"/>
      <c r="S66" s="446" t="n"/>
      <c r="T66" s="382" t="n"/>
      <c r="U66" s="338" t="n"/>
      <c r="V66" s="380" t="n"/>
      <c r="W66" s="382" t="n"/>
      <c r="X66" s="338" t="n"/>
      <c r="Y66" s="338" t="n"/>
      <c r="Z66" s="338" t="n"/>
      <c r="AA66" s="338" t="n"/>
      <c r="AB66" s="338" t="n"/>
      <c r="AC66" s="338" t="n"/>
      <c r="AD66" s="338" t="n"/>
      <c r="AE66" s="338" t="n"/>
      <c r="AF66" s="338" t="n"/>
      <c r="AG66" s="338" t="n"/>
      <c r="AH66" s="338" t="n"/>
      <c r="AI66" s="338" t="n"/>
      <c r="AJ66" s="338" t="n"/>
      <c r="AK66" s="338" t="n"/>
      <c r="AL66" s="338" t="n"/>
      <c r="AM66" s="338" t="n"/>
      <c r="AN66" s="338" t="n"/>
      <c r="AO66" s="338" t="n"/>
      <c r="AP66" s="338" t="n"/>
      <c r="AQ66" s="338" t="n"/>
      <c r="AR66" s="338" t="n"/>
      <c r="AS66" s="338" t="n"/>
      <c r="AT66" s="338" t="n"/>
      <c r="AU66" s="338" t="n"/>
      <c r="AV66" s="338" t="n"/>
      <c r="AW66" s="338" t="n"/>
      <c r="AX66" s="338" t="n"/>
      <c r="AY66" s="338" t="n"/>
      <c r="AZ66" s="338" t="n"/>
      <c r="BA66" s="338" t="n"/>
      <c r="BB66" s="338" t="n"/>
      <c r="BC66" s="338" t="n"/>
      <c r="BD66" s="338" t="n"/>
      <c r="BE66" s="338" t="n"/>
      <c r="BF66" s="338" t="n"/>
      <c r="BG66" s="338" t="n"/>
      <c r="BH66" s="338" t="n"/>
      <c r="BI66" s="338" t="n"/>
      <c r="BJ66" s="338" t="n"/>
      <c r="BK66" s="338" t="n"/>
      <c r="BL66" s="338" t="n"/>
      <c r="BM66" s="338" t="n"/>
      <c r="BN66" s="338" t="n"/>
      <c r="BO66" s="338" t="n"/>
      <c r="BP66" s="338" t="n"/>
      <c r="BQ66" s="338" t="n"/>
      <c r="BR66" s="338" t="n"/>
      <c r="BS66" s="338" t="n"/>
      <c r="BT66" s="338" t="n"/>
      <c r="BU66" s="338" t="n"/>
      <c r="BV66" s="338" t="n"/>
      <c r="BW66" s="338" t="n"/>
      <c r="BX66" s="338" t="n"/>
      <c r="BY66" s="338" t="n"/>
      <c r="BZ66" s="338" t="n"/>
      <c r="CA66" s="338" t="n"/>
      <c r="CB66" s="338" t="n"/>
      <c r="CC66" s="383" t="n"/>
      <c r="CF66" s="253" t="inlineStr">
        <is>
          <t>時間外</t>
        </is>
      </c>
      <c r="CG66" s="384" t="n"/>
      <c r="CH66" s="384" t="n"/>
      <c r="CI66" s="385" t="n"/>
      <c r="CJ66" s="386">
        <f>IF(Q64="作業者1",K67-K64,0)</f>
        <v/>
      </c>
      <c r="CK66" s="387" t="n"/>
      <c r="CL66" s="387" t="n"/>
      <c r="CM66" s="387" t="n"/>
      <c r="CN66" s="388" t="n"/>
      <c r="CP66" s="253" t="inlineStr">
        <is>
          <t>時間外</t>
        </is>
      </c>
      <c r="CQ66" s="384" t="n"/>
      <c r="CR66" s="384" t="n"/>
      <c r="CS66" s="385" t="n"/>
      <c r="CT66" s="386">
        <f>IF(Q64="作業者2",K67-K64,0)</f>
        <v/>
      </c>
      <c r="CU66" s="387" t="n"/>
      <c r="CV66" s="387" t="n"/>
      <c r="CW66" s="387" t="n"/>
      <c r="CX66" s="388" t="n"/>
      <c r="CZ66" s="253" t="inlineStr">
        <is>
          <t>時間外</t>
        </is>
      </c>
      <c r="DA66" s="384" t="n"/>
      <c r="DB66" s="384" t="n"/>
      <c r="DC66" s="385" t="n"/>
      <c r="DD66" s="386">
        <f>IF(Q64="作業者3",K67-K64,0)</f>
        <v/>
      </c>
      <c r="DE66" s="387" t="n"/>
      <c r="DF66" s="387" t="n"/>
      <c r="DG66" s="387" t="n"/>
      <c r="DH66" s="388" t="n"/>
      <c r="DJ66" s="253" t="inlineStr">
        <is>
          <t>時間外</t>
        </is>
      </c>
      <c r="DK66" s="384" t="n"/>
      <c r="DL66" s="384" t="n"/>
      <c r="DM66" s="385" t="n"/>
      <c r="DN66" s="386">
        <f>IF(Q64="作業者4",K67-K64,0)</f>
        <v/>
      </c>
      <c r="DO66" s="387" t="n"/>
      <c r="DP66" s="387" t="n"/>
      <c r="DQ66" s="387" t="n"/>
      <c r="DR66" s="388" t="n"/>
      <c r="DT66" s="253" t="inlineStr">
        <is>
          <t>時間外</t>
        </is>
      </c>
      <c r="DU66" s="384" t="n"/>
      <c r="DV66" s="384" t="n"/>
      <c r="DW66" s="385" t="n"/>
      <c r="DX66" s="386">
        <f>IF(Q64="作業者5",K67-K64,0)</f>
        <v/>
      </c>
      <c r="DY66" s="387" t="n"/>
      <c r="DZ66" s="387" t="n"/>
      <c r="EA66" s="387" t="n"/>
      <c r="EB66" s="388" t="n"/>
    </row>
    <row r="67" ht="9" customHeight="1" s="337">
      <c r="B67" s="353" t="n"/>
      <c r="C67" s="339" t="n"/>
      <c r="D67" s="364" t="n"/>
      <c r="E67" s="412" t="n"/>
      <c r="F67" s="339" t="n"/>
      <c r="G67" s="364" t="n"/>
      <c r="H67" s="412" t="n"/>
      <c r="I67" s="339" t="n"/>
      <c r="J67" s="364" t="n"/>
      <c r="K67" s="412" t="n"/>
      <c r="L67" s="339" t="n"/>
      <c r="M67" s="364" t="n"/>
      <c r="N67" s="412" t="n"/>
      <c r="O67" s="339" t="n"/>
      <c r="P67" s="364" t="n"/>
      <c r="Q67" s="393" t="n"/>
      <c r="R67" s="390" t="n"/>
      <c r="S67" s="447" t="n"/>
      <c r="T67" s="365" t="n"/>
      <c r="U67" s="339" t="n"/>
      <c r="V67" s="364" t="n"/>
      <c r="W67" s="393" t="n"/>
      <c r="X67" s="390" t="n"/>
      <c r="Y67" s="390" t="n"/>
      <c r="Z67" s="390" t="n"/>
      <c r="AA67" s="390" t="n"/>
      <c r="AB67" s="390" t="n"/>
      <c r="AC67" s="390" t="n"/>
      <c r="AD67" s="390" t="n"/>
      <c r="AE67" s="390" t="n"/>
      <c r="AF67" s="390" t="n"/>
      <c r="AG67" s="390" t="n"/>
      <c r="AH67" s="390" t="n"/>
      <c r="AI67" s="390" t="n"/>
      <c r="AJ67" s="390" t="n"/>
      <c r="AK67" s="390" t="n"/>
      <c r="AL67" s="390" t="n"/>
      <c r="AM67" s="390" t="n"/>
      <c r="AN67" s="390" t="n"/>
      <c r="AO67" s="390" t="n"/>
      <c r="AP67" s="390" t="n"/>
      <c r="AQ67" s="390" t="n"/>
      <c r="AR67" s="390" t="n"/>
      <c r="AS67" s="390" t="n"/>
      <c r="AT67" s="390" t="n"/>
      <c r="AU67" s="390" t="n"/>
      <c r="AV67" s="390" t="n"/>
      <c r="AW67" s="390" t="n"/>
      <c r="AX67" s="390" t="n"/>
      <c r="AY67" s="390" t="n"/>
      <c r="AZ67" s="390" t="n"/>
      <c r="BA67" s="390" t="n"/>
      <c r="BB67" s="390" t="n"/>
      <c r="BC67" s="390" t="n"/>
      <c r="BD67" s="390" t="n"/>
      <c r="BE67" s="390" t="n"/>
      <c r="BF67" s="390" t="n"/>
      <c r="BG67" s="390" t="n"/>
      <c r="BH67" s="390" t="n"/>
      <c r="BI67" s="390" t="n"/>
      <c r="BJ67" s="390" t="n"/>
      <c r="BK67" s="390" t="n"/>
      <c r="BL67" s="390" t="n"/>
      <c r="BM67" s="390" t="n"/>
      <c r="BN67" s="390" t="n"/>
      <c r="BO67" s="390" t="n"/>
      <c r="BP67" s="390" t="n"/>
      <c r="BQ67" s="390" t="n"/>
      <c r="BR67" s="390" t="n"/>
      <c r="BS67" s="390" t="n"/>
      <c r="BT67" s="390" t="n"/>
      <c r="BU67" s="390" t="n"/>
      <c r="BV67" s="390" t="n"/>
      <c r="BW67" s="390" t="n"/>
      <c r="BX67" s="390" t="n"/>
      <c r="BY67" s="390" t="n"/>
      <c r="BZ67" s="390" t="n"/>
      <c r="CA67" s="390" t="n"/>
      <c r="CB67" s="390" t="n"/>
      <c r="CC67" s="394" t="n"/>
      <c r="CF67" s="254" t="inlineStr">
        <is>
          <t>休日</t>
        </is>
      </c>
      <c r="CG67" s="395" t="n"/>
      <c r="CH67" s="395" t="n"/>
      <c r="CI67" s="396" t="n"/>
      <c r="CJ67" s="397">
        <f>IF(Q64="作業者1",N67-N64,0)</f>
        <v/>
      </c>
      <c r="CK67" s="395" t="n"/>
      <c r="CL67" s="395" t="n"/>
      <c r="CM67" s="395" t="n"/>
      <c r="CN67" s="396" t="n"/>
      <c r="CP67" s="254" t="inlineStr">
        <is>
          <t>休日</t>
        </is>
      </c>
      <c r="CQ67" s="395" t="n"/>
      <c r="CR67" s="395" t="n"/>
      <c r="CS67" s="396" t="n"/>
      <c r="CT67" s="397">
        <f>IF(Q64="作業者2",N67-N64,0)</f>
        <v/>
      </c>
      <c r="CU67" s="395" t="n"/>
      <c r="CV67" s="395" t="n"/>
      <c r="CW67" s="395" t="n"/>
      <c r="CX67" s="396" t="n"/>
      <c r="CZ67" s="254" t="inlineStr">
        <is>
          <t>休日</t>
        </is>
      </c>
      <c r="DA67" s="395" t="n"/>
      <c r="DB67" s="395" t="n"/>
      <c r="DC67" s="396" t="n"/>
      <c r="DD67" s="397">
        <f>IF(Q64="作業者3",N67-N64,0)</f>
        <v/>
      </c>
      <c r="DE67" s="395" t="n"/>
      <c r="DF67" s="395" t="n"/>
      <c r="DG67" s="395" t="n"/>
      <c r="DH67" s="396" t="n"/>
      <c r="DJ67" s="254" t="inlineStr">
        <is>
          <t>休日</t>
        </is>
      </c>
      <c r="DK67" s="395" t="n"/>
      <c r="DL67" s="395" t="n"/>
      <c r="DM67" s="396" t="n"/>
      <c r="DN67" s="397">
        <f>IF(Q64="作業者4",N67-N64,0)</f>
        <v/>
      </c>
      <c r="DO67" s="395" t="n"/>
      <c r="DP67" s="395" t="n"/>
      <c r="DQ67" s="395" t="n"/>
      <c r="DR67" s="396" t="n"/>
      <c r="DT67" s="254" t="inlineStr">
        <is>
          <t>休日</t>
        </is>
      </c>
      <c r="DU67" s="395" t="n"/>
      <c r="DV67" s="395" t="n"/>
      <c r="DW67" s="396" t="n"/>
      <c r="DX67" s="397">
        <f>IF(Q64="作業者5",N67-N64,0)</f>
        <v/>
      </c>
      <c r="DY67" s="395" t="n"/>
      <c r="DZ67" s="395" t="n"/>
      <c r="EA67" s="395" t="n"/>
      <c r="EB67" s="396" t="n"/>
    </row>
    <row r="68" ht="9.75" customHeight="1" s="337">
      <c r="B68" s="413" t="n"/>
      <c r="C68" s="413" t="n"/>
      <c r="D68" s="413" t="n"/>
      <c r="E68" s="414" t="n"/>
      <c r="F68" s="27" t="n"/>
      <c r="G68" s="27" t="n"/>
      <c r="H68" s="414" t="n"/>
      <c r="I68" s="27" t="n"/>
      <c r="J68" s="27" t="n"/>
      <c r="K68" s="414" t="n"/>
      <c r="L68" s="27" t="n"/>
      <c r="M68" s="27" t="n"/>
      <c r="N68" s="414" t="n"/>
      <c r="O68" s="27" t="n"/>
      <c r="P68" s="27" t="n"/>
      <c r="Q68" s="128" t="n"/>
      <c r="R68" s="128" t="n"/>
      <c r="S68" s="128" t="n"/>
      <c r="T68" s="128" t="n"/>
      <c r="U68" s="128" t="n"/>
      <c r="V68" s="128" t="n"/>
      <c r="W68" s="29" t="n"/>
      <c r="X68" s="29" t="n"/>
      <c r="Y68" s="29" t="n"/>
      <c r="Z68" s="29" t="n"/>
      <c r="AA68" s="29" t="n"/>
      <c r="AB68" s="29" t="n"/>
      <c r="AC68" s="29" t="n"/>
      <c r="AD68" s="29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14" t="n"/>
      <c r="BX68" s="14" t="n"/>
      <c r="BY68" s="14" t="n"/>
      <c r="BZ68" s="14" t="n"/>
      <c r="CA68" s="415" t="n"/>
      <c r="CB68" s="87" t="n"/>
      <c r="CC68" s="87" t="n"/>
      <c r="CD68" s="87" t="n"/>
      <c r="CE68" s="416" t="n"/>
      <c r="CF68" s="34" t="n"/>
      <c r="CG68" s="34" t="n"/>
    </row>
    <row r="69" ht="14.1" customHeight="1" s="337">
      <c r="B69" s="417" t="inlineStr">
        <is>
          <t>月／日</t>
        </is>
      </c>
      <c r="C69" s="342" t="n"/>
      <c r="D69" s="356" t="n"/>
      <c r="E69" s="357" t="inlineStr">
        <is>
          <t>移 動</t>
        </is>
      </c>
      <c r="F69" s="342" t="n"/>
      <c r="G69" s="356" t="n"/>
      <c r="H69" s="358" t="inlineStr">
        <is>
          <t>作業内　(平日)</t>
        </is>
      </c>
      <c r="I69" s="342" t="n"/>
      <c r="J69" s="356" t="n"/>
      <c r="K69" s="358" t="inlineStr">
        <is>
          <t>作業外　(平日)</t>
        </is>
      </c>
      <c r="L69" s="342" t="n"/>
      <c r="M69" s="356" t="n"/>
      <c r="N69" s="357" t="inlineStr">
        <is>
          <t>休日</t>
        </is>
      </c>
      <c r="O69" s="342" t="n"/>
      <c r="P69" s="356" t="n"/>
      <c r="Q69" s="359" t="inlineStr">
        <is>
          <t>作業者</t>
        </is>
      </c>
      <c r="R69" s="342" t="n"/>
      <c r="S69" s="356" t="n"/>
      <c r="T69" s="359" t="inlineStr">
        <is>
          <t>場  所</t>
        </is>
      </c>
      <c r="U69" s="342" t="n"/>
      <c r="V69" s="356" t="n"/>
      <c r="W69" s="360" t="inlineStr">
        <is>
          <t xml:space="preserve">   作　　　　    　　業　　　    　 　内　　　  　  　　容　</t>
        </is>
      </c>
      <c r="X69" s="342" t="n"/>
      <c r="Y69" s="342" t="n"/>
      <c r="Z69" s="342" t="n"/>
      <c r="AA69" s="342" t="n"/>
      <c r="AB69" s="342" t="n"/>
      <c r="AC69" s="342" t="n"/>
      <c r="AD69" s="342" t="n"/>
      <c r="AE69" s="342" t="n"/>
      <c r="AF69" s="342" t="n"/>
      <c r="AG69" s="342" t="n"/>
      <c r="AH69" s="342" t="n"/>
      <c r="AI69" s="342" t="n"/>
      <c r="AJ69" s="342" t="n"/>
      <c r="AK69" s="342" t="n"/>
      <c r="AL69" s="342" t="n"/>
      <c r="AM69" s="342" t="n"/>
      <c r="AN69" s="342" t="n"/>
      <c r="AO69" s="342" t="n"/>
      <c r="AP69" s="342" t="n"/>
      <c r="AQ69" s="342" t="n"/>
      <c r="AR69" s="342" t="n"/>
      <c r="AS69" s="342" t="n"/>
      <c r="AT69" s="342" t="n"/>
      <c r="AU69" s="342" t="n"/>
      <c r="AV69" s="342" t="n"/>
      <c r="AW69" s="342" t="n"/>
      <c r="AX69" s="342" t="n"/>
      <c r="AY69" s="342" t="n"/>
      <c r="AZ69" s="342" t="n"/>
      <c r="BA69" s="342" t="n"/>
      <c r="BB69" s="342" t="n"/>
      <c r="BC69" s="342" t="n"/>
      <c r="BD69" s="342" t="n"/>
      <c r="BE69" s="342" t="n"/>
      <c r="BF69" s="342" t="n"/>
      <c r="BG69" s="342" t="n"/>
      <c r="BH69" s="342" t="n"/>
      <c r="BI69" s="342" t="n"/>
      <c r="BJ69" s="342" t="n"/>
      <c r="BK69" s="342" t="n"/>
      <c r="BL69" s="342" t="n"/>
      <c r="BM69" s="342" t="n"/>
      <c r="BN69" s="342" t="n"/>
      <c r="BO69" s="342" t="n"/>
      <c r="BP69" s="342" t="n"/>
      <c r="BQ69" s="342" t="n"/>
      <c r="BR69" s="342" t="n"/>
      <c r="BS69" s="342" t="n"/>
      <c r="BT69" s="342" t="n"/>
      <c r="BU69" s="342" t="n"/>
      <c r="BV69" s="342" t="n"/>
      <c r="BW69" s="342" t="n"/>
      <c r="BX69" s="342" t="n"/>
      <c r="BY69" s="342" t="n"/>
      <c r="BZ69" s="342" t="n"/>
      <c r="CA69" s="342" t="n"/>
      <c r="CB69" s="342" t="n"/>
      <c r="CC69" s="343" t="n"/>
      <c r="CF69" s="361" t="inlineStr">
        <is>
          <t>所要時間　作業者1</t>
        </is>
      </c>
      <c r="CG69" s="362" t="n"/>
      <c r="CH69" s="362" t="n"/>
      <c r="CI69" s="362" t="n"/>
      <c r="CJ69" s="362" t="n"/>
      <c r="CK69" s="362" t="n"/>
      <c r="CL69" s="362" t="n"/>
      <c r="CM69" s="362" t="n"/>
      <c r="CN69" s="363" t="n"/>
      <c r="CP69" s="361" t="inlineStr">
        <is>
          <t>所要時間　作業者2</t>
        </is>
      </c>
      <c r="CQ69" s="362" t="n"/>
      <c r="CR69" s="362" t="n"/>
      <c r="CS69" s="362" t="n"/>
      <c r="CT69" s="362" t="n"/>
      <c r="CU69" s="362" t="n"/>
      <c r="CV69" s="362" t="n"/>
      <c r="CW69" s="362" t="n"/>
      <c r="CX69" s="363" t="n"/>
      <c r="CZ69" s="361" t="inlineStr">
        <is>
          <t>所要時間　作業者3</t>
        </is>
      </c>
      <c r="DA69" s="362" t="n"/>
      <c r="DB69" s="362" t="n"/>
      <c r="DC69" s="362" t="n"/>
      <c r="DD69" s="362" t="n"/>
      <c r="DE69" s="362" t="n"/>
      <c r="DF69" s="362" t="n"/>
      <c r="DG69" s="362" t="n"/>
      <c r="DH69" s="363" t="n"/>
      <c r="DJ69" s="361" t="inlineStr">
        <is>
          <t>所要時間　作業者4</t>
        </is>
      </c>
      <c r="DK69" s="362" t="n"/>
      <c r="DL69" s="362" t="n"/>
      <c r="DM69" s="362" t="n"/>
      <c r="DN69" s="362" t="n"/>
      <c r="DO69" s="362" t="n"/>
      <c r="DP69" s="362" t="n"/>
      <c r="DQ69" s="362" t="n"/>
      <c r="DR69" s="363" t="n"/>
      <c r="DT69" s="361" t="inlineStr">
        <is>
          <t>所要時間　作業者5</t>
        </is>
      </c>
      <c r="DU69" s="362" t="n"/>
      <c r="DV69" s="362" t="n"/>
      <c r="DW69" s="362" t="n"/>
      <c r="DX69" s="362" t="n"/>
      <c r="DY69" s="362" t="n"/>
      <c r="DZ69" s="362" t="n"/>
      <c r="EA69" s="362" t="n"/>
      <c r="EB69" s="363" t="n"/>
    </row>
    <row r="70" ht="14.1" customHeight="1" s="337">
      <c r="B70" s="353" t="n"/>
      <c r="C70" s="339" t="n"/>
      <c r="D70" s="364" t="n"/>
      <c r="E70" s="365" t="n"/>
      <c r="F70" s="339" t="n"/>
      <c r="G70" s="364" t="n"/>
      <c r="H70" s="365" t="n"/>
      <c r="I70" s="339" t="n"/>
      <c r="J70" s="364" t="n"/>
      <c r="K70" s="365" t="n"/>
      <c r="L70" s="339" t="n"/>
      <c r="M70" s="364" t="n"/>
      <c r="N70" s="365" t="n"/>
      <c r="O70" s="339" t="n"/>
      <c r="P70" s="364" t="n"/>
      <c r="Q70" s="365" t="n"/>
      <c r="R70" s="339" t="n"/>
      <c r="S70" s="364" t="n"/>
      <c r="T70" s="365" t="n"/>
      <c r="U70" s="339" t="n"/>
      <c r="V70" s="364" t="n"/>
      <c r="W70" s="365" t="n"/>
      <c r="X70" s="339" t="n"/>
      <c r="Y70" s="339" t="n"/>
      <c r="Z70" s="339" t="n"/>
      <c r="AA70" s="339" t="n"/>
      <c r="AB70" s="339" t="n"/>
      <c r="AC70" s="339" t="n"/>
      <c r="AD70" s="339" t="n"/>
      <c r="AE70" s="339" t="n"/>
      <c r="AF70" s="339" t="n"/>
      <c r="AG70" s="339" t="n"/>
      <c r="AH70" s="339" t="n"/>
      <c r="AI70" s="339" t="n"/>
      <c r="AJ70" s="339" t="n"/>
      <c r="AK70" s="339" t="n"/>
      <c r="AL70" s="339" t="n"/>
      <c r="AM70" s="339" t="n"/>
      <c r="AN70" s="339" t="n"/>
      <c r="AO70" s="339" t="n"/>
      <c r="AP70" s="339" t="n"/>
      <c r="AQ70" s="339" t="n"/>
      <c r="AR70" s="339" t="n"/>
      <c r="AS70" s="339" t="n"/>
      <c r="AT70" s="339" t="n"/>
      <c r="AU70" s="339" t="n"/>
      <c r="AV70" s="339" t="n"/>
      <c r="AW70" s="339" t="n"/>
      <c r="AX70" s="339" t="n"/>
      <c r="AY70" s="339" t="n"/>
      <c r="AZ70" s="339" t="n"/>
      <c r="BA70" s="339" t="n"/>
      <c r="BB70" s="339" t="n"/>
      <c r="BC70" s="339" t="n"/>
      <c r="BD70" s="339" t="n"/>
      <c r="BE70" s="339" t="n"/>
      <c r="BF70" s="339" t="n"/>
      <c r="BG70" s="339" t="n"/>
      <c r="BH70" s="339" t="n"/>
      <c r="BI70" s="339" t="n"/>
      <c r="BJ70" s="339" t="n"/>
      <c r="BK70" s="339" t="n"/>
      <c r="BL70" s="339" t="n"/>
      <c r="BM70" s="339" t="n"/>
      <c r="BN70" s="339" t="n"/>
      <c r="BO70" s="339" t="n"/>
      <c r="BP70" s="339" t="n"/>
      <c r="BQ70" s="339" t="n"/>
      <c r="BR70" s="339" t="n"/>
      <c r="BS70" s="339" t="n"/>
      <c r="BT70" s="339" t="n"/>
      <c r="BU70" s="339" t="n"/>
      <c r="BV70" s="339" t="n"/>
      <c r="BW70" s="339" t="n"/>
      <c r="BX70" s="339" t="n"/>
      <c r="BY70" s="339" t="n"/>
      <c r="BZ70" s="339" t="n"/>
      <c r="CA70" s="339" t="n"/>
      <c r="CB70" s="339" t="n"/>
      <c r="CC70" s="354" t="n"/>
      <c r="CF70" s="366" t="n"/>
      <c r="CG70" s="367" t="n"/>
      <c r="CH70" s="367" t="n"/>
      <c r="CI70" s="367" t="n"/>
      <c r="CJ70" s="367" t="n"/>
      <c r="CK70" s="367" t="n"/>
      <c r="CL70" s="367" t="n"/>
      <c r="CM70" s="367" t="n"/>
      <c r="CN70" s="368" t="n"/>
      <c r="CP70" s="366" t="n"/>
      <c r="CQ70" s="367" t="n"/>
      <c r="CR70" s="367" t="n"/>
      <c r="CS70" s="367" t="n"/>
      <c r="CT70" s="367" t="n"/>
      <c r="CU70" s="367" t="n"/>
      <c r="CV70" s="367" t="n"/>
      <c r="CW70" s="367" t="n"/>
      <c r="CX70" s="368" t="n"/>
      <c r="CZ70" s="366" t="n"/>
      <c r="DA70" s="367" t="n"/>
      <c r="DB70" s="367" t="n"/>
      <c r="DC70" s="367" t="n"/>
      <c r="DD70" s="367" t="n"/>
      <c r="DE70" s="367" t="n"/>
      <c r="DF70" s="367" t="n"/>
      <c r="DG70" s="367" t="n"/>
      <c r="DH70" s="368" t="n"/>
      <c r="DJ70" s="366" t="n"/>
      <c r="DK70" s="367" t="n"/>
      <c r="DL70" s="367" t="n"/>
      <c r="DM70" s="367" t="n"/>
      <c r="DN70" s="367" t="n"/>
      <c r="DO70" s="367" t="n"/>
      <c r="DP70" s="367" t="n"/>
      <c r="DQ70" s="367" t="n"/>
      <c r="DR70" s="368" t="n"/>
      <c r="DT70" s="366" t="n"/>
      <c r="DU70" s="367" t="n"/>
      <c r="DV70" s="367" t="n"/>
      <c r="DW70" s="367" t="n"/>
      <c r="DX70" s="367" t="n"/>
      <c r="DY70" s="367" t="n"/>
      <c r="DZ70" s="367" t="n"/>
      <c r="EA70" s="367" t="n"/>
      <c r="EB70" s="368" t="n"/>
    </row>
    <row r="71" ht="9" customHeight="1" s="337">
      <c r="B71" s="369" t="n"/>
      <c r="C71" s="342" t="n"/>
      <c r="D71" s="356" t="n"/>
      <c r="E71" s="370" t="n"/>
      <c r="F71" s="342" t="n"/>
      <c r="G71" s="356" t="n"/>
      <c r="H71" s="370" t="n"/>
      <c r="I71" s="342" t="n"/>
      <c r="J71" s="356" t="n"/>
      <c r="K71" s="370" t="n"/>
      <c r="L71" s="342" t="n"/>
      <c r="M71" s="356" t="n"/>
      <c r="N71" s="370" t="n"/>
      <c r="O71" s="342" t="n"/>
      <c r="P71" s="356" t="n"/>
      <c r="Q71" s="448" t="n"/>
      <c r="R71" s="342" t="n"/>
      <c r="S71" s="356" t="n"/>
      <c r="T71" s="374" t="n"/>
      <c r="U71" s="342" t="n"/>
      <c r="V71" s="356" t="n"/>
      <c r="W71" s="442" t="n"/>
      <c r="X71" s="338" t="n"/>
      <c r="Y71" s="338" t="n"/>
      <c r="Z71" s="338" t="n"/>
      <c r="AA71" s="338" t="n"/>
      <c r="AB71" s="338" t="n"/>
      <c r="AC71" s="338" t="n"/>
      <c r="AD71" s="338" t="n"/>
      <c r="AE71" s="338" t="n"/>
      <c r="AF71" s="338" t="n"/>
      <c r="AG71" s="338" t="n"/>
      <c r="AH71" s="338" t="n"/>
      <c r="AI71" s="338" t="n"/>
      <c r="AJ71" s="338" t="n"/>
      <c r="AK71" s="338" t="n"/>
      <c r="AL71" s="338" t="n"/>
      <c r="AM71" s="338" t="n"/>
      <c r="AN71" s="338" t="n"/>
      <c r="AO71" s="338" t="n"/>
      <c r="AP71" s="338" t="n"/>
      <c r="AQ71" s="338" t="n"/>
      <c r="AR71" s="338" t="n"/>
      <c r="AS71" s="338" t="n"/>
      <c r="AT71" s="338" t="n"/>
      <c r="AU71" s="338" t="n"/>
      <c r="AV71" s="338" t="n"/>
      <c r="AW71" s="338" t="n"/>
      <c r="AX71" s="338" t="n"/>
      <c r="AY71" s="338" t="n"/>
      <c r="AZ71" s="338" t="n"/>
      <c r="BA71" s="338" t="n"/>
      <c r="BB71" s="338" t="n"/>
      <c r="BC71" s="338" t="n"/>
      <c r="BD71" s="338" t="n"/>
      <c r="BE71" s="338" t="n"/>
      <c r="BF71" s="338" t="n"/>
      <c r="BG71" s="338" t="n"/>
      <c r="BH71" s="338" t="n"/>
      <c r="BI71" s="338" t="n"/>
      <c r="BJ71" s="338" t="n"/>
      <c r="BK71" s="338" t="n"/>
      <c r="BL71" s="338" t="n"/>
      <c r="BM71" s="338" t="n"/>
      <c r="BN71" s="338" t="n"/>
      <c r="BO71" s="338" t="n"/>
      <c r="BP71" s="338" t="n"/>
      <c r="BQ71" s="338" t="n"/>
      <c r="BR71" s="338" t="n"/>
      <c r="BS71" s="338" t="n"/>
      <c r="BT71" s="338" t="n"/>
      <c r="BU71" s="338" t="n"/>
      <c r="BV71" s="338" t="n"/>
      <c r="BW71" s="338" t="n"/>
      <c r="BX71" s="338" t="n"/>
      <c r="BY71" s="338" t="n"/>
      <c r="BZ71" s="338" t="n"/>
      <c r="CA71" s="338" t="n"/>
      <c r="CB71" s="338" t="n"/>
      <c r="CC71" s="383" t="n"/>
      <c r="CF71" s="248" t="inlineStr">
        <is>
          <t>移動</t>
        </is>
      </c>
      <c r="CG71" s="377" t="n"/>
      <c r="CH71" s="377" t="n"/>
      <c r="CI71" s="378" t="n"/>
      <c r="CJ71" s="379">
        <f>IF(Q71="作業者1",E74-E71,0)</f>
        <v/>
      </c>
      <c r="CK71" s="377" t="n"/>
      <c r="CL71" s="377" t="n"/>
      <c r="CM71" s="377" t="n"/>
      <c r="CN71" s="378" t="n"/>
      <c r="CP71" s="248" t="inlineStr">
        <is>
          <t>移動</t>
        </is>
      </c>
      <c r="CQ71" s="377" t="n"/>
      <c r="CR71" s="377" t="n"/>
      <c r="CS71" s="378" t="n"/>
      <c r="CT71" s="379">
        <f>IF(Q71="作業者2",E74-E71,0)</f>
        <v/>
      </c>
      <c r="CU71" s="377" t="n"/>
      <c r="CV71" s="377" t="n"/>
      <c r="CW71" s="377" t="n"/>
      <c r="CX71" s="378" t="n"/>
      <c r="CZ71" s="248" t="inlineStr">
        <is>
          <t>移動</t>
        </is>
      </c>
      <c r="DA71" s="377" t="n"/>
      <c r="DB71" s="377" t="n"/>
      <c r="DC71" s="378" t="n"/>
      <c r="DD71" s="379">
        <f>IF(Q71="作業者3",E74-E71,0)</f>
        <v/>
      </c>
      <c r="DE71" s="377" t="n"/>
      <c r="DF71" s="377" t="n"/>
      <c r="DG71" s="377" t="n"/>
      <c r="DH71" s="378" t="n"/>
      <c r="DJ71" s="248" t="inlineStr">
        <is>
          <t>移動</t>
        </is>
      </c>
      <c r="DK71" s="377" t="n"/>
      <c r="DL71" s="377" t="n"/>
      <c r="DM71" s="378" t="n"/>
      <c r="DN71" s="379">
        <f>IF(Q71="作業者4",E74-E71,0)</f>
        <v/>
      </c>
      <c r="DO71" s="377" t="n"/>
      <c r="DP71" s="377" t="n"/>
      <c r="DQ71" s="377" t="n"/>
      <c r="DR71" s="378" t="n"/>
      <c r="DT71" s="248" t="inlineStr">
        <is>
          <t>移動</t>
        </is>
      </c>
      <c r="DU71" s="377" t="n"/>
      <c r="DV71" s="377" t="n"/>
      <c r="DW71" s="378" t="n"/>
      <c r="DX71" s="379">
        <f>IF(Q71="作業者5",E74-E71,0)</f>
        <v/>
      </c>
      <c r="DY71" s="377" t="n"/>
      <c r="DZ71" s="377" t="n"/>
      <c r="EA71" s="377" t="n"/>
      <c r="EB71" s="378" t="n"/>
    </row>
    <row r="72" ht="9" customHeight="1" s="337">
      <c r="B72" s="350" t="n"/>
      <c r="C72" s="338" t="n"/>
      <c r="D72" s="380" t="n"/>
      <c r="E72" s="381" t="n"/>
      <c r="F72" s="122" t="inlineStr">
        <is>
          <t>～</t>
        </is>
      </c>
      <c r="G72" s="22" t="n"/>
      <c r="H72" s="381" t="n"/>
      <c r="I72" s="122" t="inlineStr">
        <is>
          <t>～</t>
        </is>
      </c>
      <c r="J72" s="22" t="n"/>
      <c r="K72" s="381" t="n"/>
      <c r="L72" s="122" t="inlineStr">
        <is>
          <t>～</t>
        </is>
      </c>
      <c r="M72" s="22" t="n"/>
      <c r="N72" s="381" t="n"/>
      <c r="O72" s="122" t="inlineStr">
        <is>
          <t>～</t>
        </is>
      </c>
      <c r="P72" s="22" t="n"/>
      <c r="Q72" s="382" t="n"/>
      <c r="R72" s="338" t="n"/>
      <c r="S72" s="380" t="n"/>
      <c r="T72" s="382" t="n"/>
      <c r="U72" s="338" t="n"/>
      <c r="V72" s="380" t="n"/>
      <c r="W72" s="382" t="n"/>
      <c r="X72" s="338" t="n"/>
      <c r="Y72" s="338" t="n"/>
      <c r="Z72" s="338" t="n"/>
      <c r="AA72" s="338" t="n"/>
      <c r="AB72" s="338" t="n"/>
      <c r="AC72" s="338" t="n"/>
      <c r="AD72" s="338" t="n"/>
      <c r="AE72" s="338" t="n"/>
      <c r="AF72" s="338" t="n"/>
      <c r="AG72" s="338" t="n"/>
      <c r="AH72" s="338" t="n"/>
      <c r="AI72" s="338" t="n"/>
      <c r="AJ72" s="338" t="n"/>
      <c r="AK72" s="338" t="n"/>
      <c r="AL72" s="338" t="n"/>
      <c r="AM72" s="338" t="n"/>
      <c r="AN72" s="338" t="n"/>
      <c r="AO72" s="338" t="n"/>
      <c r="AP72" s="338" t="n"/>
      <c r="AQ72" s="338" t="n"/>
      <c r="AR72" s="338" t="n"/>
      <c r="AS72" s="338" t="n"/>
      <c r="AT72" s="338" t="n"/>
      <c r="AU72" s="338" t="n"/>
      <c r="AV72" s="338" t="n"/>
      <c r="AW72" s="338" t="n"/>
      <c r="AX72" s="338" t="n"/>
      <c r="AY72" s="338" t="n"/>
      <c r="AZ72" s="338" t="n"/>
      <c r="BA72" s="338" t="n"/>
      <c r="BB72" s="338" t="n"/>
      <c r="BC72" s="338" t="n"/>
      <c r="BD72" s="338" t="n"/>
      <c r="BE72" s="338" t="n"/>
      <c r="BF72" s="338" t="n"/>
      <c r="BG72" s="338" t="n"/>
      <c r="BH72" s="338" t="n"/>
      <c r="BI72" s="338" t="n"/>
      <c r="BJ72" s="338" t="n"/>
      <c r="BK72" s="338" t="n"/>
      <c r="BL72" s="338" t="n"/>
      <c r="BM72" s="338" t="n"/>
      <c r="BN72" s="338" t="n"/>
      <c r="BO72" s="338" t="n"/>
      <c r="BP72" s="338" t="n"/>
      <c r="BQ72" s="338" t="n"/>
      <c r="BR72" s="338" t="n"/>
      <c r="BS72" s="338" t="n"/>
      <c r="BT72" s="338" t="n"/>
      <c r="BU72" s="338" t="n"/>
      <c r="BV72" s="338" t="n"/>
      <c r="BW72" s="338" t="n"/>
      <c r="BX72" s="338" t="n"/>
      <c r="BY72" s="338" t="n"/>
      <c r="BZ72" s="338" t="n"/>
      <c r="CA72" s="338" t="n"/>
      <c r="CB72" s="338" t="n"/>
      <c r="CC72" s="383" t="n"/>
      <c r="CF72" s="253" t="inlineStr">
        <is>
          <t>時間内</t>
        </is>
      </c>
      <c r="CG72" s="384" t="n"/>
      <c r="CH72" s="384" t="n"/>
      <c r="CI72" s="385" t="n"/>
      <c r="CJ72" s="386">
        <f>IF(Q71="作業者1",H74-H71,0)</f>
        <v/>
      </c>
      <c r="CK72" s="387" t="n"/>
      <c r="CL72" s="387" t="n"/>
      <c r="CM72" s="387" t="n"/>
      <c r="CN72" s="388" t="n"/>
      <c r="CP72" s="253" t="inlineStr">
        <is>
          <t>時間内</t>
        </is>
      </c>
      <c r="CQ72" s="384" t="n"/>
      <c r="CR72" s="384" t="n"/>
      <c r="CS72" s="385" t="n"/>
      <c r="CT72" s="386">
        <f>IF(Q71="作業者2",H74-H71,0)</f>
        <v/>
      </c>
      <c r="CU72" s="387" t="n"/>
      <c r="CV72" s="387" t="n"/>
      <c r="CW72" s="387" t="n"/>
      <c r="CX72" s="388" t="n"/>
      <c r="CZ72" s="253" t="inlineStr">
        <is>
          <t>時間内</t>
        </is>
      </c>
      <c r="DA72" s="384" t="n"/>
      <c r="DB72" s="384" t="n"/>
      <c r="DC72" s="385" t="n"/>
      <c r="DD72" s="386">
        <f>IF(Q71="作業者3",H74-H71,0)</f>
        <v/>
      </c>
      <c r="DE72" s="387" t="n"/>
      <c r="DF72" s="387" t="n"/>
      <c r="DG72" s="387" t="n"/>
      <c r="DH72" s="388" t="n"/>
      <c r="DJ72" s="253" t="inlineStr">
        <is>
          <t>時間内</t>
        </is>
      </c>
      <c r="DK72" s="384" t="n"/>
      <c r="DL72" s="384" t="n"/>
      <c r="DM72" s="385" t="n"/>
      <c r="DN72" s="386">
        <f>IF(Q71="作業者4",H74-H71,0)</f>
        <v/>
      </c>
      <c r="DO72" s="387" t="n"/>
      <c r="DP72" s="387" t="n"/>
      <c r="DQ72" s="387" t="n"/>
      <c r="DR72" s="388" t="n"/>
      <c r="DT72" s="253" t="inlineStr">
        <is>
          <t>時間内</t>
        </is>
      </c>
      <c r="DU72" s="384" t="n"/>
      <c r="DV72" s="384" t="n"/>
      <c r="DW72" s="385" t="n"/>
      <c r="DX72" s="386">
        <f>IF(Q71="作業者5",H74-H71,0)</f>
        <v/>
      </c>
      <c r="DY72" s="387" t="n"/>
      <c r="DZ72" s="387" t="n"/>
      <c r="EA72" s="387" t="n"/>
      <c r="EB72" s="388" t="n"/>
    </row>
    <row r="73" ht="9" customHeight="1" s="337">
      <c r="B73" s="350" t="n"/>
      <c r="C73" s="338" t="n"/>
      <c r="D73" s="380" t="n"/>
      <c r="E73" s="23" t="n"/>
      <c r="F73" s="338" t="n"/>
      <c r="G73" s="24" t="n"/>
      <c r="H73" s="23" t="n"/>
      <c r="I73" s="338" t="n"/>
      <c r="J73" s="24" t="n"/>
      <c r="K73" s="23" t="n"/>
      <c r="L73" s="338" t="n"/>
      <c r="M73" s="24" t="n"/>
      <c r="N73" s="23" t="n"/>
      <c r="O73" s="338" t="n"/>
      <c r="P73" s="24" t="n"/>
      <c r="Q73" s="382" t="n"/>
      <c r="R73" s="338" t="n"/>
      <c r="S73" s="380" t="n"/>
      <c r="T73" s="382" t="n"/>
      <c r="U73" s="338" t="n"/>
      <c r="V73" s="380" t="n"/>
      <c r="W73" s="382" t="n"/>
      <c r="X73" s="338" t="n"/>
      <c r="Y73" s="338" t="n"/>
      <c r="Z73" s="338" t="n"/>
      <c r="AA73" s="338" t="n"/>
      <c r="AB73" s="338" t="n"/>
      <c r="AC73" s="338" t="n"/>
      <c r="AD73" s="338" t="n"/>
      <c r="AE73" s="338" t="n"/>
      <c r="AF73" s="338" t="n"/>
      <c r="AG73" s="338" t="n"/>
      <c r="AH73" s="338" t="n"/>
      <c r="AI73" s="338" t="n"/>
      <c r="AJ73" s="338" t="n"/>
      <c r="AK73" s="338" t="n"/>
      <c r="AL73" s="338" t="n"/>
      <c r="AM73" s="338" t="n"/>
      <c r="AN73" s="338" t="n"/>
      <c r="AO73" s="338" t="n"/>
      <c r="AP73" s="338" t="n"/>
      <c r="AQ73" s="338" t="n"/>
      <c r="AR73" s="338" t="n"/>
      <c r="AS73" s="338" t="n"/>
      <c r="AT73" s="338" t="n"/>
      <c r="AU73" s="338" t="n"/>
      <c r="AV73" s="338" t="n"/>
      <c r="AW73" s="338" t="n"/>
      <c r="AX73" s="338" t="n"/>
      <c r="AY73" s="338" t="n"/>
      <c r="AZ73" s="338" t="n"/>
      <c r="BA73" s="338" t="n"/>
      <c r="BB73" s="338" t="n"/>
      <c r="BC73" s="338" t="n"/>
      <c r="BD73" s="338" t="n"/>
      <c r="BE73" s="338" t="n"/>
      <c r="BF73" s="338" t="n"/>
      <c r="BG73" s="338" t="n"/>
      <c r="BH73" s="338" t="n"/>
      <c r="BI73" s="338" t="n"/>
      <c r="BJ73" s="338" t="n"/>
      <c r="BK73" s="338" t="n"/>
      <c r="BL73" s="338" t="n"/>
      <c r="BM73" s="338" t="n"/>
      <c r="BN73" s="338" t="n"/>
      <c r="BO73" s="338" t="n"/>
      <c r="BP73" s="338" t="n"/>
      <c r="BQ73" s="338" t="n"/>
      <c r="BR73" s="338" t="n"/>
      <c r="BS73" s="338" t="n"/>
      <c r="BT73" s="338" t="n"/>
      <c r="BU73" s="338" t="n"/>
      <c r="BV73" s="338" t="n"/>
      <c r="BW73" s="338" t="n"/>
      <c r="BX73" s="338" t="n"/>
      <c r="BY73" s="338" t="n"/>
      <c r="BZ73" s="338" t="n"/>
      <c r="CA73" s="338" t="n"/>
      <c r="CB73" s="338" t="n"/>
      <c r="CC73" s="383" t="n"/>
      <c r="CF73" s="253" t="inlineStr">
        <is>
          <t>時間外</t>
        </is>
      </c>
      <c r="CG73" s="384" t="n"/>
      <c r="CH73" s="384" t="n"/>
      <c r="CI73" s="385" t="n"/>
      <c r="CJ73" s="386">
        <f>IF(Q71="作業者1",K74-K71,0)</f>
        <v/>
      </c>
      <c r="CK73" s="387" t="n"/>
      <c r="CL73" s="387" t="n"/>
      <c r="CM73" s="387" t="n"/>
      <c r="CN73" s="388" t="n"/>
      <c r="CP73" s="253" t="inlineStr">
        <is>
          <t>時間外</t>
        </is>
      </c>
      <c r="CQ73" s="384" t="n"/>
      <c r="CR73" s="384" t="n"/>
      <c r="CS73" s="385" t="n"/>
      <c r="CT73" s="386">
        <f>IF(Q71="作業者2",K74-K71,0)</f>
        <v/>
      </c>
      <c r="CU73" s="387" t="n"/>
      <c r="CV73" s="387" t="n"/>
      <c r="CW73" s="387" t="n"/>
      <c r="CX73" s="388" t="n"/>
      <c r="CZ73" s="253" t="inlineStr">
        <is>
          <t>時間外</t>
        </is>
      </c>
      <c r="DA73" s="384" t="n"/>
      <c r="DB73" s="384" t="n"/>
      <c r="DC73" s="385" t="n"/>
      <c r="DD73" s="386">
        <f>IF(Q71="作業者3",K74-K71,0)</f>
        <v/>
      </c>
      <c r="DE73" s="387" t="n"/>
      <c r="DF73" s="387" t="n"/>
      <c r="DG73" s="387" t="n"/>
      <c r="DH73" s="388" t="n"/>
      <c r="DJ73" s="253" t="inlineStr">
        <is>
          <t>時間外</t>
        </is>
      </c>
      <c r="DK73" s="384" t="n"/>
      <c r="DL73" s="384" t="n"/>
      <c r="DM73" s="385" t="n"/>
      <c r="DN73" s="386">
        <f>IF(Q71="作業者4",K74-K71,0)</f>
        <v/>
      </c>
      <c r="DO73" s="387" t="n"/>
      <c r="DP73" s="387" t="n"/>
      <c r="DQ73" s="387" t="n"/>
      <c r="DR73" s="388" t="n"/>
      <c r="DT73" s="253" t="inlineStr">
        <is>
          <t>時間外</t>
        </is>
      </c>
      <c r="DU73" s="384" t="n"/>
      <c r="DV73" s="384" t="n"/>
      <c r="DW73" s="385" t="n"/>
      <c r="DX73" s="386">
        <f>IF(Q71="作業者5",K74-K71,0)</f>
        <v/>
      </c>
      <c r="DY73" s="387" t="n"/>
      <c r="DZ73" s="387" t="n"/>
      <c r="EA73" s="387" t="n"/>
      <c r="EB73" s="388" t="n"/>
    </row>
    <row r="74" ht="9" customHeight="1" s="337">
      <c r="B74" s="389" t="n"/>
      <c r="C74" s="390" t="n"/>
      <c r="D74" s="391" t="n"/>
      <c r="E74" s="392" t="n"/>
      <c r="F74" s="390" t="n"/>
      <c r="G74" s="391" t="n"/>
      <c r="H74" s="392" t="n"/>
      <c r="I74" s="390" t="n"/>
      <c r="J74" s="391" t="n"/>
      <c r="K74" s="392" t="n"/>
      <c r="L74" s="390" t="n"/>
      <c r="M74" s="391" t="n"/>
      <c r="N74" s="392" t="n"/>
      <c r="O74" s="390" t="n"/>
      <c r="P74" s="391" t="n"/>
      <c r="Q74" s="382" t="n"/>
      <c r="R74" s="338" t="n"/>
      <c r="S74" s="380" t="n"/>
      <c r="T74" s="393" t="n"/>
      <c r="U74" s="390" t="n"/>
      <c r="V74" s="391" t="n"/>
      <c r="W74" s="393" t="n"/>
      <c r="X74" s="390" t="n"/>
      <c r="Y74" s="390" t="n"/>
      <c r="Z74" s="390" t="n"/>
      <c r="AA74" s="390" t="n"/>
      <c r="AB74" s="390" t="n"/>
      <c r="AC74" s="390" t="n"/>
      <c r="AD74" s="390" t="n"/>
      <c r="AE74" s="390" t="n"/>
      <c r="AF74" s="390" t="n"/>
      <c r="AG74" s="390" t="n"/>
      <c r="AH74" s="390" t="n"/>
      <c r="AI74" s="390" t="n"/>
      <c r="AJ74" s="390" t="n"/>
      <c r="AK74" s="390" t="n"/>
      <c r="AL74" s="390" t="n"/>
      <c r="AM74" s="390" t="n"/>
      <c r="AN74" s="390" t="n"/>
      <c r="AO74" s="390" t="n"/>
      <c r="AP74" s="390" t="n"/>
      <c r="AQ74" s="390" t="n"/>
      <c r="AR74" s="390" t="n"/>
      <c r="AS74" s="390" t="n"/>
      <c r="AT74" s="390" t="n"/>
      <c r="AU74" s="390" t="n"/>
      <c r="AV74" s="390" t="n"/>
      <c r="AW74" s="390" t="n"/>
      <c r="AX74" s="390" t="n"/>
      <c r="AY74" s="390" t="n"/>
      <c r="AZ74" s="390" t="n"/>
      <c r="BA74" s="390" t="n"/>
      <c r="BB74" s="390" t="n"/>
      <c r="BC74" s="390" t="n"/>
      <c r="BD74" s="390" t="n"/>
      <c r="BE74" s="390" t="n"/>
      <c r="BF74" s="390" t="n"/>
      <c r="BG74" s="390" t="n"/>
      <c r="BH74" s="390" t="n"/>
      <c r="BI74" s="390" t="n"/>
      <c r="BJ74" s="390" t="n"/>
      <c r="BK74" s="390" t="n"/>
      <c r="BL74" s="390" t="n"/>
      <c r="BM74" s="390" t="n"/>
      <c r="BN74" s="390" t="n"/>
      <c r="BO74" s="390" t="n"/>
      <c r="BP74" s="390" t="n"/>
      <c r="BQ74" s="390" t="n"/>
      <c r="BR74" s="390" t="n"/>
      <c r="BS74" s="390" t="n"/>
      <c r="BT74" s="390" t="n"/>
      <c r="BU74" s="390" t="n"/>
      <c r="BV74" s="390" t="n"/>
      <c r="BW74" s="390" t="n"/>
      <c r="BX74" s="390" t="n"/>
      <c r="BY74" s="390" t="n"/>
      <c r="BZ74" s="390" t="n"/>
      <c r="CA74" s="390" t="n"/>
      <c r="CB74" s="390" t="n"/>
      <c r="CC74" s="394" t="n"/>
      <c r="CF74" s="254" t="inlineStr">
        <is>
          <t>休日</t>
        </is>
      </c>
      <c r="CG74" s="395" t="n"/>
      <c r="CH74" s="395" t="n"/>
      <c r="CI74" s="396" t="n"/>
      <c r="CJ74" s="386">
        <f>IF(Q71="作業者1",N74-N71,0)</f>
        <v/>
      </c>
      <c r="CK74" s="387" t="n"/>
      <c r="CL74" s="387" t="n"/>
      <c r="CM74" s="387" t="n"/>
      <c r="CN74" s="388" t="n"/>
      <c r="CP74" s="253" t="inlineStr">
        <is>
          <t>休日</t>
        </is>
      </c>
      <c r="CQ74" s="384" t="n"/>
      <c r="CR74" s="384" t="n"/>
      <c r="CS74" s="385" t="n"/>
      <c r="CT74" s="386">
        <f>IF(Q71="作業者2",N74-N71,0)</f>
        <v/>
      </c>
      <c r="CU74" s="387" t="n"/>
      <c r="CV74" s="387" t="n"/>
      <c r="CW74" s="387" t="n"/>
      <c r="CX74" s="388" t="n"/>
      <c r="CZ74" s="254" t="inlineStr">
        <is>
          <t>休日</t>
        </is>
      </c>
      <c r="DA74" s="395" t="n"/>
      <c r="DB74" s="395" t="n"/>
      <c r="DC74" s="396" t="n"/>
      <c r="DD74" s="397">
        <f>IF(Q71="作業者3",N74-N71,0)</f>
        <v/>
      </c>
      <c r="DE74" s="395" t="n"/>
      <c r="DF74" s="395" t="n"/>
      <c r="DG74" s="395" t="n"/>
      <c r="DH74" s="396" t="n"/>
      <c r="DJ74" s="254" t="inlineStr">
        <is>
          <t>休日</t>
        </is>
      </c>
      <c r="DK74" s="395" t="n"/>
      <c r="DL74" s="395" t="n"/>
      <c r="DM74" s="396" t="n"/>
      <c r="DN74" s="397">
        <f>IF(Q71="作業者4",N74-N71,0)</f>
        <v/>
      </c>
      <c r="DO74" s="395" t="n"/>
      <c r="DP74" s="395" t="n"/>
      <c r="DQ74" s="395" t="n"/>
      <c r="DR74" s="396" t="n"/>
      <c r="DT74" s="254" t="inlineStr">
        <is>
          <t>休日</t>
        </is>
      </c>
      <c r="DU74" s="395" t="n"/>
      <c r="DV74" s="395" t="n"/>
      <c r="DW74" s="396" t="n"/>
      <c r="DX74" s="397">
        <f>IF(Q71="作業者5",N74-N71,0)</f>
        <v/>
      </c>
      <c r="DY74" s="395" t="n"/>
      <c r="DZ74" s="395" t="n"/>
      <c r="EA74" s="395" t="n"/>
      <c r="EB74" s="396" t="n"/>
    </row>
    <row r="75" ht="9" customHeight="1" s="337">
      <c r="B75" s="398" t="n"/>
      <c r="C75" s="372" t="n"/>
      <c r="D75" s="373" t="n"/>
      <c r="E75" s="399" t="n"/>
      <c r="F75" s="372" t="n"/>
      <c r="G75" s="373" t="n"/>
      <c r="H75" s="399" t="n"/>
      <c r="I75" s="372" t="n"/>
      <c r="J75" s="373" t="n"/>
      <c r="K75" s="399" t="n"/>
      <c r="L75" s="372" t="n"/>
      <c r="M75" s="373" t="n"/>
      <c r="N75" s="399" t="n"/>
      <c r="O75" s="372" t="n"/>
      <c r="P75" s="373" t="n"/>
      <c r="Q75" s="371" t="n"/>
      <c r="R75" s="372" t="n"/>
      <c r="S75" s="373" t="n"/>
      <c r="T75" s="371" t="n"/>
      <c r="U75" s="372" t="n"/>
      <c r="V75" s="373" t="n"/>
      <c r="W75" s="443" t="n"/>
      <c r="X75" s="372" t="n"/>
      <c r="Y75" s="372" t="n"/>
      <c r="Z75" s="372" t="n"/>
      <c r="AA75" s="372" t="n"/>
      <c r="AB75" s="372" t="n"/>
      <c r="AC75" s="372" t="n"/>
      <c r="AD75" s="372" t="n"/>
      <c r="AE75" s="372" t="n"/>
      <c r="AF75" s="372" t="n"/>
      <c r="AG75" s="372" t="n"/>
      <c r="AH75" s="372" t="n"/>
      <c r="AI75" s="372" t="n"/>
      <c r="AJ75" s="372" t="n"/>
      <c r="AK75" s="372" t="n"/>
      <c r="AL75" s="372" t="n"/>
      <c r="AM75" s="372" t="n"/>
      <c r="AN75" s="372" t="n"/>
      <c r="AO75" s="372" t="n"/>
      <c r="AP75" s="372" t="n"/>
      <c r="AQ75" s="372" t="n"/>
      <c r="AR75" s="372" t="n"/>
      <c r="AS75" s="372" t="n"/>
      <c r="AT75" s="372" t="n"/>
      <c r="AU75" s="372" t="n"/>
      <c r="AV75" s="372" t="n"/>
      <c r="AW75" s="372" t="n"/>
      <c r="AX75" s="372" t="n"/>
      <c r="AY75" s="372" t="n"/>
      <c r="AZ75" s="372" t="n"/>
      <c r="BA75" s="372" t="n"/>
      <c r="BB75" s="372" t="n"/>
      <c r="BC75" s="372" t="n"/>
      <c r="BD75" s="372" t="n"/>
      <c r="BE75" s="372" t="n"/>
      <c r="BF75" s="372" t="n"/>
      <c r="BG75" s="372" t="n"/>
      <c r="BH75" s="372" t="n"/>
      <c r="BI75" s="372" t="n"/>
      <c r="BJ75" s="372" t="n"/>
      <c r="BK75" s="372" t="n"/>
      <c r="BL75" s="372" t="n"/>
      <c r="BM75" s="372" t="n"/>
      <c r="BN75" s="372" t="n"/>
      <c r="BO75" s="372" t="n"/>
      <c r="BP75" s="372" t="n"/>
      <c r="BQ75" s="372" t="n"/>
      <c r="BR75" s="372" t="n"/>
      <c r="BS75" s="372" t="n"/>
      <c r="BT75" s="372" t="n"/>
      <c r="BU75" s="372" t="n"/>
      <c r="BV75" s="372" t="n"/>
      <c r="BW75" s="372" t="n"/>
      <c r="BX75" s="372" t="n"/>
      <c r="BY75" s="372" t="n"/>
      <c r="BZ75" s="372" t="n"/>
      <c r="CA75" s="372" t="n"/>
      <c r="CB75" s="372" t="n"/>
      <c r="CC75" s="402" t="n"/>
      <c r="CF75" s="259" t="inlineStr">
        <is>
          <t>移動</t>
        </is>
      </c>
      <c r="CG75" s="403" t="n"/>
      <c r="CH75" s="403" t="n"/>
      <c r="CI75" s="404" t="n"/>
      <c r="CJ75" s="379">
        <f>IF(Q75="作業者1",E78-E75,0)</f>
        <v/>
      </c>
      <c r="CK75" s="377" t="n"/>
      <c r="CL75" s="377" t="n"/>
      <c r="CM75" s="377" t="n"/>
      <c r="CN75" s="378" t="n"/>
      <c r="CP75" s="248" t="inlineStr">
        <is>
          <t>移動</t>
        </is>
      </c>
      <c r="CQ75" s="377" t="n"/>
      <c r="CR75" s="377" t="n"/>
      <c r="CS75" s="378" t="n"/>
      <c r="CT75" s="379">
        <f>IF(Q75="作業者2",E78-E75,0)</f>
        <v/>
      </c>
      <c r="CU75" s="377" t="n"/>
      <c r="CV75" s="377" t="n"/>
      <c r="CW75" s="377" t="n"/>
      <c r="CX75" s="378" t="n"/>
      <c r="CZ75" s="259" t="inlineStr">
        <is>
          <t>移動</t>
        </is>
      </c>
      <c r="DA75" s="403" t="n"/>
      <c r="DB75" s="403" t="n"/>
      <c r="DC75" s="404" t="n"/>
      <c r="DD75" s="405">
        <f>IF(Q75="作業者3",E78-E75,0)</f>
        <v/>
      </c>
      <c r="DE75" s="406" t="n"/>
      <c r="DF75" s="406" t="n"/>
      <c r="DG75" s="406" t="n"/>
      <c r="DH75" s="407" t="n"/>
      <c r="DJ75" s="259" t="inlineStr">
        <is>
          <t>移動</t>
        </is>
      </c>
      <c r="DK75" s="403" t="n"/>
      <c r="DL75" s="403" t="n"/>
      <c r="DM75" s="404" t="n"/>
      <c r="DN75" s="379">
        <f>IF(Q75="作業者4",E78-E75,0)</f>
        <v/>
      </c>
      <c r="DO75" s="377" t="n"/>
      <c r="DP75" s="377" t="n"/>
      <c r="DQ75" s="377" t="n"/>
      <c r="DR75" s="378" t="n"/>
      <c r="DT75" s="259" t="inlineStr">
        <is>
          <t>移動</t>
        </is>
      </c>
      <c r="DU75" s="403" t="n"/>
      <c r="DV75" s="403" t="n"/>
      <c r="DW75" s="404" t="n"/>
      <c r="DX75" s="379">
        <f>IF(Q75="作業者5",E78-E75,0)</f>
        <v/>
      </c>
      <c r="DY75" s="377" t="n"/>
      <c r="DZ75" s="377" t="n"/>
      <c r="EA75" s="377" t="n"/>
      <c r="EB75" s="378" t="n"/>
    </row>
    <row r="76" ht="9" customHeight="1" s="337">
      <c r="B76" s="350" t="n"/>
      <c r="C76" s="338" t="n"/>
      <c r="D76" s="380" t="n"/>
      <c r="E76" s="381" t="n"/>
      <c r="F76" s="122" t="inlineStr">
        <is>
          <t>～</t>
        </is>
      </c>
      <c r="G76" s="22" t="n"/>
      <c r="H76" s="381" t="n"/>
      <c r="I76" s="122" t="inlineStr">
        <is>
          <t>～</t>
        </is>
      </c>
      <c r="J76" s="22" t="n"/>
      <c r="K76" s="381" t="n"/>
      <c r="L76" s="122" t="inlineStr">
        <is>
          <t>～</t>
        </is>
      </c>
      <c r="M76" s="22" t="n"/>
      <c r="N76" s="381" t="n"/>
      <c r="O76" s="122" t="inlineStr">
        <is>
          <t>～</t>
        </is>
      </c>
      <c r="P76" s="22" t="n"/>
      <c r="Q76" s="382" t="n"/>
      <c r="R76" s="338" t="n"/>
      <c r="S76" s="380" t="n"/>
      <c r="T76" s="382" t="n"/>
      <c r="U76" s="338" t="n"/>
      <c r="V76" s="380" t="n"/>
      <c r="W76" s="382" t="n"/>
      <c r="X76" s="338" t="n"/>
      <c r="Y76" s="338" t="n"/>
      <c r="Z76" s="338" t="n"/>
      <c r="AA76" s="338" t="n"/>
      <c r="AB76" s="338" t="n"/>
      <c r="AC76" s="338" t="n"/>
      <c r="AD76" s="338" t="n"/>
      <c r="AE76" s="338" t="n"/>
      <c r="AF76" s="338" t="n"/>
      <c r="AG76" s="338" t="n"/>
      <c r="AH76" s="338" t="n"/>
      <c r="AI76" s="338" t="n"/>
      <c r="AJ76" s="338" t="n"/>
      <c r="AK76" s="338" t="n"/>
      <c r="AL76" s="338" t="n"/>
      <c r="AM76" s="338" t="n"/>
      <c r="AN76" s="338" t="n"/>
      <c r="AO76" s="338" t="n"/>
      <c r="AP76" s="338" t="n"/>
      <c r="AQ76" s="338" t="n"/>
      <c r="AR76" s="338" t="n"/>
      <c r="AS76" s="338" t="n"/>
      <c r="AT76" s="338" t="n"/>
      <c r="AU76" s="338" t="n"/>
      <c r="AV76" s="338" t="n"/>
      <c r="AW76" s="338" t="n"/>
      <c r="AX76" s="338" t="n"/>
      <c r="AY76" s="338" t="n"/>
      <c r="AZ76" s="338" t="n"/>
      <c r="BA76" s="338" t="n"/>
      <c r="BB76" s="338" t="n"/>
      <c r="BC76" s="338" t="n"/>
      <c r="BD76" s="338" t="n"/>
      <c r="BE76" s="338" t="n"/>
      <c r="BF76" s="338" t="n"/>
      <c r="BG76" s="338" t="n"/>
      <c r="BH76" s="338" t="n"/>
      <c r="BI76" s="338" t="n"/>
      <c r="BJ76" s="338" t="n"/>
      <c r="BK76" s="338" t="n"/>
      <c r="BL76" s="338" t="n"/>
      <c r="BM76" s="338" t="n"/>
      <c r="BN76" s="338" t="n"/>
      <c r="BO76" s="338" t="n"/>
      <c r="BP76" s="338" t="n"/>
      <c r="BQ76" s="338" t="n"/>
      <c r="BR76" s="338" t="n"/>
      <c r="BS76" s="338" t="n"/>
      <c r="BT76" s="338" t="n"/>
      <c r="BU76" s="338" t="n"/>
      <c r="BV76" s="338" t="n"/>
      <c r="BW76" s="338" t="n"/>
      <c r="BX76" s="338" t="n"/>
      <c r="BY76" s="338" t="n"/>
      <c r="BZ76" s="338" t="n"/>
      <c r="CA76" s="338" t="n"/>
      <c r="CB76" s="338" t="n"/>
      <c r="CC76" s="383" t="n"/>
      <c r="CF76" s="253" t="inlineStr">
        <is>
          <t>時間内</t>
        </is>
      </c>
      <c r="CG76" s="384" t="n"/>
      <c r="CH76" s="384" t="n"/>
      <c r="CI76" s="385" t="n"/>
      <c r="CJ76" s="386">
        <f>IF(Q75="作業者1",H78-H75,0)</f>
        <v/>
      </c>
      <c r="CK76" s="387" t="n"/>
      <c r="CL76" s="387" t="n"/>
      <c r="CM76" s="387" t="n"/>
      <c r="CN76" s="388" t="n"/>
      <c r="CP76" s="253" t="inlineStr">
        <is>
          <t>時間内</t>
        </is>
      </c>
      <c r="CQ76" s="384" t="n"/>
      <c r="CR76" s="384" t="n"/>
      <c r="CS76" s="385" t="n"/>
      <c r="CT76" s="386">
        <f>IF(Q75="作業者2",H78-H75,0)</f>
        <v/>
      </c>
      <c r="CU76" s="387" t="n"/>
      <c r="CV76" s="387" t="n"/>
      <c r="CW76" s="387" t="n"/>
      <c r="CX76" s="388" t="n"/>
      <c r="CZ76" s="253" t="inlineStr">
        <is>
          <t>時間内</t>
        </is>
      </c>
      <c r="DA76" s="384" t="n"/>
      <c r="DB76" s="384" t="n"/>
      <c r="DC76" s="385" t="n"/>
      <c r="DD76" s="386">
        <f>IF(Q75="作業者3",H78-H75,0)</f>
        <v/>
      </c>
      <c r="DE76" s="387" t="n"/>
      <c r="DF76" s="387" t="n"/>
      <c r="DG76" s="387" t="n"/>
      <c r="DH76" s="388" t="n"/>
      <c r="DJ76" s="253" t="inlineStr">
        <is>
          <t>時間内</t>
        </is>
      </c>
      <c r="DK76" s="384" t="n"/>
      <c r="DL76" s="384" t="n"/>
      <c r="DM76" s="385" t="n"/>
      <c r="DN76" s="386">
        <f>IF(Q75="作業者4",H78-H75,0)</f>
        <v/>
      </c>
      <c r="DO76" s="387" t="n"/>
      <c r="DP76" s="387" t="n"/>
      <c r="DQ76" s="387" t="n"/>
      <c r="DR76" s="388" t="n"/>
      <c r="DT76" s="253" t="inlineStr">
        <is>
          <t>時間内</t>
        </is>
      </c>
      <c r="DU76" s="384" t="n"/>
      <c r="DV76" s="384" t="n"/>
      <c r="DW76" s="385" t="n"/>
      <c r="DX76" s="386">
        <f>IF(Q75="作業者5",H78-H75,0)</f>
        <v/>
      </c>
      <c r="DY76" s="387" t="n"/>
      <c r="DZ76" s="387" t="n"/>
      <c r="EA76" s="387" t="n"/>
      <c r="EB76" s="388" t="n"/>
    </row>
    <row r="77" ht="9" customHeight="1" s="337">
      <c r="B77" s="350" t="n"/>
      <c r="C77" s="338" t="n"/>
      <c r="D77" s="380" t="n"/>
      <c r="E77" s="23" t="n"/>
      <c r="F77" s="338" t="n"/>
      <c r="G77" s="24" t="n"/>
      <c r="H77" s="23" t="n"/>
      <c r="I77" s="338" t="n"/>
      <c r="J77" s="24" t="n"/>
      <c r="K77" s="23" t="n"/>
      <c r="L77" s="338" t="n"/>
      <c r="M77" s="24" t="n"/>
      <c r="N77" s="23" t="n"/>
      <c r="O77" s="338" t="n"/>
      <c r="P77" s="24" t="n"/>
      <c r="Q77" s="382" t="n"/>
      <c r="R77" s="338" t="n"/>
      <c r="S77" s="380" t="n"/>
      <c r="T77" s="382" t="n"/>
      <c r="U77" s="338" t="n"/>
      <c r="V77" s="380" t="n"/>
      <c r="W77" s="382" t="n"/>
      <c r="X77" s="338" t="n"/>
      <c r="Y77" s="338" t="n"/>
      <c r="Z77" s="338" t="n"/>
      <c r="AA77" s="338" t="n"/>
      <c r="AB77" s="338" t="n"/>
      <c r="AC77" s="338" t="n"/>
      <c r="AD77" s="338" t="n"/>
      <c r="AE77" s="338" t="n"/>
      <c r="AF77" s="338" t="n"/>
      <c r="AG77" s="338" t="n"/>
      <c r="AH77" s="338" t="n"/>
      <c r="AI77" s="338" t="n"/>
      <c r="AJ77" s="338" t="n"/>
      <c r="AK77" s="338" t="n"/>
      <c r="AL77" s="338" t="n"/>
      <c r="AM77" s="338" t="n"/>
      <c r="AN77" s="338" t="n"/>
      <c r="AO77" s="338" t="n"/>
      <c r="AP77" s="338" t="n"/>
      <c r="AQ77" s="338" t="n"/>
      <c r="AR77" s="338" t="n"/>
      <c r="AS77" s="338" t="n"/>
      <c r="AT77" s="338" t="n"/>
      <c r="AU77" s="338" t="n"/>
      <c r="AV77" s="338" t="n"/>
      <c r="AW77" s="338" t="n"/>
      <c r="AX77" s="338" t="n"/>
      <c r="AY77" s="338" t="n"/>
      <c r="AZ77" s="338" t="n"/>
      <c r="BA77" s="338" t="n"/>
      <c r="BB77" s="338" t="n"/>
      <c r="BC77" s="338" t="n"/>
      <c r="BD77" s="338" t="n"/>
      <c r="BE77" s="338" t="n"/>
      <c r="BF77" s="338" t="n"/>
      <c r="BG77" s="338" t="n"/>
      <c r="BH77" s="338" t="n"/>
      <c r="BI77" s="338" t="n"/>
      <c r="BJ77" s="338" t="n"/>
      <c r="BK77" s="338" t="n"/>
      <c r="BL77" s="338" t="n"/>
      <c r="BM77" s="338" t="n"/>
      <c r="BN77" s="338" t="n"/>
      <c r="BO77" s="338" t="n"/>
      <c r="BP77" s="338" t="n"/>
      <c r="BQ77" s="338" t="n"/>
      <c r="BR77" s="338" t="n"/>
      <c r="BS77" s="338" t="n"/>
      <c r="BT77" s="338" t="n"/>
      <c r="BU77" s="338" t="n"/>
      <c r="BV77" s="338" t="n"/>
      <c r="BW77" s="338" t="n"/>
      <c r="BX77" s="338" t="n"/>
      <c r="BY77" s="338" t="n"/>
      <c r="BZ77" s="338" t="n"/>
      <c r="CA77" s="338" t="n"/>
      <c r="CB77" s="338" t="n"/>
      <c r="CC77" s="383" t="n"/>
      <c r="CF77" s="253" t="inlineStr">
        <is>
          <t>時間外</t>
        </is>
      </c>
      <c r="CG77" s="384" t="n"/>
      <c r="CH77" s="384" t="n"/>
      <c r="CI77" s="385" t="n"/>
      <c r="CJ77" s="386">
        <f>IF(Q75="作業者1",K78-K75,0)</f>
        <v/>
      </c>
      <c r="CK77" s="387" t="n"/>
      <c r="CL77" s="387" t="n"/>
      <c r="CM77" s="387" t="n"/>
      <c r="CN77" s="388" t="n"/>
      <c r="CP77" s="253" t="inlineStr">
        <is>
          <t>時間外</t>
        </is>
      </c>
      <c r="CQ77" s="384" t="n"/>
      <c r="CR77" s="384" t="n"/>
      <c r="CS77" s="385" t="n"/>
      <c r="CT77" s="386">
        <f>IF(Q75="作業者2",K78-K75,0)</f>
        <v/>
      </c>
      <c r="CU77" s="387" t="n"/>
      <c r="CV77" s="387" t="n"/>
      <c r="CW77" s="387" t="n"/>
      <c r="CX77" s="388" t="n"/>
      <c r="CZ77" s="253" t="inlineStr">
        <is>
          <t>時間外</t>
        </is>
      </c>
      <c r="DA77" s="384" t="n"/>
      <c r="DB77" s="384" t="n"/>
      <c r="DC77" s="385" t="n"/>
      <c r="DD77" s="386">
        <f>IF(Q75="作業者3",K78-K75,0)</f>
        <v/>
      </c>
      <c r="DE77" s="387" t="n"/>
      <c r="DF77" s="387" t="n"/>
      <c r="DG77" s="387" t="n"/>
      <c r="DH77" s="388" t="n"/>
      <c r="DJ77" s="253" t="inlineStr">
        <is>
          <t>時間外</t>
        </is>
      </c>
      <c r="DK77" s="384" t="n"/>
      <c r="DL77" s="384" t="n"/>
      <c r="DM77" s="385" t="n"/>
      <c r="DN77" s="386">
        <f>IF(Q75="作業者4",K78-K75,0)</f>
        <v/>
      </c>
      <c r="DO77" s="387" t="n"/>
      <c r="DP77" s="387" t="n"/>
      <c r="DQ77" s="387" t="n"/>
      <c r="DR77" s="388" t="n"/>
      <c r="DT77" s="253" t="inlineStr">
        <is>
          <t>時間外</t>
        </is>
      </c>
      <c r="DU77" s="384" t="n"/>
      <c r="DV77" s="384" t="n"/>
      <c r="DW77" s="385" t="n"/>
      <c r="DX77" s="386">
        <f>IF(Q75="作業者5",K78-K75,0)</f>
        <v/>
      </c>
      <c r="DY77" s="387" t="n"/>
      <c r="DZ77" s="387" t="n"/>
      <c r="EA77" s="387" t="n"/>
      <c r="EB77" s="388" t="n"/>
    </row>
    <row r="78" ht="9" customHeight="1" s="337">
      <c r="B78" s="389" t="n"/>
      <c r="C78" s="390" t="n"/>
      <c r="D78" s="391" t="n"/>
      <c r="E78" s="392" t="n"/>
      <c r="F78" s="390" t="n"/>
      <c r="G78" s="391" t="n"/>
      <c r="H78" s="392" t="n"/>
      <c r="I78" s="390" t="n"/>
      <c r="J78" s="391" t="n"/>
      <c r="K78" s="392" t="n"/>
      <c r="L78" s="390" t="n"/>
      <c r="M78" s="391" t="n"/>
      <c r="N78" s="392" t="n"/>
      <c r="O78" s="390" t="n"/>
      <c r="P78" s="391" t="n"/>
      <c r="Q78" s="393" t="n"/>
      <c r="R78" s="390" t="n"/>
      <c r="S78" s="391" t="n"/>
      <c r="T78" s="393" t="n"/>
      <c r="U78" s="390" t="n"/>
      <c r="V78" s="391" t="n"/>
      <c r="W78" s="393" t="n"/>
      <c r="X78" s="390" t="n"/>
      <c r="Y78" s="390" t="n"/>
      <c r="Z78" s="390" t="n"/>
      <c r="AA78" s="390" t="n"/>
      <c r="AB78" s="390" t="n"/>
      <c r="AC78" s="390" t="n"/>
      <c r="AD78" s="390" t="n"/>
      <c r="AE78" s="390" t="n"/>
      <c r="AF78" s="390" t="n"/>
      <c r="AG78" s="390" t="n"/>
      <c r="AH78" s="390" t="n"/>
      <c r="AI78" s="390" t="n"/>
      <c r="AJ78" s="390" t="n"/>
      <c r="AK78" s="390" t="n"/>
      <c r="AL78" s="390" t="n"/>
      <c r="AM78" s="390" t="n"/>
      <c r="AN78" s="390" t="n"/>
      <c r="AO78" s="390" t="n"/>
      <c r="AP78" s="390" t="n"/>
      <c r="AQ78" s="390" t="n"/>
      <c r="AR78" s="390" t="n"/>
      <c r="AS78" s="390" t="n"/>
      <c r="AT78" s="390" t="n"/>
      <c r="AU78" s="390" t="n"/>
      <c r="AV78" s="390" t="n"/>
      <c r="AW78" s="390" t="n"/>
      <c r="AX78" s="390" t="n"/>
      <c r="AY78" s="390" t="n"/>
      <c r="AZ78" s="390" t="n"/>
      <c r="BA78" s="390" t="n"/>
      <c r="BB78" s="390" t="n"/>
      <c r="BC78" s="390" t="n"/>
      <c r="BD78" s="390" t="n"/>
      <c r="BE78" s="390" t="n"/>
      <c r="BF78" s="390" t="n"/>
      <c r="BG78" s="390" t="n"/>
      <c r="BH78" s="390" t="n"/>
      <c r="BI78" s="390" t="n"/>
      <c r="BJ78" s="390" t="n"/>
      <c r="BK78" s="390" t="n"/>
      <c r="BL78" s="390" t="n"/>
      <c r="BM78" s="390" t="n"/>
      <c r="BN78" s="390" t="n"/>
      <c r="BO78" s="390" t="n"/>
      <c r="BP78" s="390" t="n"/>
      <c r="BQ78" s="390" t="n"/>
      <c r="BR78" s="390" t="n"/>
      <c r="BS78" s="390" t="n"/>
      <c r="BT78" s="390" t="n"/>
      <c r="BU78" s="390" t="n"/>
      <c r="BV78" s="390" t="n"/>
      <c r="BW78" s="390" t="n"/>
      <c r="BX78" s="390" t="n"/>
      <c r="BY78" s="390" t="n"/>
      <c r="BZ78" s="390" t="n"/>
      <c r="CA78" s="390" t="n"/>
      <c r="CB78" s="390" t="n"/>
      <c r="CC78" s="394" t="n"/>
      <c r="CF78" s="254" t="inlineStr">
        <is>
          <t>休日</t>
        </is>
      </c>
      <c r="CG78" s="395" t="n"/>
      <c r="CH78" s="395" t="n"/>
      <c r="CI78" s="396" t="n"/>
      <c r="CJ78" s="397">
        <f>IF(Q75="作業者1",N78-N75,0)</f>
        <v/>
      </c>
      <c r="CK78" s="395" t="n"/>
      <c r="CL78" s="395" t="n"/>
      <c r="CM78" s="395" t="n"/>
      <c r="CN78" s="396" t="n"/>
      <c r="CP78" s="254" t="inlineStr">
        <is>
          <t>休日</t>
        </is>
      </c>
      <c r="CQ78" s="395" t="n"/>
      <c r="CR78" s="395" t="n"/>
      <c r="CS78" s="396" t="n"/>
      <c r="CT78" s="397">
        <f>IF(Q75="作業者2",N78-N75,0)</f>
        <v/>
      </c>
      <c r="CU78" s="395" t="n"/>
      <c r="CV78" s="395" t="n"/>
      <c r="CW78" s="395" t="n"/>
      <c r="CX78" s="396" t="n"/>
      <c r="CZ78" s="254" t="inlineStr">
        <is>
          <t>休日</t>
        </is>
      </c>
      <c r="DA78" s="395" t="n"/>
      <c r="DB78" s="395" t="n"/>
      <c r="DC78" s="396" t="n"/>
      <c r="DD78" s="397">
        <f>IF(Q75="作業者3",N78-N75,0)</f>
        <v/>
      </c>
      <c r="DE78" s="395" t="n"/>
      <c r="DF78" s="395" t="n"/>
      <c r="DG78" s="395" t="n"/>
      <c r="DH78" s="396" t="n"/>
      <c r="DJ78" s="254" t="inlineStr">
        <is>
          <t>休日</t>
        </is>
      </c>
      <c r="DK78" s="395" t="n"/>
      <c r="DL78" s="395" t="n"/>
      <c r="DM78" s="396" t="n"/>
      <c r="DN78" s="397">
        <f>IF(Q75="作業者4",N78-N75,0)</f>
        <v/>
      </c>
      <c r="DO78" s="395" t="n"/>
      <c r="DP78" s="395" t="n"/>
      <c r="DQ78" s="395" t="n"/>
      <c r="DR78" s="396" t="n"/>
      <c r="DT78" s="254" t="inlineStr">
        <is>
          <t>休日</t>
        </is>
      </c>
      <c r="DU78" s="395" t="n"/>
      <c r="DV78" s="395" t="n"/>
      <c r="DW78" s="396" t="n"/>
      <c r="DX78" s="397">
        <f>IF(Q75="作業者5",N78-N75,0)</f>
        <v/>
      </c>
      <c r="DY78" s="395" t="n"/>
      <c r="DZ78" s="395" t="n"/>
      <c r="EA78" s="395" t="n"/>
      <c r="EB78" s="396" t="n"/>
    </row>
    <row r="79" ht="9" customHeight="1" s="337">
      <c r="B79" s="398" t="n"/>
      <c r="C79" s="372" t="n"/>
      <c r="D79" s="373" t="n"/>
      <c r="E79" s="399" t="n"/>
      <c r="F79" s="372" t="n"/>
      <c r="G79" s="373" t="n"/>
      <c r="H79" s="399" t="n"/>
      <c r="I79" s="372" t="n"/>
      <c r="J79" s="373" t="n"/>
      <c r="K79" s="399" t="n"/>
      <c r="L79" s="372" t="n"/>
      <c r="M79" s="373" t="n"/>
      <c r="N79" s="399" t="n"/>
      <c r="O79" s="372" t="n"/>
      <c r="P79" s="373" t="n"/>
      <c r="Q79" s="371" t="n"/>
      <c r="R79" s="372" t="n"/>
      <c r="S79" s="373" t="n"/>
      <c r="T79" s="371" t="n"/>
      <c r="U79" s="372" t="n"/>
      <c r="V79" s="373" t="n"/>
      <c r="W79" s="443" t="n"/>
      <c r="X79" s="372" t="n"/>
      <c r="Y79" s="372" t="n"/>
      <c r="Z79" s="372" t="n"/>
      <c r="AA79" s="372" t="n"/>
      <c r="AB79" s="372" t="n"/>
      <c r="AC79" s="372" t="n"/>
      <c r="AD79" s="372" t="n"/>
      <c r="AE79" s="372" t="n"/>
      <c r="AF79" s="372" t="n"/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AQ79" s="372" t="n"/>
      <c r="AR79" s="372" t="n"/>
      <c r="AS79" s="372" t="n"/>
      <c r="AT79" s="372" t="n"/>
      <c r="AU79" s="372" t="n"/>
      <c r="AV79" s="372" t="n"/>
      <c r="AW79" s="372" t="n"/>
      <c r="AX79" s="372" t="n"/>
      <c r="AY79" s="372" t="n"/>
      <c r="AZ79" s="372" t="n"/>
      <c r="BA79" s="372" t="n"/>
      <c r="BB79" s="372" t="n"/>
      <c r="BC79" s="372" t="n"/>
      <c r="BD79" s="372" t="n"/>
      <c r="BE79" s="372" t="n"/>
      <c r="BF79" s="372" t="n"/>
      <c r="BG79" s="372" t="n"/>
      <c r="BH79" s="372" t="n"/>
      <c r="BI79" s="372" t="n"/>
      <c r="BJ79" s="372" t="n"/>
      <c r="BK79" s="372" t="n"/>
      <c r="BL79" s="372" t="n"/>
      <c r="BM79" s="372" t="n"/>
      <c r="BN79" s="372" t="n"/>
      <c r="BO79" s="372" t="n"/>
      <c r="BP79" s="372" t="n"/>
      <c r="BQ79" s="372" t="n"/>
      <c r="BR79" s="372" t="n"/>
      <c r="BS79" s="372" t="n"/>
      <c r="BT79" s="372" t="n"/>
      <c r="BU79" s="372" t="n"/>
      <c r="BV79" s="372" t="n"/>
      <c r="BW79" s="372" t="n"/>
      <c r="BX79" s="372" t="n"/>
      <c r="BY79" s="372" t="n"/>
      <c r="BZ79" s="372" t="n"/>
      <c r="CA79" s="372" t="n"/>
      <c r="CB79" s="372" t="n"/>
      <c r="CC79" s="402" t="n"/>
      <c r="CF79" s="248" t="inlineStr">
        <is>
          <t>移動</t>
        </is>
      </c>
      <c r="CG79" s="377" t="n"/>
      <c r="CH79" s="377" t="n"/>
      <c r="CI79" s="378" t="n"/>
      <c r="CJ79" s="379">
        <f>IF(Q79="作業者1",E82-E79,0)</f>
        <v/>
      </c>
      <c r="CK79" s="377" t="n"/>
      <c r="CL79" s="377" t="n"/>
      <c r="CM79" s="377" t="n"/>
      <c r="CN79" s="378" t="n"/>
      <c r="CP79" s="248" t="inlineStr">
        <is>
          <t>移動</t>
        </is>
      </c>
      <c r="CQ79" s="377" t="n"/>
      <c r="CR79" s="377" t="n"/>
      <c r="CS79" s="378" t="n"/>
      <c r="CT79" s="379">
        <f>IF(Q79="作業者2",E82-E79,0)</f>
        <v/>
      </c>
      <c r="CU79" s="377" t="n"/>
      <c r="CV79" s="377" t="n"/>
      <c r="CW79" s="377" t="n"/>
      <c r="CX79" s="378" t="n"/>
      <c r="CZ79" s="248" t="inlineStr">
        <is>
          <t>移動</t>
        </is>
      </c>
      <c r="DA79" s="377" t="n"/>
      <c r="DB79" s="377" t="n"/>
      <c r="DC79" s="378" t="n"/>
      <c r="DD79" s="379">
        <f>IF(Q79="作業者3",E82-E79,0)</f>
        <v/>
      </c>
      <c r="DE79" s="377" t="n"/>
      <c r="DF79" s="377" t="n"/>
      <c r="DG79" s="377" t="n"/>
      <c r="DH79" s="378" t="n"/>
      <c r="DJ79" s="248" t="inlineStr">
        <is>
          <t>移動</t>
        </is>
      </c>
      <c r="DK79" s="377" t="n"/>
      <c r="DL79" s="377" t="n"/>
      <c r="DM79" s="378" t="n"/>
      <c r="DN79" s="379">
        <f>IF(Q79="作業者4",E82-E79,0)</f>
        <v/>
      </c>
      <c r="DO79" s="377" t="n"/>
      <c r="DP79" s="377" t="n"/>
      <c r="DQ79" s="377" t="n"/>
      <c r="DR79" s="378" t="n"/>
      <c r="DT79" s="259" t="inlineStr">
        <is>
          <t>移動</t>
        </is>
      </c>
      <c r="DU79" s="403" t="n"/>
      <c r="DV79" s="403" t="n"/>
      <c r="DW79" s="404" t="n"/>
      <c r="DX79" s="379">
        <f>IF(Q79="作業者5",E82-E79,0)</f>
        <v/>
      </c>
      <c r="DY79" s="377" t="n"/>
      <c r="DZ79" s="377" t="n"/>
      <c r="EA79" s="377" t="n"/>
      <c r="EB79" s="378" t="n"/>
    </row>
    <row r="80" ht="9" customHeight="1" s="337">
      <c r="B80" s="350" t="n"/>
      <c r="C80" s="338" t="n"/>
      <c r="D80" s="380" t="n"/>
      <c r="E80" s="381" t="n"/>
      <c r="F80" s="122" t="inlineStr">
        <is>
          <t>～</t>
        </is>
      </c>
      <c r="G80" s="22" t="n"/>
      <c r="H80" s="381" t="n"/>
      <c r="I80" s="122" t="inlineStr">
        <is>
          <t>～</t>
        </is>
      </c>
      <c r="J80" s="22" t="n"/>
      <c r="K80" s="381" t="n"/>
      <c r="L80" s="122" t="inlineStr">
        <is>
          <t>～</t>
        </is>
      </c>
      <c r="M80" s="22" t="n"/>
      <c r="N80" s="381" t="n"/>
      <c r="O80" s="122" t="inlineStr">
        <is>
          <t>～</t>
        </is>
      </c>
      <c r="P80" s="22" t="n"/>
      <c r="Q80" s="382" t="n"/>
      <c r="R80" s="338" t="n"/>
      <c r="S80" s="380" t="n"/>
      <c r="T80" s="382" t="n"/>
      <c r="U80" s="338" t="n"/>
      <c r="V80" s="380" t="n"/>
      <c r="W80" s="382" t="n"/>
      <c r="X80" s="338" t="n"/>
      <c r="Y80" s="338" t="n"/>
      <c r="Z80" s="338" t="n"/>
      <c r="AA80" s="338" t="n"/>
      <c r="AB80" s="338" t="n"/>
      <c r="AC80" s="338" t="n"/>
      <c r="AD80" s="338" t="n"/>
      <c r="AE80" s="338" t="n"/>
      <c r="AF80" s="338" t="n"/>
      <c r="AG80" s="338" t="n"/>
      <c r="AH80" s="338" t="n"/>
      <c r="AI80" s="338" t="n"/>
      <c r="AJ80" s="338" t="n"/>
      <c r="AK80" s="338" t="n"/>
      <c r="AL80" s="338" t="n"/>
      <c r="AM80" s="338" t="n"/>
      <c r="AN80" s="338" t="n"/>
      <c r="AO80" s="338" t="n"/>
      <c r="AP80" s="338" t="n"/>
      <c r="AQ80" s="338" t="n"/>
      <c r="AR80" s="338" t="n"/>
      <c r="AS80" s="338" t="n"/>
      <c r="AT80" s="338" t="n"/>
      <c r="AU80" s="338" t="n"/>
      <c r="AV80" s="338" t="n"/>
      <c r="AW80" s="338" t="n"/>
      <c r="AX80" s="338" t="n"/>
      <c r="AY80" s="338" t="n"/>
      <c r="AZ80" s="338" t="n"/>
      <c r="BA80" s="338" t="n"/>
      <c r="BB80" s="338" t="n"/>
      <c r="BC80" s="338" t="n"/>
      <c r="BD80" s="338" t="n"/>
      <c r="BE80" s="338" t="n"/>
      <c r="BF80" s="338" t="n"/>
      <c r="BG80" s="338" t="n"/>
      <c r="BH80" s="338" t="n"/>
      <c r="BI80" s="338" t="n"/>
      <c r="BJ80" s="338" t="n"/>
      <c r="BK80" s="338" t="n"/>
      <c r="BL80" s="338" t="n"/>
      <c r="BM80" s="338" t="n"/>
      <c r="BN80" s="338" t="n"/>
      <c r="BO80" s="338" t="n"/>
      <c r="BP80" s="338" t="n"/>
      <c r="BQ80" s="338" t="n"/>
      <c r="BR80" s="338" t="n"/>
      <c r="BS80" s="338" t="n"/>
      <c r="BT80" s="338" t="n"/>
      <c r="BU80" s="338" t="n"/>
      <c r="BV80" s="338" t="n"/>
      <c r="BW80" s="338" t="n"/>
      <c r="BX80" s="338" t="n"/>
      <c r="BY80" s="338" t="n"/>
      <c r="BZ80" s="338" t="n"/>
      <c r="CA80" s="338" t="n"/>
      <c r="CB80" s="338" t="n"/>
      <c r="CC80" s="383" t="n"/>
      <c r="CF80" s="253" t="inlineStr">
        <is>
          <t>時間内</t>
        </is>
      </c>
      <c r="CG80" s="384" t="n"/>
      <c r="CH80" s="384" t="n"/>
      <c r="CI80" s="385" t="n"/>
      <c r="CJ80" s="386">
        <f>IF(Q79="作業者1",H82-H79,0)</f>
        <v/>
      </c>
      <c r="CK80" s="387" t="n"/>
      <c r="CL80" s="387" t="n"/>
      <c r="CM80" s="387" t="n"/>
      <c r="CN80" s="388" t="n"/>
      <c r="CP80" s="253" t="inlineStr">
        <is>
          <t>時間内</t>
        </is>
      </c>
      <c r="CQ80" s="384" t="n"/>
      <c r="CR80" s="384" t="n"/>
      <c r="CS80" s="385" t="n"/>
      <c r="CT80" s="386">
        <f>IF(Q79="作業者2",H82-H79,0)</f>
        <v/>
      </c>
      <c r="CU80" s="387" t="n"/>
      <c r="CV80" s="387" t="n"/>
      <c r="CW80" s="387" t="n"/>
      <c r="CX80" s="388" t="n"/>
      <c r="CZ80" s="253" t="inlineStr">
        <is>
          <t>時間内</t>
        </is>
      </c>
      <c r="DA80" s="384" t="n"/>
      <c r="DB80" s="384" t="n"/>
      <c r="DC80" s="385" t="n"/>
      <c r="DD80" s="386">
        <f>IF(Q79="作業者3",H82-H79,0)</f>
        <v/>
      </c>
      <c r="DE80" s="387" t="n"/>
      <c r="DF80" s="387" t="n"/>
      <c r="DG80" s="387" t="n"/>
      <c r="DH80" s="388" t="n"/>
      <c r="DJ80" s="253" t="inlineStr">
        <is>
          <t>時間内</t>
        </is>
      </c>
      <c r="DK80" s="384" t="n"/>
      <c r="DL80" s="384" t="n"/>
      <c r="DM80" s="385" t="n"/>
      <c r="DN80" s="386">
        <f>IF(Q79="作業者4",H82-H79,0)</f>
        <v/>
      </c>
      <c r="DO80" s="387" t="n"/>
      <c r="DP80" s="387" t="n"/>
      <c r="DQ80" s="387" t="n"/>
      <c r="DR80" s="388" t="n"/>
      <c r="DT80" s="253" t="inlineStr">
        <is>
          <t>時間内</t>
        </is>
      </c>
      <c r="DU80" s="384" t="n"/>
      <c r="DV80" s="384" t="n"/>
      <c r="DW80" s="385" t="n"/>
      <c r="DX80" s="386">
        <f>IF(Q79="作業者5",H82-H79,0)</f>
        <v/>
      </c>
      <c r="DY80" s="387" t="n"/>
      <c r="DZ80" s="387" t="n"/>
      <c r="EA80" s="387" t="n"/>
      <c r="EB80" s="388" t="n"/>
    </row>
    <row r="81" ht="9" customHeight="1" s="337">
      <c r="B81" s="350" t="n"/>
      <c r="C81" s="338" t="n"/>
      <c r="D81" s="380" t="n"/>
      <c r="E81" s="23" t="n"/>
      <c r="F81" s="338" t="n"/>
      <c r="G81" s="24" t="n"/>
      <c r="H81" s="23" t="n"/>
      <c r="I81" s="338" t="n"/>
      <c r="J81" s="24" t="n"/>
      <c r="K81" s="23" t="n"/>
      <c r="L81" s="338" t="n"/>
      <c r="M81" s="24" t="n"/>
      <c r="N81" s="23" t="n"/>
      <c r="O81" s="338" t="n"/>
      <c r="P81" s="24" t="n"/>
      <c r="Q81" s="382" t="n"/>
      <c r="R81" s="338" t="n"/>
      <c r="S81" s="380" t="n"/>
      <c r="T81" s="382" t="n"/>
      <c r="U81" s="338" t="n"/>
      <c r="V81" s="380" t="n"/>
      <c r="W81" s="382" t="n"/>
      <c r="X81" s="338" t="n"/>
      <c r="Y81" s="338" t="n"/>
      <c r="Z81" s="338" t="n"/>
      <c r="AA81" s="338" t="n"/>
      <c r="AB81" s="338" t="n"/>
      <c r="AC81" s="338" t="n"/>
      <c r="AD81" s="338" t="n"/>
      <c r="AE81" s="338" t="n"/>
      <c r="AF81" s="338" t="n"/>
      <c r="AG81" s="338" t="n"/>
      <c r="AH81" s="338" t="n"/>
      <c r="AI81" s="338" t="n"/>
      <c r="AJ81" s="338" t="n"/>
      <c r="AK81" s="338" t="n"/>
      <c r="AL81" s="338" t="n"/>
      <c r="AM81" s="338" t="n"/>
      <c r="AN81" s="338" t="n"/>
      <c r="AO81" s="338" t="n"/>
      <c r="AP81" s="338" t="n"/>
      <c r="AQ81" s="338" t="n"/>
      <c r="AR81" s="338" t="n"/>
      <c r="AS81" s="338" t="n"/>
      <c r="AT81" s="338" t="n"/>
      <c r="AU81" s="338" t="n"/>
      <c r="AV81" s="338" t="n"/>
      <c r="AW81" s="338" t="n"/>
      <c r="AX81" s="338" t="n"/>
      <c r="AY81" s="338" t="n"/>
      <c r="AZ81" s="338" t="n"/>
      <c r="BA81" s="338" t="n"/>
      <c r="BB81" s="338" t="n"/>
      <c r="BC81" s="338" t="n"/>
      <c r="BD81" s="338" t="n"/>
      <c r="BE81" s="338" t="n"/>
      <c r="BF81" s="338" t="n"/>
      <c r="BG81" s="338" t="n"/>
      <c r="BH81" s="338" t="n"/>
      <c r="BI81" s="338" t="n"/>
      <c r="BJ81" s="338" t="n"/>
      <c r="BK81" s="338" t="n"/>
      <c r="BL81" s="338" t="n"/>
      <c r="BM81" s="338" t="n"/>
      <c r="BN81" s="338" t="n"/>
      <c r="BO81" s="338" t="n"/>
      <c r="BP81" s="338" t="n"/>
      <c r="BQ81" s="338" t="n"/>
      <c r="BR81" s="338" t="n"/>
      <c r="BS81" s="338" t="n"/>
      <c r="BT81" s="338" t="n"/>
      <c r="BU81" s="338" t="n"/>
      <c r="BV81" s="338" t="n"/>
      <c r="BW81" s="338" t="n"/>
      <c r="BX81" s="338" t="n"/>
      <c r="BY81" s="338" t="n"/>
      <c r="BZ81" s="338" t="n"/>
      <c r="CA81" s="338" t="n"/>
      <c r="CB81" s="338" t="n"/>
      <c r="CC81" s="383" t="n"/>
      <c r="CF81" s="253" t="inlineStr">
        <is>
          <t>時間外</t>
        </is>
      </c>
      <c r="CG81" s="384" t="n"/>
      <c r="CH81" s="384" t="n"/>
      <c r="CI81" s="385" t="n"/>
      <c r="CJ81" s="386">
        <f>IF(Q79="作業者1",K82-K79,0)</f>
        <v/>
      </c>
      <c r="CK81" s="387" t="n"/>
      <c r="CL81" s="387" t="n"/>
      <c r="CM81" s="387" t="n"/>
      <c r="CN81" s="388" t="n"/>
      <c r="CP81" s="253" t="inlineStr">
        <is>
          <t>時間外</t>
        </is>
      </c>
      <c r="CQ81" s="384" t="n"/>
      <c r="CR81" s="384" t="n"/>
      <c r="CS81" s="385" t="n"/>
      <c r="CT81" s="386">
        <f>IF(Q79="作業者2",K82-K79,0)</f>
        <v/>
      </c>
      <c r="CU81" s="387" t="n"/>
      <c r="CV81" s="387" t="n"/>
      <c r="CW81" s="387" t="n"/>
      <c r="CX81" s="388" t="n"/>
      <c r="CZ81" s="253" t="inlineStr">
        <is>
          <t>時間外</t>
        </is>
      </c>
      <c r="DA81" s="384" t="n"/>
      <c r="DB81" s="384" t="n"/>
      <c r="DC81" s="385" t="n"/>
      <c r="DD81" s="386">
        <f>IF(Q79="作業者3",K82-K79,0)</f>
        <v/>
      </c>
      <c r="DE81" s="387" t="n"/>
      <c r="DF81" s="387" t="n"/>
      <c r="DG81" s="387" t="n"/>
      <c r="DH81" s="388" t="n"/>
      <c r="DJ81" s="253" t="inlineStr">
        <is>
          <t>時間外</t>
        </is>
      </c>
      <c r="DK81" s="384" t="n"/>
      <c r="DL81" s="384" t="n"/>
      <c r="DM81" s="385" t="n"/>
      <c r="DN81" s="386">
        <f>IF(Q79="作業者4",K82-K79,0)</f>
        <v/>
      </c>
      <c r="DO81" s="387" t="n"/>
      <c r="DP81" s="387" t="n"/>
      <c r="DQ81" s="387" t="n"/>
      <c r="DR81" s="388" t="n"/>
      <c r="DT81" s="253" t="inlineStr">
        <is>
          <t>時間外</t>
        </is>
      </c>
      <c r="DU81" s="384" t="n"/>
      <c r="DV81" s="384" t="n"/>
      <c r="DW81" s="385" t="n"/>
      <c r="DX81" s="386">
        <f>IF(Q79="作業者5",K82-K79,0)</f>
        <v/>
      </c>
      <c r="DY81" s="387" t="n"/>
      <c r="DZ81" s="387" t="n"/>
      <c r="EA81" s="387" t="n"/>
      <c r="EB81" s="388" t="n"/>
    </row>
    <row r="82" ht="9" customHeight="1" s="337">
      <c r="B82" s="389" t="n"/>
      <c r="C82" s="390" t="n"/>
      <c r="D82" s="391" t="n"/>
      <c r="E82" s="392" t="n"/>
      <c r="F82" s="390" t="n"/>
      <c r="G82" s="391" t="n"/>
      <c r="H82" s="392" t="n"/>
      <c r="I82" s="390" t="n"/>
      <c r="J82" s="391" t="n"/>
      <c r="K82" s="392" t="n"/>
      <c r="L82" s="390" t="n"/>
      <c r="M82" s="391" t="n"/>
      <c r="N82" s="392" t="n"/>
      <c r="O82" s="390" t="n"/>
      <c r="P82" s="391" t="n"/>
      <c r="Q82" s="393" t="n"/>
      <c r="R82" s="390" t="n"/>
      <c r="S82" s="391" t="n"/>
      <c r="T82" s="393" t="n"/>
      <c r="U82" s="390" t="n"/>
      <c r="V82" s="391" t="n"/>
      <c r="W82" s="393" t="n"/>
      <c r="X82" s="390" t="n"/>
      <c r="Y82" s="390" t="n"/>
      <c r="Z82" s="390" t="n"/>
      <c r="AA82" s="390" t="n"/>
      <c r="AB82" s="390" t="n"/>
      <c r="AC82" s="390" t="n"/>
      <c r="AD82" s="390" t="n"/>
      <c r="AE82" s="390" t="n"/>
      <c r="AF82" s="390" t="n"/>
      <c r="AG82" s="390" t="n"/>
      <c r="AH82" s="390" t="n"/>
      <c r="AI82" s="390" t="n"/>
      <c r="AJ82" s="390" t="n"/>
      <c r="AK82" s="390" t="n"/>
      <c r="AL82" s="390" t="n"/>
      <c r="AM82" s="390" t="n"/>
      <c r="AN82" s="390" t="n"/>
      <c r="AO82" s="390" t="n"/>
      <c r="AP82" s="390" t="n"/>
      <c r="AQ82" s="390" t="n"/>
      <c r="AR82" s="390" t="n"/>
      <c r="AS82" s="390" t="n"/>
      <c r="AT82" s="390" t="n"/>
      <c r="AU82" s="390" t="n"/>
      <c r="AV82" s="390" t="n"/>
      <c r="AW82" s="390" t="n"/>
      <c r="AX82" s="390" t="n"/>
      <c r="AY82" s="390" t="n"/>
      <c r="AZ82" s="390" t="n"/>
      <c r="BA82" s="390" t="n"/>
      <c r="BB82" s="390" t="n"/>
      <c r="BC82" s="390" t="n"/>
      <c r="BD82" s="390" t="n"/>
      <c r="BE82" s="390" t="n"/>
      <c r="BF82" s="390" t="n"/>
      <c r="BG82" s="390" t="n"/>
      <c r="BH82" s="390" t="n"/>
      <c r="BI82" s="390" t="n"/>
      <c r="BJ82" s="390" t="n"/>
      <c r="BK82" s="390" t="n"/>
      <c r="BL82" s="390" t="n"/>
      <c r="BM82" s="390" t="n"/>
      <c r="BN82" s="390" t="n"/>
      <c r="BO82" s="390" t="n"/>
      <c r="BP82" s="390" t="n"/>
      <c r="BQ82" s="390" t="n"/>
      <c r="BR82" s="390" t="n"/>
      <c r="BS82" s="390" t="n"/>
      <c r="BT82" s="390" t="n"/>
      <c r="BU82" s="390" t="n"/>
      <c r="BV82" s="390" t="n"/>
      <c r="BW82" s="390" t="n"/>
      <c r="BX82" s="390" t="n"/>
      <c r="BY82" s="390" t="n"/>
      <c r="BZ82" s="390" t="n"/>
      <c r="CA82" s="390" t="n"/>
      <c r="CB82" s="390" t="n"/>
      <c r="CC82" s="394" t="n"/>
      <c r="CF82" s="254" t="inlineStr">
        <is>
          <t>休日</t>
        </is>
      </c>
      <c r="CG82" s="395" t="n"/>
      <c r="CH82" s="395" t="n"/>
      <c r="CI82" s="396" t="n"/>
      <c r="CJ82" s="386">
        <f>IF(Q79="作業者1",N82-N79,0)</f>
        <v/>
      </c>
      <c r="CK82" s="387" t="n"/>
      <c r="CL82" s="387" t="n"/>
      <c r="CM82" s="387" t="n"/>
      <c r="CN82" s="388" t="n"/>
      <c r="CP82" s="253" t="inlineStr">
        <is>
          <t>休日</t>
        </is>
      </c>
      <c r="CQ82" s="384" t="n"/>
      <c r="CR82" s="384" t="n"/>
      <c r="CS82" s="385" t="n"/>
      <c r="CT82" s="386">
        <f>IF(Q79="作業者2",N82-N79,0)</f>
        <v/>
      </c>
      <c r="CU82" s="387" t="n"/>
      <c r="CV82" s="387" t="n"/>
      <c r="CW82" s="387" t="n"/>
      <c r="CX82" s="388" t="n"/>
      <c r="CZ82" s="254" t="inlineStr">
        <is>
          <t>休日</t>
        </is>
      </c>
      <c r="DA82" s="395" t="n"/>
      <c r="DB82" s="395" t="n"/>
      <c r="DC82" s="396" t="n"/>
      <c r="DD82" s="397">
        <f>IF(Q79="作業者3",N82-N79,0)</f>
        <v/>
      </c>
      <c r="DE82" s="395" t="n"/>
      <c r="DF82" s="395" t="n"/>
      <c r="DG82" s="395" t="n"/>
      <c r="DH82" s="396" t="n"/>
      <c r="DJ82" s="254" t="inlineStr">
        <is>
          <t>休日</t>
        </is>
      </c>
      <c r="DK82" s="395" t="n"/>
      <c r="DL82" s="395" t="n"/>
      <c r="DM82" s="396" t="n"/>
      <c r="DN82" s="397">
        <f>IF(Q79="作業者4",N82-N79,0)</f>
        <v/>
      </c>
      <c r="DO82" s="395" t="n"/>
      <c r="DP82" s="395" t="n"/>
      <c r="DQ82" s="395" t="n"/>
      <c r="DR82" s="396" t="n"/>
      <c r="DT82" s="254" t="inlineStr">
        <is>
          <t>休日</t>
        </is>
      </c>
      <c r="DU82" s="395" t="n"/>
      <c r="DV82" s="395" t="n"/>
      <c r="DW82" s="396" t="n"/>
      <c r="DX82" s="397">
        <f>IF(Q79="作業者5",N82-N79,0)</f>
        <v/>
      </c>
      <c r="DY82" s="395" t="n"/>
      <c r="DZ82" s="395" t="n"/>
      <c r="EA82" s="395" t="n"/>
      <c r="EB82" s="396" t="n"/>
    </row>
    <row r="83" ht="9" customHeight="1" s="337">
      <c r="B83" s="398" t="n"/>
      <c r="C83" s="372" t="n"/>
      <c r="D83" s="373" t="n"/>
      <c r="E83" s="399" t="n"/>
      <c r="F83" s="372" t="n"/>
      <c r="G83" s="373" t="n"/>
      <c r="H83" s="399" t="n"/>
      <c r="I83" s="372" t="n"/>
      <c r="J83" s="373" t="n"/>
      <c r="K83" s="399" t="n"/>
      <c r="L83" s="372" t="n"/>
      <c r="M83" s="373" t="n"/>
      <c r="N83" s="399" t="n"/>
      <c r="O83" s="372" t="n"/>
      <c r="P83" s="373" t="n"/>
      <c r="Q83" s="371" t="n"/>
      <c r="R83" s="372" t="n"/>
      <c r="S83" s="373" t="n"/>
      <c r="T83" s="371" t="n"/>
      <c r="U83" s="372" t="n"/>
      <c r="V83" s="373" t="n"/>
      <c r="W83" s="443" t="n"/>
      <c r="X83" s="372" t="n"/>
      <c r="Y83" s="372" t="n"/>
      <c r="Z83" s="372" t="n"/>
      <c r="AA83" s="372" t="n"/>
      <c r="AB83" s="372" t="n"/>
      <c r="AC83" s="372" t="n"/>
      <c r="AD83" s="372" t="n"/>
      <c r="AE83" s="372" t="n"/>
      <c r="AF83" s="372" t="n"/>
      <c r="AG83" s="372" t="n"/>
      <c r="AH83" s="372" t="n"/>
      <c r="AI83" s="372" t="n"/>
      <c r="AJ83" s="372" t="n"/>
      <c r="AK83" s="372" t="n"/>
      <c r="AL83" s="372" t="n"/>
      <c r="AM83" s="372" t="n"/>
      <c r="AN83" s="372" t="n"/>
      <c r="AO83" s="372" t="n"/>
      <c r="AP83" s="372" t="n"/>
      <c r="AQ83" s="372" t="n"/>
      <c r="AR83" s="372" t="n"/>
      <c r="AS83" s="372" t="n"/>
      <c r="AT83" s="372" t="n"/>
      <c r="AU83" s="372" t="n"/>
      <c r="AV83" s="372" t="n"/>
      <c r="AW83" s="372" t="n"/>
      <c r="AX83" s="372" t="n"/>
      <c r="AY83" s="372" t="n"/>
      <c r="AZ83" s="372" t="n"/>
      <c r="BA83" s="372" t="n"/>
      <c r="BB83" s="372" t="n"/>
      <c r="BC83" s="372" t="n"/>
      <c r="BD83" s="372" t="n"/>
      <c r="BE83" s="372" t="n"/>
      <c r="BF83" s="372" t="n"/>
      <c r="BG83" s="372" t="n"/>
      <c r="BH83" s="372" t="n"/>
      <c r="BI83" s="372" t="n"/>
      <c r="BJ83" s="372" t="n"/>
      <c r="BK83" s="372" t="n"/>
      <c r="BL83" s="372" t="n"/>
      <c r="BM83" s="372" t="n"/>
      <c r="BN83" s="372" t="n"/>
      <c r="BO83" s="372" t="n"/>
      <c r="BP83" s="372" t="n"/>
      <c r="BQ83" s="372" t="n"/>
      <c r="BR83" s="372" t="n"/>
      <c r="BS83" s="372" t="n"/>
      <c r="BT83" s="372" t="n"/>
      <c r="BU83" s="372" t="n"/>
      <c r="BV83" s="372" t="n"/>
      <c r="BW83" s="372" t="n"/>
      <c r="BX83" s="372" t="n"/>
      <c r="BY83" s="372" t="n"/>
      <c r="BZ83" s="372" t="n"/>
      <c r="CA83" s="372" t="n"/>
      <c r="CB83" s="372" t="n"/>
      <c r="CC83" s="402" t="n"/>
      <c r="CF83" s="259" t="inlineStr">
        <is>
          <t>移動</t>
        </is>
      </c>
      <c r="CG83" s="403" t="n"/>
      <c r="CH83" s="403" t="n"/>
      <c r="CI83" s="404" t="n"/>
      <c r="CJ83" s="379">
        <f>IF(Q83="作業者1",E86-E83,0)</f>
        <v/>
      </c>
      <c r="CK83" s="377" t="n"/>
      <c r="CL83" s="377" t="n"/>
      <c r="CM83" s="377" t="n"/>
      <c r="CN83" s="378" t="n"/>
      <c r="CP83" s="248" t="inlineStr">
        <is>
          <t>移動</t>
        </is>
      </c>
      <c r="CQ83" s="377" t="n"/>
      <c r="CR83" s="377" t="n"/>
      <c r="CS83" s="378" t="n"/>
      <c r="CT83" s="379">
        <f>IF(Q83="作業者2",E86-E83,0)</f>
        <v/>
      </c>
      <c r="CU83" s="377" t="n"/>
      <c r="CV83" s="377" t="n"/>
      <c r="CW83" s="377" t="n"/>
      <c r="CX83" s="378" t="n"/>
      <c r="CZ83" s="259" t="inlineStr">
        <is>
          <t>移動</t>
        </is>
      </c>
      <c r="DA83" s="403" t="n"/>
      <c r="DB83" s="403" t="n"/>
      <c r="DC83" s="404" t="n"/>
      <c r="DD83" s="405">
        <f>IF(Q83="作業者3",E86-E83,0)</f>
        <v/>
      </c>
      <c r="DE83" s="406" t="n"/>
      <c r="DF83" s="406" t="n"/>
      <c r="DG83" s="406" t="n"/>
      <c r="DH83" s="407" t="n"/>
      <c r="DJ83" s="259" t="inlineStr">
        <is>
          <t>移動</t>
        </is>
      </c>
      <c r="DK83" s="403" t="n"/>
      <c r="DL83" s="403" t="n"/>
      <c r="DM83" s="404" t="n"/>
      <c r="DN83" s="379">
        <f>IF(Q83="作業者4",E86-E83,0)</f>
        <v/>
      </c>
      <c r="DO83" s="377" t="n"/>
      <c r="DP83" s="377" t="n"/>
      <c r="DQ83" s="377" t="n"/>
      <c r="DR83" s="378" t="n"/>
      <c r="DT83" s="259" t="inlineStr">
        <is>
          <t>移動</t>
        </is>
      </c>
      <c r="DU83" s="403" t="n"/>
      <c r="DV83" s="403" t="n"/>
      <c r="DW83" s="404" t="n"/>
      <c r="DX83" s="379">
        <f>IF(Q83="作業者5",E86-E83,0)</f>
        <v/>
      </c>
      <c r="DY83" s="377" t="n"/>
      <c r="DZ83" s="377" t="n"/>
      <c r="EA83" s="377" t="n"/>
      <c r="EB83" s="378" t="n"/>
    </row>
    <row r="84" ht="9" customHeight="1" s="337">
      <c r="B84" s="350" t="n"/>
      <c r="C84" s="338" t="n"/>
      <c r="D84" s="380" t="n"/>
      <c r="E84" s="381" t="n"/>
      <c r="F84" s="122" t="inlineStr">
        <is>
          <t>～</t>
        </is>
      </c>
      <c r="G84" s="22" t="n"/>
      <c r="H84" s="381" t="n"/>
      <c r="I84" s="122" t="inlineStr">
        <is>
          <t>～</t>
        </is>
      </c>
      <c r="J84" s="22" t="n"/>
      <c r="K84" s="381" t="n"/>
      <c r="L84" s="122" t="inlineStr">
        <is>
          <t>～</t>
        </is>
      </c>
      <c r="M84" s="22" t="n"/>
      <c r="N84" s="381" t="n"/>
      <c r="O84" s="122" t="inlineStr">
        <is>
          <t>～</t>
        </is>
      </c>
      <c r="P84" s="22" t="n"/>
      <c r="Q84" s="382" t="n"/>
      <c r="R84" s="338" t="n"/>
      <c r="S84" s="380" t="n"/>
      <c r="T84" s="382" t="n"/>
      <c r="U84" s="338" t="n"/>
      <c r="V84" s="380" t="n"/>
      <c r="W84" s="382" t="n"/>
      <c r="X84" s="338" t="n"/>
      <c r="Y84" s="338" t="n"/>
      <c r="Z84" s="338" t="n"/>
      <c r="AA84" s="338" t="n"/>
      <c r="AB84" s="338" t="n"/>
      <c r="AC84" s="338" t="n"/>
      <c r="AD84" s="338" t="n"/>
      <c r="AE84" s="338" t="n"/>
      <c r="AF84" s="338" t="n"/>
      <c r="AG84" s="338" t="n"/>
      <c r="AH84" s="338" t="n"/>
      <c r="AI84" s="338" t="n"/>
      <c r="AJ84" s="338" t="n"/>
      <c r="AK84" s="338" t="n"/>
      <c r="AL84" s="338" t="n"/>
      <c r="AM84" s="338" t="n"/>
      <c r="AN84" s="338" t="n"/>
      <c r="AO84" s="338" t="n"/>
      <c r="AP84" s="338" t="n"/>
      <c r="AQ84" s="338" t="n"/>
      <c r="AR84" s="338" t="n"/>
      <c r="AS84" s="338" t="n"/>
      <c r="AT84" s="338" t="n"/>
      <c r="AU84" s="338" t="n"/>
      <c r="AV84" s="338" t="n"/>
      <c r="AW84" s="338" t="n"/>
      <c r="AX84" s="338" t="n"/>
      <c r="AY84" s="338" t="n"/>
      <c r="AZ84" s="338" t="n"/>
      <c r="BA84" s="338" t="n"/>
      <c r="BB84" s="338" t="n"/>
      <c r="BC84" s="338" t="n"/>
      <c r="BD84" s="338" t="n"/>
      <c r="BE84" s="338" t="n"/>
      <c r="BF84" s="338" t="n"/>
      <c r="BG84" s="338" t="n"/>
      <c r="BH84" s="338" t="n"/>
      <c r="BI84" s="338" t="n"/>
      <c r="BJ84" s="338" t="n"/>
      <c r="BK84" s="338" t="n"/>
      <c r="BL84" s="338" t="n"/>
      <c r="BM84" s="338" t="n"/>
      <c r="BN84" s="338" t="n"/>
      <c r="BO84" s="338" t="n"/>
      <c r="BP84" s="338" t="n"/>
      <c r="BQ84" s="338" t="n"/>
      <c r="BR84" s="338" t="n"/>
      <c r="BS84" s="338" t="n"/>
      <c r="BT84" s="338" t="n"/>
      <c r="BU84" s="338" t="n"/>
      <c r="BV84" s="338" t="n"/>
      <c r="BW84" s="338" t="n"/>
      <c r="BX84" s="338" t="n"/>
      <c r="BY84" s="338" t="n"/>
      <c r="BZ84" s="338" t="n"/>
      <c r="CA84" s="338" t="n"/>
      <c r="CB84" s="338" t="n"/>
      <c r="CC84" s="383" t="n"/>
      <c r="CF84" s="253" t="inlineStr">
        <is>
          <t>時間内</t>
        </is>
      </c>
      <c r="CG84" s="384" t="n"/>
      <c r="CH84" s="384" t="n"/>
      <c r="CI84" s="385" t="n"/>
      <c r="CJ84" s="386">
        <f>IF(Q83="作業者1",H86-H83,0)</f>
        <v/>
      </c>
      <c r="CK84" s="387" t="n"/>
      <c r="CL84" s="387" t="n"/>
      <c r="CM84" s="387" t="n"/>
      <c r="CN84" s="388" t="n"/>
      <c r="CP84" s="253" t="inlineStr">
        <is>
          <t>時間内</t>
        </is>
      </c>
      <c r="CQ84" s="384" t="n"/>
      <c r="CR84" s="384" t="n"/>
      <c r="CS84" s="385" t="n"/>
      <c r="CT84" s="386">
        <f>IF(Q83="作業者2",H86-H83,0)</f>
        <v/>
      </c>
      <c r="CU84" s="387" t="n"/>
      <c r="CV84" s="387" t="n"/>
      <c r="CW84" s="387" t="n"/>
      <c r="CX84" s="388" t="n"/>
      <c r="CZ84" s="253" t="inlineStr">
        <is>
          <t>時間内</t>
        </is>
      </c>
      <c r="DA84" s="384" t="n"/>
      <c r="DB84" s="384" t="n"/>
      <c r="DC84" s="385" t="n"/>
      <c r="DD84" s="386">
        <f>IF(Q83="作業者3",H86-H83,0)</f>
        <v/>
      </c>
      <c r="DE84" s="387" t="n"/>
      <c r="DF84" s="387" t="n"/>
      <c r="DG84" s="387" t="n"/>
      <c r="DH84" s="388" t="n"/>
      <c r="DJ84" s="253" t="inlineStr">
        <is>
          <t>時間内</t>
        </is>
      </c>
      <c r="DK84" s="384" t="n"/>
      <c r="DL84" s="384" t="n"/>
      <c r="DM84" s="385" t="n"/>
      <c r="DN84" s="386">
        <f>IF(Q83="作業者4",H86-H83,0)</f>
        <v/>
      </c>
      <c r="DO84" s="387" t="n"/>
      <c r="DP84" s="387" t="n"/>
      <c r="DQ84" s="387" t="n"/>
      <c r="DR84" s="388" t="n"/>
      <c r="DT84" s="253" t="inlineStr">
        <is>
          <t>時間内</t>
        </is>
      </c>
      <c r="DU84" s="384" t="n"/>
      <c r="DV84" s="384" t="n"/>
      <c r="DW84" s="385" t="n"/>
      <c r="DX84" s="386">
        <f>IF(Q83="作業者5",H86-H83,0)</f>
        <v/>
      </c>
      <c r="DY84" s="387" t="n"/>
      <c r="DZ84" s="387" t="n"/>
      <c r="EA84" s="387" t="n"/>
      <c r="EB84" s="388" t="n"/>
    </row>
    <row r="85" ht="9" customHeight="1" s="337">
      <c r="B85" s="350" t="n"/>
      <c r="C85" s="338" t="n"/>
      <c r="D85" s="380" t="n"/>
      <c r="E85" s="23" t="n"/>
      <c r="F85" s="338" t="n"/>
      <c r="G85" s="24" t="n"/>
      <c r="H85" s="23" t="n"/>
      <c r="I85" s="338" t="n"/>
      <c r="J85" s="24" t="n"/>
      <c r="K85" s="23" t="n"/>
      <c r="L85" s="338" t="n"/>
      <c r="M85" s="24" t="n"/>
      <c r="N85" s="23" t="n"/>
      <c r="O85" s="338" t="n"/>
      <c r="P85" s="24" t="n"/>
      <c r="Q85" s="382" t="n"/>
      <c r="R85" s="338" t="n"/>
      <c r="S85" s="380" t="n"/>
      <c r="T85" s="382" t="n"/>
      <c r="U85" s="338" t="n"/>
      <c r="V85" s="380" t="n"/>
      <c r="W85" s="382" t="n"/>
      <c r="X85" s="338" t="n"/>
      <c r="Y85" s="338" t="n"/>
      <c r="Z85" s="338" t="n"/>
      <c r="AA85" s="338" t="n"/>
      <c r="AB85" s="338" t="n"/>
      <c r="AC85" s="338" t="n"/>
      <c r="AD85" s="338" t="n"/>
      <c r="AE85" s="338" t="n"/>
      <c r="AF85" s="338" t="n"/>
      <c r="AG85" s="338" t="n"/>
      <c r="AH85" s="338" t="n"/>
      <c r="AI85" s="338" t="n"/>
      <c r="AJ85" s="338" t="n"/>
      <c r="AK85" s="338" t="n"/>
      <c r="AL85" s="338" t="n"/>
      <c r="AM85" s="338" t="n"/>
      <c r="AN85" s="338" t="n"/>
      <c r="AO85" s="338" t="n"/>
      <c r="AP85" s="338" t="n"/>
      <c r="AQ85" s="338" t="n"/>
      <c r="AR85" s="338" t="n"/>
      <c r="AS85" s="338" t="n"/>
      <c r="AT85" s="338" t="n"/>
      <c r="AU85" s="338" t="n"/>
      <c r="AV85" s="338" t="n"/>
      <c r="AW85" s="338" t="n"/>
      <c r="AX85" s="338" t="n"/>
      <c r="AY85" s="338" t="n"/>
      <c r="AZ85" s="338" t="n"/>
      <c r="BA85" s="338" t="n"/>
      <c r="BB85" s="338" t="n"/>
      <c r="BC85" s="338" t="n"/>
      <c r="BD85" s="338" t="n"/>
      <c r="BE85" s="338" t="n"/>
      <c r="BF85" s="338" t="n"/>
      <c r="BG85" s="338" t="n"/>
      <c r="BH85" s="338" t="n"/>
      <c r="BI85" s="338" t="n"/>
      <c r="BJ85" s="338" t="n"/>
      <c r="BK85" s="338" t="n"/>
      <c r="BL85" s="338" t="n"/>
      <c r="BM85" s="338" t="n"/>
      <c r="BN85" s="338" t="n"/>
      <c r="BO85" s="338" t="n"/>
      <c r="BP85" s="338" t="n"/>
      <c r="BQ85" s="338" t="n"/>
      <c r="BR85" s="338" t="n"/>
      <c r="BS85" s="338" t="n"/>
      <c r="BT85" s="338" t="n"/>
      <c r="BU85" s="338" t="n"/>
      <c r="BV85" s="338" t="n"/>
      <c r="BW85" s="338" t="n"/>
      <c r="BX85" s="338" t="n"/>
      <c r="BY85" s="338" t="n"/>
      <c r="BZ85" s="338" t="n"/>
      <c r="CA85" s="338" t="n"/>
      <c r="CB85" s="338" t="n"/>
      <c r="CC85" s="383" t="n"/>
      <c r="CF85" s="253" t="inlineStr">
        <is>
          <t>時間外</t>
        </is>
      </c>
      <c r="CG85" s="384" t="n"/>
      <c r="CH85" s="384" t="n"/>
      <c r="CI85" s="385" t="n"/>
      <c r="CJ85" s="386">
        <f>IF(Q83="作業者1",K86-K83,0)</f>
        <v/>
      </c>
      <c r="CK85" s="387" t="n"/>
      <c r="CL85" s="387" t="n"/>
      <c r="CM85" s="387" t="n"/>
      <c r="CN85" s="388" t="n"/>
      <c r="CP85" s="253" t="inlineStr">
        <is>
          <t>時間外</t>
        </is>
      </c>
      <c r="CQ85" s="384" t="n"/>
      <c r="CR85" s="384" t="n"/>
      <c r="CS85" s="385" t="n"/>
      <c r="CT85" s="386">
        <f>IF(Q83="作業者2",K86-K83,0)</f>
        <v/>
      </c>
      <c r="CU85" s="387" t="n"/>
      <c r="CV85" s="387" t="n"/>
      <c r="CW85" s="387" t="n"/>
      <c r="CX85" s="388" t="n"/>
      <c r="CZ85" s="253" t="inlineStr">
        <is>
          <t>時間外</t>
        </is>
      </c>
      <c r="DA85" s="384" t="n"/>
      <c r="DB85" s="384" t="n"/>
      <c r="DC85" s="385" t="n"/>
      <c r="DD85" s="386">
        <f>IF(Q83="作業者3",K86-K83,0)</f>
        <v/>
      </c>
      <c r="DE85" s="387" t="n"/>
      <c r="DF85" s="387" t="n"/>
      <c r="DG85" s="387" t="n"/>
      <c r="DH85" s="388" t="n"/>
      <c r="DJ85" s="253" t="inlineStr">
        <is>
          <t>時間外</t>
        </is>
      </c>
      <c r="DK85" s="384" t="n"/>
      <c r="DL85" s="384" t="n"/>
      <c r="DM85" s="385" t="n"/>
      <c r="DN85" s="386">
        <f>IF(Q83="作業者4",K86-K83,0)</f>
        <v/>
      </c>
      <c r="DO85" s="387" t="n"/>
      <c r="DP85" s="387" t="n"/>
      <c r="DQ85" s="387" t="n"/>
      <c r="DR85" s="388" t="n"/>
      <c r="DT85" s="253" t="inlineStr">
        <is>
          <t>時間外</t>
        </is>
      </c>
      <c r="DU85" s="384" t="n"/>
      <c r="DV85" s="384" t="n"/>
      <c r="DW85" s="385" t="n"/>
      <c r="DX85" s="386">
        <f>IF(Q83="作業者5",K86-K83,0)</f>
        <v/>
      </c>
      <c r="DY85" s="387" t="n"/>
      <c r="DZ85" s="387" t="n"/>
      <c r="EA85" s="387" t="n"/>
      <c r="EB85" s="388" t="n"/>
    </row>
    <row r="86" ht="9" customHeight="1" s="337">
      <c r="B86" s="389" t="n"/>
      <c r="C86" s="390" t="n"/>
      <c r="D86" s="391" t="n"/>
      <c r="E86" s="392" t="n"/>
      <c r="F86" s="390" t="n"/>
      <c r="G86" s="391" t="n"/>
      <c r="H86" s="392" t="n"/>
      <c r="I86" s="390" t="n"/>
      <c r="J86" s="391" t="n"/>
      <c r="K86" s="392" t="n"/>
      <c r="L86" s="390" t="n"/>
      <c r="M86" s="391" t="n"/>
      <c r="N86" s="392" t="n"/>
      <c r="O86" s="390" t="n"/>
      <c r="P86" s="391" t="n"/>
      <c r="Q86" s="393" t="n"/>
      <c r="R86" s="390" t="n"/>
      <c r="S86" s="391" t="n"/>
      <c r="T86" s="393" t="n"/>
      <c r="U86" s="390" t="n"/>
      <c r="V86" s="391" t="n"/>
      <c r="W86" s="393" t="n"/>
      <c r="X86" s="390" t="n"/>
      <c r="Y86" s="390" t="n"/>
      <c r="Z86" s="390" t="n"/>
      <c r="AA86" s="390" t="n"/>
      <c r="AB86" s="390" t="n"/>
      <c r="AC86" s="390" t="n"/>
      <c r="AD86" s="390" t="n"/>
      <c r="AE86" s="390" t="n"/>
      <c r="AF86" s="390" t="n"/>
      <c r="AG86" s="390" t="n"/>
      <c r="AH86" s="390" t="n"/>
      <c r="AI86" s="390" t="n"/>
      <c r="AJ86" s="390" t="n"/>
      <c r="AK86" s="390" t="n"/>
      <c r="AL86" s="390" t="n"/>
      <c r="AM86" s="390" t="n"/>
      <c r="AN86" s="390" t="n"/>
      <c r="AO86" s="390" t="n"/>
      <c r="AP86" s="390" t="n"/>
      <c r="AQ86" s="390" t="n"/>
      <c r="AR86" s="390" t="n"/>
      <c r="AS86" s="390" t="n"/>
      <c r="AT86" s="390" t="n"/>
      <c r="AU86" s="390" t="n"/>
      <c r="AV86" s="390" t="n"/>
      <c r="AW86" s="390" t="n"/>
      <c r="AX86" s="390" t="n"/>
      <c r="AY86" s="390" t="n"/>
      <c r="AZ86" s="390" t="n"/>
      <c r="BA86" s="390" t="n"/>
      <c r="BB86" s="390" t="n"/>
      <c r="BC86" s="390" t="n"/>
      <c r="BD86" s="390" t="n"/>
      <c r="BE86" s="390" t="n"/>
      <c r="BF86" s="390" t="n"/>
      <c r="BG86" s="390" t="n"/>
      <c r="BH86" s="390" t="n"/>
      <c r="BI86" s="390" t="n"/>
      <c r="BJ86" s="390" t="n"/>
      <c r="BK86" s="390" t="n"/>
      <c r="BL86" s="390" t="n"/>
      <c r="BM86" s="390" t="n"/>
      <c r="BN86" s="390" t="n"/>
      <c r="BO86" s="390" t="n"/>
      <c r="BP86" s="390" t="n"/>
      <c r="BQ86" s="390" t="n"/>
      <c r="BR86" s="390" t="n"/>
      <c r="BS86" s="390" t="n"/>
      <c r="BT86" s="390" t="n"/>
      <c r="BU86" s="390" t="n"/>
      <c r="BV86" s="390" t="n"/>
      <c r="BW86" s="390" t="n"/>
      <c r="BX86" s="390" t="n"/>
      <c r="BY86" s="390" t="n"/>
      <c r="BZ86" s="390" t="n"/>
      <c r="CA86" s="390" t="n"/>
      <c r="CB86" s="390" t="n"/>
      <c r="CC86" s="394" t="n"/>
      <c r="CF86" s="254" t="inlineStr">
        <is>
          <t>休日</t>
        </is>
      </c>
      <c r="CG86" s="395" t="n"/>
      <c r="CH86" s="395" t="n"/>
      <c r="CI86" s="396" t="n"/>
      <c r="CJ86" s="397">
        <f>IF(Q83="作業者1",N86-N83,0)</f>
        <v/>
      </c>
      <c r="CK86" s="395" t="n"/>
      <c r="CL86" s="395" t="n"/>
      <c r="CM86" s="395" t="n"/>
      <c r="CN86" s="396" t="n"/>
      <c r="CP86" s="254" t="inlineStr">
        <is>
          <t>休日</t>
        </is>
      </c>
      <c r="CQ86" s="395" t="n"/>
      <c r="CR86" s="395" t="n"/>
      <c r="CS86" s="396" t="n"/>
      <c r="CT86" s="397">
        <f>IF(Q83="作業者2",N86-N83,0)</f>
        <v/>
      </c>
      <c r="CU86" s="395" t="n"/>
      <c r="CV86" s="395" t="n"/>
      <c r="CW86" s="395" t="n"/>
      <c r="CX86" s="396" t="n"/>
      <c r="CZ86" s="254" t="inlineStr">
        <is>
          <t>休日</t>
        </is>
      </c>
      <c r="DA86" s="395" t="n"/>
      <c r="DB86" s="395" t="n"/>
      <c r="DC86" s="396" t="n"/>
      <c r="DD86" s="397">
        <f>IF(Q83="作業者3",N86-N83,0)</f>
        <v/>
      </c>
      <c r="DE86" s="395" t="n"/>
      <c r="DF86" s="395" t="n"/>
      <c r="DG86" s="395" t="n"/>
      <c r="DH86" s="396" t="n"/>
      <c r="DJ86" s="254" t="inlineStr">
        <is>
          <t>休日</t>
        </is>
      </c>
      <c r="DK86" s="395" t="n"/>
      <c r="DL86" s="395" t="n"/>
      <c r="DM86" s="396" t="n"/>
      <c r="DN86" s="397">
        <f>IF(Q83="作業者4",N86-N83,0)</f>
        <v/>
      </c>
      <c r="DO86" s="395" t="n"/>
      <c r="DP86" s="395" t="n"/>
      <c r="DQ86" s="395" t="n"/>
      <c r="DR86" s="396" t="n"/>
      <c r="DT86" s="254" t="inlineStr">
        <is>
          <t>休日</t>
        </is>
      </c>
      <c r="DU86" s="395" t="n"/>
      <c r="DV86" s="395" t="n"/>
      <c r="DW86" s="396" t="n"/>
      <c r="DX86" s="397">
        <f>IF(Q83="作業者5",N86-N83,0)</f>
        <v/>
      </c>
      <c r="DY86" s="395" t="n"/>
      <c r="DZ86" s="395" t="n"/>
      <c r="EA86" s="395" t="n"/>
      <c r="EB86" s="396" t="n"/>
    </row>
    <row r="87" ht="9" customHeight="1" s="337">
      <c r="B87" s="398" t="n"/>
      <c r="C87" s="372" t="n"/>
      <c r="D87" s="373" t="n"/>
      <c r="E87" s="399" t="n"/>
      <c r="F87" s="372" t="n"/>
      <c r="G87" s="373" t="n"/>
      <c r="H87" s="399" t="n"/>
      <c r="I87" s="372" t="n"/>
      <c r="J87" s="373" t="n"/>
      <c r="K87" s="399" t="n"/>
      <c r="L87" s="372" t="n"/>
      <c r="M87" s="373" t="n"/>
      <c r="N87" s="399" t="n"/>
      <c r="O87" s="372" t="n"/>
      <c r="P87" s="373" t="n"/>
      <c r="Q87" s="371" t="n"/>
      <c r="R87" s="372" t="n"/>
      <c r="S87" s="373" t="n"/>
      <c r="T87" s="371" t="n"/>
      <c r="U87" s="372" t="n"/>
      <c r="V87" s="373" t="n"/>
      <c r="W87" s="443" t="n"/>
      <c r="X87" s="372" t="n"/>
      <c r="Y87" s="372" t="n"/>
      <c r="Z87" s="372" t="n"/>
      <c r="AA87" s="372" t="n"/>
      <c r="AB87" s="372" t="n"/>
      <c r="AC87" s="372" t="n"/>
      <c r="AD87" s="372" t="n"/>
      <c r="AE87" s="372" t="n"/>
      <c r="AF87" s="372" t="n"/>
      <c r="AG87" s="372" t="n"/>
      <c r="AH87" s="372" t="n"/>
      <c r="AI87" s="372" t="n"/>
      <c r="AJ87" s="372" t="n"/>
      <c r="AK87" s="372" t="n"/>
      <c r="AL87" s="372" t="n"/>
      <c r="AM87" s="372" t="n"/>
      <c r="AN87" s="372" t="n"/>
      <c r="AO87" s="372" t="n"/>
      <c r="AP87" s="372" t="n"/>
      <c r="AQ87" s="372" t="n"/>
      <c r="AR87" s="372" t="n"/>
      <c r="AS87" s="372" t="n"/>
      <c r="AT87" s="372" t="n"/>
      <c r="AU87" s="372" t="n"/>
      <c r="AV87" s="372" t="n"/>
      <c r="AW87" s="372" t="n"/>
      <c r="AX87" s="372" t="n"/>
      <c r="AY87" s="372" t="n"/>
      <c r="AZ87" s="372" t="n"/>
      <c r="BA87" s="372" t="n"/>
      <c r="BB87" s="372" t="n"/>
      <c r="BC87" s="372" t="n"/>
      <c r="BD87" s="372" t="n"/>
      <c r="BE87" s="372" t="n"/>
      <c r="BF87" s="372" t="n"/>
      <c r="BG87" s="372" t="n"/>
      <c r="BH87" s="372" t="n"/>
      <c r="BI87" s="372" t="n"/>
      <c r="BJ87" s="372" t="n"/>
      <c r="BK87" s="372" t="n"/>
      <c r="BL87" s="372" t="n"/>
      <c r="BM87" s="372" t="n"/>
      <c r="BN87" s="372" t="n"/>
      <c r="BO87" s="372" t="n"/>
      <c r="BP87" s="372" t="n"/>
      <c r="BQ87" s="372" t="n"/>
      <c r="BR87" s="372" t="n"/>
      <c r="BS87" s="372" t="n"/>
      <c r="BT87" s="372" t="n"/>
      <c r="BU87" s="372" t="n"/>
      <c r="BV87" s="372" t="n"/>
      <c r="BW87" s="372" t="n"/>
      <c r="BX87" s="372" t="n"/>
      <c r="BY87" s="372" t="n"/>
      <c r="BZ87" s="372" t="n"/>
      <c r="CA87" s="372" t="n"/>
      <c r="CB87" s="372" t="n"/>
      <c r="CC87" s="402" t="n"/>
      <c r="CF87" s="248" t="inlineStr">
        <is>
          <t>移動</t>
        </is>
      </c>
      <c r="CG87" s="377" t="n"/>
      <c r="CH87" s="377" t="n"/>
      <c r="CI87" s="378" t="n"/>
      <c r="CJ87" s="379">
        <f>IF(Q87="作業者1",E90-E87,0)</f>
        <v/>
      </c>
      <c r="CK87" s="377" t="n"/>
      <c r="CL87" s="377" t="n"/>
      <c r="CM87" s="377" t="n"/>
      <c r="CN87" s="378" t="n"/>
      <c r="CP87" s="248" t="inlineStr">
        <is>
          <t>移動</t>
        </is>
      </c>
      <c r="CQ87" s="377" t="n"/>
      <c r="CR87" s="377" t="n"/>
      <c r="CS87" s="378" t="n"/>
      <c r="CT87" s="379">
        <f>IF(Q87="作業者2",E90-E87,0)</f>
        <v/>
      </c>
      <c r="CU87" s="377" t="n"/>
      <c r="CV87" s="377" t="n"/>
      <c r="CW87" s="377" t="n"/>
      <c r="CX87" s="378" t="n"/>
      <c r="CZ87" s="248" t="inlineStr">
        <is>
          <t>移動</t>
        </is>
      </c>
      <c r="DA87" s="377" t="n"/>
      <c r="DB87" s="377" t="n"/>
      <c r="DC87" s="378" t="n"/>
      <c r="DD87" s="379">
        <f>IF(Q87="作業者3",E90-E87,0)</f>
        <v/>
      </c>
      <c r="DE87" s="377" t="n"/>
      <c r="DF87" s="377" t="n"/>
      <c r="DG87" s="377" t="n"/>
      <c r="DH87" s="378" t="n"/>
      <c r="DJ87" s="248" t="inlineStr">
        <is>
          <t>移動</t>
        </is>
      </c>
      <c r="DK87" s="377" t="n"/>
      <c r="DL87" s="377" t="n"/>
      <c r="DM87" s="378" t="n"/>
      <c r="DN87" s="379">
        <f>IF(Q87="作業者4",E90-E87,0)</f>
        <v/>
      </c>
      <c r="DO87" s="377" t="n"/>
      <c r="DP87" s="377" t="n"/>
      <c r="DQ87" s="377" t="n"/>
      <c r="DR87" s="378" t="n"/>
      <c r="DT87" s="259" t="inlineStr">
        <is>
          <t>移動</t>
        </is>
      </c>
      <c r="DU87" s="403" t="n"/>
      <c r="DV87" s="403" t="n"/>
      <c r="DW87" s="404" t="n"/>
      <c r="DX87" s="379">
        <f>IF(Q87="作業者5",E90-E87,0)</f>
        <v/>
      </c>
      <c r="DY87" s="377" t="n"/>
      <c r="DZ87" s="377" t="n"/>
      <c r="EA87" s="377" t="n"/>
      <c r="EB87" s="378" t="n"/>
    </row>
    <row r="88" ht="9" customHeight="1" s="337">
      <c r="B88" s="350" t="n"/>
      <c r="C88" s="338" t="n"/>
      <c r="D88" s="380" t="n"/>
      <c r="E88" s="381" t="n"/>
      <c r="F88" s="122" t="inlineStr">
        <is>
          <t>～</t>
        </is>
      </c>
      <c r="G88" s="22" t="n"/>
      <c r="H88" s="381" t="n"/>
      <c r="I88" s="122" t="inlineStr">
        <is>
          <t>～</t>
        </is>
      </c>
      <c r="J88" s="22" t="n"/>
      <c r="K88" s="381" t="n"/>
      <c r="L88" s="122" t="inlineStr">
        <is>
          <t>～</t>
        </is>
      </c>
      <c r="M88" s="22" t="n"/>
      <c r="N88" s="381" t="n"/>
      <c r="O88" s="122" t="inlineStr">
        <is>
          <t>～</t>
        </is>
      </c>
      <c r="P88" s="22" t="n"/>
      <c r="Q88" s="382" t="n"/>
      <c r="R88" s="338" t="n"/>
      <c r="S88" s="380" t="n"/>
      <c r="T88" s="382" t="n"/>
      <c r="U88" s="338" t="n"/>
      <c r="V88" s="380" t="n"/>
      <c r="W88" s="382" t="n"/>
      <c r="X88" s="338" t="n"/>
      <c r="Y88" s="338" t="n"/>
      <c r="Z88" s="338" t="n"/>
      <c r="AA88" s="338" t="n"/>
      <c r="AB88" s="338" t="n"/>
      <c r="AC88" s="338" t="n"/>
      <c r="AD88" s="338" t="n"/>
      <c r="AE88" s="338" t="n"/>
      <c r="AF88" s="338" t="n"/>
      <c r="AG88" s="338" t="n"/>
      <c r="AH88" s="338" t="n"/>
      <c r="AI88" s="338" t="n"/>
      <c r="AJ88" s="338" t="n"/>
      <c r="AK88" s="338" t="n"/>
      <c r="AL88" s="338" t="n"/>
      <c r="AM88" s="338" t="n"/>
      <c r="AN88" s="338" t="n"/>
      <c r="AO88" s="338" t="n"/>
      <c r="AP88" s="338" t="n"/>
      <c r="AQ88" s="338" t="n"/>
      <c r="AR88" s="338" t="n"/>
      <c r="AS88" s="338" t="n"/>
      <c r="AT88" s="338" t="n"/>
      <c r="AU88" s="338" t="n"/>
      <c r="AV88" s="338" t="n"/>
      <c r="AW88" s="338" t="n"/>
      <c r="AX88" s="338" t="n"/>
      <c r="AY88" s="338" t="n"/>
      <c r="AZ88" s="338" t="n"/>
      <c r="BA88" s="338" t="n"/>
      <c r="BB88" s="338" t="n"/>
      <c r="BC88" s="338" t="n"/>
      <c r="BD88" s="338" t="n"/>
      <c r="BE88" s="338" t="n"/>
      <c r="BF88" s="338" t="n"/>
      <c r="BG88" s="338" t="n"/>
      <c r="BH88" s="338" t="n"/>
      <c r="BI88" s="338" t="n"/>
      <c r="BJ88" s="338" t="n"/>
      <c r="BK88" s="338" t="n"/>
      <c r="BL88" s="338" t="n"/>
      <c r="BM88" s="338" t="n"/>
      <c r="BN88" s="338" t="n"/>
      <c r="BO88" s="338" t="n"/>
      <c r="BP88" s="338" t="n"/>
      <c r="BQ88" s="338" t="n"/>
      <c r="BR88" s="338" t="n"/>
      <c r="BS88" s="338" t="n"/>
      <c r="BT88" s="338" t="n"/>
      <c r="BU88" s="338" t="n"/>
      <c r="BV88" s="338" t="n"/>
      <c r="BW88" s="338" t="n"/>
      <c r="BX88" s="338" t="n"/>
      <c r="BY88" s="338" t="n"/>
      <c r="BZ88" s="338" t="n"/>
      <c r="CA88" s="338" t="n"/>
      <c r="CB88" s="338" t="n"/>
      <c r="CC88" s="383" t="n"/>
      <c r="CF88" s="253" t="inlineStr">
        <is>
          <t>時間内</t>
        </is>
      </c>
      <c r="CG88" s="384" t="n"/>
      <c r="CH88" s="384" t="n"/>
      <c r="CI88" s="385" t="n"/>
      <c r="CJ88" s="386">
        <f>IF(Q87="作業者1",H90-H87,0)</f>
        <v/>
      </c>
      <c r="CK88" s="387" t="n"/>
      <c r="CL88" s="387" t="n"/>
      <c r="CM88" s="387" t="n"/>
      <c r="CN88" s="388" t="n"/>
      <c r="CP88" s="253" t="inlineStr">
        <is>
          <t>時間内</t>
        </is>
      </c>
      <c r="CQ88" s="384" t="n"/>
      <c r="CR88" s="384" t="n"/>
      <c r="CS88" s="385" t="n"/>
      <c r="CT88" s="386">
        <f>IF(Q87="作業者2",H90-H87,0)</f>
        <v/>
      </c>
      <c r="CU88" s="387" t="n"/>
      <c r="CV88" s="387" t="n"/>
      <c r="CW88" s="387" t="n"/>
      <c r="CX88" s="388" t="n"/>
      <c r="CZ88" s="253" t="inlineStr">
        <is>
          <t>時間内</t>
        </is>
      </c>
      <c r="DA88" s="384" t="n"/>
      <c r="DB88" s="384" t="n"/>
      <c r="DC88" s="385" t="n"/>
      <c r="DD88" s="386">
        <f>IF(Q87="作業者3",H90-H87,0)</f>
        <v/>
      </c>
      <c r="DE88" s="387" t="n"/>
      <c r="DF88" s="387" t="n"/>
      <c r="DG88" s="387" t="n"/>
      <c r="DH88" s="388" t="n"/>
      <c r="DJ88" s="253" t="inlineStr">
        <is>
          <t>時間内</t>
        </is>
      </c>
      <c r="DK88" s="384" t="n"/>
      <c r="DL88" s="384" t="n"/>
      <c r="DM88" s="385" t="n"/>
      <c r="DN88" s="386">
        <f>IF(Q87="作業者4",H90-H87,0)</f>
        <v/>
      </c>
      <c r="DO88" s="387" t="n"/>
      <c r="DP88" s="387" t="n"/>
      <c r="DQ88" s="387" t="n"/>
      <c r="DR88" s="388" t="n"/>
      <c r="DT88" s="253" t="inlineStr">
        <is>
          <t>時間内</t>
        </is>
      </c>
      <c r="DU88" s="384" t="n"/>
      <c r="DV88" s="384" t="n"/>
      <c r="DW88" s="385" t="n"/>
      <c r="DX88" s="386">
        <f>IF(Q87="作業者5",H90-H87,0)</f>
        <v/>
      </c>
      <c r="DY88" s="387" t="n"/>
      <c r="DZ88" s="387" t="n"/>
      <c r="EA88" s="387" t="n"/>
      <c r="EB88" s="388" t="n"/>
    </row>
    <row r="89" ht="9" customHeight="1" s="337">
      <c r="B89" s="350" t="n"/>
      <c r="C89" s="338" t="n"/>
      <c r="D89" s="380" t="n"/>
      <c r="E89" s="23" t="n"/>
      <c r="F89" s="338" t="n"/>
      <c r="G89" s="24" t="n"/>
      <c r="H89" s="23" t="n"/>
      <c r="I89" s="338" t="n"/>
      <c r="J89" s="24" t="n"/>
      <c r="K89" s="23" t="n"/>
      <c r="L89" s="338" t="n"/>
      <c r="M89" s="24" t="n"/>
      <c r="N89" s="23" t="n"/>
      <c r="O89" s="338" t="n"/>
      <c r="P89" s="24" t="n"/>
      <c r="Q89" s="382" t="n"/>
      <c r="R89" s="338" t="n"/>
      <c r="S89" s="380" t="n"/>
      <c r="T89" s="382" t="n"/>
      <c r="U89" s="338" t="n"/>
      <c r="V89" s="380" t="n"/>
      <c r="W89" s="382" t="n"/>
      <c r="X89" s="338" t="n"/>
      <c r="Y89" s="338" t="n"/>
      <c r="Z89" s="338" t="n"/>
      <c r="AA89" s="338" t="n"/>
      <c r="AB89" s="338" t="n"/>
      <c r="AC89" s="338" t="n"/>
      <c r="AD89" s="338" t="n"/>
      <c r="AE89" s="338" t="n"/>
      <c r="AF89" s="338" t="n"/>
      <c r="AG89" s="338" t="n"/>
      <c r="AH89" s="338" t="n"/>
      <c r="AI89" s="338" t="n"/>
      <c r="AJ89" s="338" t="n"/>
      <c r="AK89" s="338" t="n"/>
      <c r="AL89" s="338" t="n"/>
      <c r="AM89" s="338" t="n"/>
      <c r="AN89" s="338" t="n"/>
      <c r="AO89" s="338" t="n"/>
      <c r="AP89" s="338" t="n"/>
      <c r="AQ89" s="338" t="n"/>
      <c r="AR89" s="338" t="n"/>
      <c r="AS89" s="338" t="n"/>
      <c r="AT89" s="338" t="n"/>
      <c r="AU89" s="338" t="n"/>
      <c r="AV89" s="338" t="n"/>
      <c r="AW89" s="338" t="n"/>
      <c r="AX89" s="338" t="n"/>
      <c r="AY89" s="338" t="n"/>
      <c r="AZ89" s="338" t="n"/>
      <c r="BA89" s="338" t="n"/>
      <c r="BB89" s="338" t="n"/>
      <c r="BC89" s="338" t="n"/>
      <c r="BD89" s="338" t="n"/>
      <c r="BE89" s="338" t="n"/>
      <c r="BF89" s="338" t="n"/>
      <c r="BG89" s="338" t="n"/>
      <c r="BH89" s="338" t="n"/>
      <c r="BI89" s="338" t="n"/>
      <c r="BJ89" s="338" t="n"/>
      <c r="BK89" s="338" t="n"/>
      <c r="BL89" s="338" t="n"/>
      <c r="BM89" s="338" t="n"/>
      <c r="BN89" s="338" t="n"/>
      <c r="BO89" s="338" t="n"/>
      <c r="BP89" s="338" t="n"/>
      <c r="BQ89" s="338" t="n"/>
      <c r="BR89" s="338" t="n"/>
      <c r="BS89" s="338" t="n"/>
      <c r="BT89" s="338" t="n"/>
      <c r="BU89" s="338" t="n"/>
      <c r="BV89" s="338" t="n"/>
      <c r="BW89" s="338" t="n"/>
      <c r="BX89" s="338" t="n"/>
      <c r="BY89" s="338" t="n"/>
      <c r="BZ89" s="338" t="n"/>
      <c r="CA89" s="338" t="n"/>
      <c r="CB89" s="338" t="n"/>
      <c r="CC89" s="383" t="n"/>
      <c r="CF89" s="253" t="inlineStr">
        <is>
          <t>時間外</t>
        </is>
      </c>
      <c r="CG89" s="384" t="n"/>
      <c r="CH89" s="384" t="n"/>
      <c r="CI89" s="385" t="n"/>
      <c r="CJ89" s="386">
        <f>IF(Q87="作業者1",K90-K87,0)</f>
        <v/>
      </c>
      <c r="CK89" s="387" t="n"/>
      <c r="CL89" s="387" t="n"/>
      <c r="CM89" s="387" t="n"/>
      <c r="CN89" s="388" t="n"/>
      <c r="CP89" s="253" t="inlineStr">
        <is>
          <t>時間外</t>
        </is>
      </c>
      <c r="CQ89" s="384" t="n"/>
      <c r="CR89" s="384" t="n"/>
      <c r="CS89" s="385" t="n"/>
      <c r="CT89" s="386">
        <f>IF(Q87="作業者2",K90-K87,0)</f>
        <v/>
      </c>
      <c r="CU89" s="387" t="n"/>
      <c r="CV89" s="387" t="n"/>
      <c r="CW89" s="387" t="n"/>
      <c r="CX89" s="388" t="n"/>
      <c r="CZ89" s="253" t="inlineStr">
        <is>
          <t>時間外</t>
        </is>
      </c>
      <c r="DA89" s="384" t="n"/>
      <c r="DB89" s="384" t="n"/>
      <c r="DC89" s="385" t="n"/>
      <c r="DD89" s="386">
        <f>IF(Q87="作業者3",K90-K87,0)</f>
        <v/>
      </c>
      <c r="DE89" s="387" t="n"/>
      <c r="DF89" s="387" t="n"/>
      <c r="DG89" s="387" t="n"/>
      <c r="DH89" s="388" t="n"/>
      <c r="DJ89" s="253" t="inlineStr">
        <is>
          <t>時間外</t>
        </is>
      </c>
      <c r="DK89" s="384" t="n"/>
      <c r="DL89" s="384" t="n"/>
      <c r="DM89" s="385" t="n"/>
      <c r="DN89" s="386">
        <f>IF(Q87="作業者4",K90-K87,0)</f>
        <v/>
      </c>
      <c r="DO89" s="387" t="n"/>
      <c r="DP89" s="387" t="n"/>
      <c r="DQ89" s="387" t="n"/>
      <c r="DR89" s="388" t="n"/>
      <c r="DT89" s="253" t="inlineStr">
        <is>
          <t>時間外</t>
        </is>
      </c>
      <c r="DU89" s="384" t="n"/>
      <c r="DV89" s="384" t="n"/>
      <c r="DW89" s="385" t="n"/>
      <c r="DX89" s="386">
        <f>IF(Q87="作業者5",K90-K87,0)</f>
        <v/>
      </c>
      <c r="DY89" s="387" t="n"/>
      <c r="DZ89" s="387" t="n"/>
      <c r="EA89" s="387" t="n"/>
      <c r="EB89" s="388" t="n"/>
    </row>
    <row r="90" ht="9" customHeight="1" s="337">
      <c r="B90" s="389" t="n"/>
      <c r="C90" s="390" t="n"/>
      <c r="D90" s="391" t="n"/>
      <c r="E90" s="392" t="n"/>
      <c r="F90" s="390" t="n"/>
      <c r="G90" s="391" t="n"/>
      <c r="H90" s="392" t="n"/>
      <c r="I90" s="390" t="n"/>
      <c r="J90" s="391" t="n"/>
      <c r="K90" s="392" t="n"/>
      <c r="L90" s="390" t="n"/>
      <c r="M90" s="391" t="n"/>
      <c r="N90" s="392" t="n"/>
      <c r="O90" s="390" t="n"/>
      <c r="P90" s="391" t="n"/>
      <c r="Q90" s="393" t="n"/>
      <c r="R90" s="390" t="n"/>
      <c r="S90" s="391" t="n"/>
      <c r="T90" s="393" t="n"/>
      <c r="U90" s="390" t="n"/>
      <c r="V90" s="391" t="n"/>
      <c r="W90" s="393" t="n"/>
      <c r="X90" s="390" t="n"/>
      <c r="Y90" s="390" t="n"/>
      <c r="Z90" s="390" t="n"/>
      <c r="AA90" s="390" t="n"/>
      <c r="AB90" s="390" t="n"/>
      <c r="AC90" s="390" t="n"/>
      <c r="AD90" s="390" t="n"/>
      <c r="AE90" s="390" t="n"/>
      <c r="AF90" s="390" t="n"/>
      <c r="AG90" s="390" t="n"/>
      <c r="AH90" s="390" t="n"/>
      <c r="AI90" s="390" t="n"/>
      <c r="AJ90" s="390" t="n"/>
      <c r="AK90" s="390" t="n"/>
      <c r="AL90" s="390" t="n"/>
      <c r="AM90" s="390" t="n"/>
      <c r="AN90" s="390" t="n"/>
      <c r="AO90" s="390" t="n"/>
      <c r="AP90" s="390" t="n"/>
      <c r="AQ90" s="390" t="n"/>
      <c r="AR90" s="390" t="n"/>
      <c r="AS90" s="390" t="n"/>
      <c r="AT90" s="390" t="n"/>
      <c r="AU90" s="390" t="n"/>
      <c r="AV90" s="390" t="n"/>
      <c r="AW90" s="390" t="n"/>
      <c r="AX90" s="390" t="n"/>
      <c r="AY90" s="390" t="n"/>
      <c r="AZ90" s="390" t="n"/>
      <c r="BA90" s="390" t="n"/>
      <c r="BB90" s="390" t="n"/>
      <c r="BC90" s="390" t="n"/>
      <c r="BD90" s="390" t="n"/>
      <c r="BE90" s="390" t="n"/>
      <c r="BF90" s="390" t="n"/>
      <c r="BG90" s="390" t="n"/>
      <c r="BH90" s="390" t="n"/>
      <c r="BI90" s="390" t="n"/>
      <c r="BJ90" s="390" t="n"/>
      <c r="BK90" s="390" t="n"/>
      <c r="BL90" s="390" t="n"/>
      <c r="BM90" s="390" t="n"/>
      <c r="BN90" s="390" t="n"/>
      <c r="BO90" s="390" t="n"/>
      <c r="BP90" s="390" t="n"/>
      <c r="BQ90" s="390" t="n"/>
      <c r="BR90" s="390" t="n"/>
      <c r="BS90" s="390" t="n"/>
      <c r="BT90" s="390" t="n"/>
      <c r="BU90" s="390" t="n"/>
      <c r="BV90" s="390" t="n"/>
      <c r="BW90" s="390" t="n"/>
      <c r="BX90" s="390" t="n"/>
      <c r="BY90" s="390" t="n"/>
      <c r="BZ90" s="390" t="n"/>
      <c r="CA90" s="390" t="n"/>
      <c r="CB90" s="390" t="n"/>
      <c r="CC90" s="394" t="n"/>
      <c r="CF90" s="254" t="inlineStr">
        <is>
          <t>休日</t>
        </is>
      </c>
      <c r="CG90" s="395" t="n"/>
      <c r="CH90" s="395" t="n"/>
      <c r="CI90" s="396" t="n"/>
      <c r="CJ90" s="386">
        <f>IF(Q87="作業者1",N90-N87,0)</f>
        <v/>
      </c>
      <c r="CK90" s="387" t="n"/>
      <c r="CL90" s="387" t="n"/>
      <c r="CM90" s="387" t="n"/>
      <c r="CN90" s="388" t="n"/>
      <c r="CP90" s="253" t="inlineStr">
        <is>
          <t>休日</t>
        </is>
      </c>
      <c r="CQ90" s="384" t="n"/>
      <c r="CR90" s="384" t="n"/>
      <c r="CS90" s="385" t="n"/>
      <c r="CT90" s="386">
        <f>IF(Q87="作業者2",N90-N87,0)</f>
        <v/>
      </c>
      <c r="CU90" s="387" t="n"/>
      <c r="CV90" s="387" t="n"/>
      <c r="CW90" s="387" t="n"/>
      <c r="CX90" s="388" t="n"/>
      <c r="CZ90" s="254" t="inlineStr">
        <is>
          <t>休日</t>
        </is>
      </c>
      <c r="DA90" s="395" t="n"/>
      <c r="DB90" s="395" t="n"/>
      <c r="DC90" s="396" t="n"/>
      <c r="DD90" s="397">
        <f>IF(Q87="作業者3",N90-N87,0)</f>
        <v/>
      </c>
      <c r="DE90" s="395" t="n"/>
      <c r="DF90" s="395" t="n"/>
      <c r="DG90" s="395" t="n"/>
      <c r="DH90" s="396" t="n"/>
      <c r="DJ90" s="254" t="inlineStr">
        <is>
          <t>休日</t>
        </is>
      </c>
      <c r="DK90" s="395" t="n"/>
      <c r="DL90" s="395" t="n"/>
      <c r="DM90" s="396" t="n"/>
      <c r="DN90" s="397">
        <f>IF(Q87="作業者4",N90-N87,0)</f>
        <v/>
      </c>
      <c r="DO90" s="395" t="n"/>
      <c r="DP90" s="395" t="n"/>
      <c r="DQ90" s="395" t="n"/>
      <c r="DR90" s="396" t="n"/>
      <c r="DT90" s="254" t="inlineStr">
        <is>
          <t>休日</t>
        </is>
      </c>
      <c r="DU90" s="395" t="n"/>
      <c r="DV90" s="395" t="n"/>
      <c r="DW90" s="396" t="n"/>
      <c r="DX90" s="397">
        <f>IF(Q87="作業者5",N90-N87,0)</f>
        <v/>
      </c>
      <c r="DY90" s="395" t="n"/>
      <c r="DZ90" s="395" t="n"/>
      <c r="EA90" s="395" t="n"/>
      <c r="EB90" s="396" t="n"/>
    </row>
    <row r="91" ht="9" customHeight="1" s="337">
      <c r="B91" s="398" t="n"/>
      <c r="C91" s="372" t="n"/>
      <c r="D91" s="373" t="n"/>
      <c r="E91" s="399" t="n"/>
      <c r="F91" s="372" t="n"/>
      <c r="G91" s="373" t="n"/>
      <c r="H91" s="399" t="n"/>
      <c r="I91" s="372" t="n"/>
      <c r="J91" s="373" t="n"/>
      <c r="K91" s="399" t="n"/>
      <c r="L91" s="372" t="n"/>
      <c r="M91" s="373" t="n"/>
      <c r="N91" s="399" t="n"/>
      <c r="O91" s="372" t="n"/>
      <c r="P91" s="373" t="n"/>
      <c r="Q91" s="371" t="n"/>
      <c r="R91" s="372" t="n"/>
      <c r="S91" s="373" t="n"/>
      <c r="T91" s="371" t="n"/>
      <c r="U91" s="372" t="n"/>
      <c r="V91" s="373" t="n"/>
      <c r="W91" s="443" t="n"/>
      <c r="X91" s="372" t="n"/>
      <c r="Y91" s="372" t="n"/>
      <c r="Z91" s="372" t="n"/>
      <c r="AA91" s="372" t="n"/>
      <c r="AB91" s="372" t="n"/>
      <c r="AC91" s="372" t="n"/>
      <c r="AD91" s="372" t="n"/>
      <c r="AE91" s="372" t="n"/>
      <c r="AF91" s="372" t="n"/>
      <c r="AG91" s="372" t="n"/>
      <c r="AH91" s="372" t="n"/>
      <c r="AI91" s="372" t="n"/>
      <c r="AJ91" s="372" t="n"/>
      <c r="AK91" s="372" t="n"/>
      <c r="AL91" s="372" t="n"/>
      <c r="AM91" s="372" t="n"/>
      <c r="AN91" s="372" t="n"/>
      <c r="AO91" s="372" t="n"/>
      <c r="AP91" s="372" t="n"/>
      <c r="AQ91" s="372" t="n"/>
      <c r="AR91" s="372" t="n"/>
      <c r="AS91" s="372" t="n"/>
      <c r="AT91" s="372" t="n"/>
      <c r="AU91" s="372" t="n"/>
      <c r="AV91" s="372" t="n"/>
      <c r="AW91" s="372" t="n"/>
      <c r="AX91" s="372" t="n"/>
      <c r="AY91" s="372" t="n"/>
      <c r="AZ91" s="372" t="n"/>
      <c r="BA91" s="372" t="n"/>
      <c r="BB91" s="372" t="n"/>
      <c r="BC91" s="372" t="n"/>
      <c r="BD91" s="372" t="n"/>
      <c r="BE91" s="372" t="n"/>
      <c r="BF91" s="372" t="n"/>
      <c r="BG91" s="372" t="n"/>
      <c r="BH91" s="372" t="n"/>
      <c r="BI91" s="372" t="n"/>
      <c r="BJ91" s="372" t="n"/>
      <c r="BK91" s="372" t="n"/>
      <c r="BL91" s="372" t="n"/>
      <c r="BM91" s="372" t="n"/>
      <c r="BN91" s="372" t="n"/>
      <c r="BO91" s="372" t="n"/>
      <c r="BP91" s="372" t="n"/>
      <c r="BQ91" s="372" t="n"/>
      <c r="BR91" s="372" t="n"/>
      <c r="BS91" s="372" t="n"/>
      <c r="BT91" s="372" t="n"/>
      <c r="BU91" s="372" t="n"/>
      <c r="BV91" s="372" t="n"/>
      <c r="BW91" s="372" t="n"/>
      <c r="BX91" s="372" t="n"/>
      <c r="BY91" s="372" t="n"/>
      <c r="BZ91" s="372" t="n"/>
      <c r="CA91" s="372" t="n"/>
      <c r="CB91" s="372" t="n"/>
      <c r="CC91" s="402" t="n"/>
      <c r="CF91" s="259" t="inlineStr">
        <is>
          <t>移動</t>
        </is>
      </c>
      <c r="CG91" s="403" t="n"/>
      <c r="CH91" s="403" t="n"/>
      <c r="CI91" s="404" t="n"/>
      <c r="CJ91" s="379">
        <f>IF(Q91="作業者1",E94-E91,0)</f>
        <v/>
      </c>
      <c r="CK91" s="377" t="n"/>
      <c r="CL91" s="377" t="n"/>
      <c r="CM91" s="377" t="n"/>
      <c r="CN91" s="378" t="n"/>
      <c r="CP91" s="248" t="inlineStr">
        <is>
          <t>移動</t>
        </is>
      </c>
      <c r="CQ91" s="377" t="n"/>
      <c r="CR91" s="377" t="n"/>
      <c r="CS91" s="378" t="n"/>
      <c r="CT91" s="379">
        <f>IF(Q91="作業者2",E94-E91,0)</f>
        <v/>
      </c>
      <c r="CU91" s="377" t="n"/>
      <c r="CV91" s="377" t="n"/>
      <c r="CW91" s="377" t="n"/>
      <c r="CX91" s="378" t="n"/>
      <c r="CZ91" s="259" t="inlineStr">
        <is>
          <t>移動</t>
        </is>
      </c>
      <c r="DA91" s="403" t="n"/>
      <c r="DB91" s="403" t="n"/>
      <c r="DC91" s="404" t="n"/>
      <c r="DD91" s="405">
        <f>IF(Q91="作業者3",E94-E91,0)</f>
        <v/>
      </c>
      <c r="DE91" s="406" t="n"/>
      <c r="DF91" s="406" t="n"/>
      <c r="DG91" s="406" t="n"/>
      <c r="DH91" s="407" t="n"/>
      <c r="DJ91" s="259" t="inlineStr">
        <is>
          <t>移動</t>
        </is>
      </c>
      <c r="DK91" s="403" t="n"/>
      <c r="DL91" s="403" t="n"/>
      <c r="DM91" s="404" t="n"/>
      <c r="DN91" s="379">
        <f>IF(Q91="作業者4",E94-E91,0)</f>
        <v/>
      </c>
      <c r="DO91" s="377" t="n"/>
      <c r="DP91" s="377" t="n"/>
      <c r="DQ91" s="377" t="n"/>
      <c r="DR91" s="378" t="n"/>
      <c r="DT91" s="259" t="inlineStr">
        <is>
          <t>移動</t>
        </is>
      </c>
      <c r="DU91" s="403" t="n"/>
      <c r="DV91" s="403" t="n"/>
      <c r="DW91" s="404" t="n"/>
      <c r="DX91" s="379">
        <f>IF(Q91="作業者5",E94-E91,0)</f>
        <v/>
      </c>
      <c r="DY91" s="377" t="n"/>
      <c r="DZ91" s="377" t="n"/>
      <c r="EA91" s="377" t="n"/>
      <c r="EB91" s="378" t="n"/>
    </row>
    <row r="92" ht="9" customHeight="1" s="337">
      <c r="B92" s="350" t="n"/>
      <c r="C92" s="338" t="n"/>
      <c r="D92" s="380" t="n"/>
      <c r="E92" s="381" t="n"/>
      <c r="F92" s="122" t="inlineStr">
        <is>
          <t>～</t>
        </is>
      </c>
      <c r="G92" s="22" t="n"/>
      <c r="H92" s="381" t="n"/>
      <c r="I92" s="122" t="inlineStr">
        <is>
          <t>～</t>
        </is>
      </c>
      <c r="J92" s="22" t="n"/>
      <c r="K92" s="381" t="n"/>
      <c r="L92" s="122" t="inlineStr">
        <is>
          <t>～</t>
        </is>
      </c>
      <c r="M92" s="22" t="n"/>
      <c r="N92" s="381" t="n"/>
      <c r="O92" s="122" t="inlineStr">
        <is>
          <t>～</t>
        </is>
      </c>
      <c r="P92" s="22" t="n"/>
      <c r="Q92" s="382" t="n"/>
      <c r="R92" s="338" t="n"/>
      <c r="S92" s="380" t="n"/>
      <c r="T92" s="382" t="n"/>
      <c r="U92" s="338" t="n"/>
      <c r="V92" s="380" t="n"/>
      <c r="W92" s="382" t="n"/>
      <c r="X92" s="338" t="n"/>
      <c r="Y92" s="338" t="n"/>
      <c r="Z92" s="338" t="n"/>
      <c r="AA92" s="338" t="n"/>
      <c r="AB92" s="338" t="n"/>
      <c r="AC92" s="338" t="n"/>
      <c r="AD92" s="338" t="n"/>
      <c r="AE92" s="338" t="n"/>
      <c r="AF92" s="338" t="n"/>
      <c r="AG92" s="338" t="n"/>
      <c r="AH92" s="338" t="n"/>
      <c r="AI92" s="338" t="n"/>
      <c r="AJ92" s="338" t="n"/>
      <c r="AK92" s="338" t="n"/>
      <c r="AL92" s="338" t="n"/>
      <c r="AM92" s="338" t="n"/>
      <c r="AN92" s="338" t="n"/>
      <c r="AO92" s="338" t="n"/>
      <c r="AP92" s="338" t="n"/>
      <c r="AQ92" s="338" t="n"/>
      <c r="AR92" s="338" t="n"/>
      <c r="AS92" s="338" t="n"/>
      <c r="AT92" s="338" t="n"/>
      <c r="AU92" s="338" t="n"/>
      <c r="AV92" s="338" t="n"/>
      <c r="AW92" s="338" t="n"/>
      <c r="AX92" s="338" t="n"/>
      <c r="AY92" s="338" t="n"/>
      <c r="AZ92" s="338" t="n"/>
      <c r="BA92" s="338" t="n"/>
      <c r="BB92" s="338" t="n"/>
      <c r="BC92" s="338" t="n"/>
      <c r="BD92" s="338" t="n"/>
      <c r="BE92" s="338" t="n"/>
      <c r="BF92" s="338" t="n"/>
      <c r="BG92" s="338" t="n"/>
      <c r="BH92" s="338" t="n"/>
      <c r="BI92" s="338" t="n"/>
      <c r="BJ92" s="338" t="n"/>
      <c r="BK92" s="338" t="n"/>
      <c r="BL92" s="338" t="n"/>
      <c r="BM92" s="338" t="n"/>
      <c r="BN92" s="338" t="n"/>
      <c r="BO92" s="338" t="n"/>
      <c r="BP92" s="338" t="n"/>
      <c r="BQ92" s="338" t="n"/>
      <c r="BR92" s="338" t="n"/>
      <c r="BS92" s="338" t="n"/>
      <c r="BT92" s="338" t="n"/>
      <c r="BU92" s="338" t="n"/>
      <c r="BV92" s="338" t="n"/>
      <c r="BW92" s="338" t="n"/>
      <c r="BX92" s="338" t="n"/>
      <c r="BY92" s="338" t="n"/>
      <c r="BZ92" s="338" t="n"/>
      <c r="CA92" s="338" t="n"/>
      <c r="CB92" s="338" t="n"/>
      <c r="CC92" s="383" t="n"/>
      <c r="CF92" s="253" t="inlineStr">
        <is>
          <t>時間内</t>
        </is>
      </c>
      <c r="CG92" s="384" t="n"/>
      <c r="CH92" s="384" t="n"/>
      <c r="CI92" s="385" t="n"/>
      <c r="CJ92" s="386">
        <f>IF(Q91="作業者1",H94-H91,0)</f>
        <v/>
      </c>
      <c r="CK92" s="387" t="n"/>
      <c r="CL92" s="387" t="n"/>
      <c r="CM92" s="387" t="n"/>
      <c r="CN92" s="388" t="n"/>
      <c r="CP92" s="253" t="inlineStr">
        <is>
          <t>時間内</t>
        </is>
      </c>
      <c r="CQ92" s="384" t="n"/>
      <c r="CR92" s="384" t="n"/>
      <c r="CS92" s="385" t="n"/>
      <c r="CT92" s="386">
        <f>IF(Q91="作業者2",H94-H91,0)</f>
        <v/>
      </c>
      <c r="CU92" s="387" t="n"/>
      <c r="CV92" s="387" t="n"/>
      <c r="CW92" s="387" t="n"/>
      <c r="CX92" s="388" t="n"/>
      <c r="CZ92" s="253" t="inlineStr">
        <is>
          <t>時間内</t>
        </is>
      </c>
      <c r="DA92" s="384" t="n"/>
      <c r="DB92" s="384" t="n"/>
      <c r="DC92" s="385" t="n"/>
      <c r="DD92" s="386">
        <f>IF(Q91="作業者3",H94-H91,0)</f>
        <v/>
      </c>
      <c r="DE92" s="387" t="n"/>
      <c r="DF92" s="387" t="n"/>
      <c r="DG92" s="387" t="n"/>
      <c r="DH92" s="388" t="n"/>
      <c r="DJ92" s="253" t="inlineStr">
        <is>
          <t>時間内</t>
        </is>
      </c>
      <c r="DK92" s="384" t="n"/>
      <c r="DL92" s="384" t="n"/>
      <c r="DM92" s="385" t="n"/>
      <c r="DN92" s="386">
        <f>IF(Q91="作業者4",H94-H91,0)</f>
        <v/>
      </c>
      <c r="DO92" s="387" t="n"/>
      <c r="DP92" s="387" t="n"/>
      <c r="DQ92" s="387" t="n"/>
      <c r="DR92" s="388" t="n"/>
      <c r="DT92" s="253" t="inlineStr">
        <is>
          <t>時間内</t>
        </is>
      </c>
      <c r="DU92" s="384" t="n"/>
      <c r="DV92" s="384" t="n"/>
      <c r="DW92" s="385" t="n"/>
      <c r="DX92" s="386">
        <f>IF(Q91="作業者5",H94-H91,0)</f>
        <v/>
      </c>
      <c r="DY92" s="387" t="n"/>
      <c r="DZ92" s="387" t="n"/>
      <c r="EA92" s="387" t="n"/>
      <c r="EB92" s="388" t="n"/>
    </row>
    <row r="93" ht="9" customHeight="1" s="337">
      <c r="B93" s="350" t="n"/>
      <c r="C93" s="338" t="n"/>
      <c r="D93" s="380" t="n"/>
      <c r="E93" s="23" t="n"/>
      <c r="F93" s="338" t="n"/>
      <c r="G93" s="24" t="n"/>
      <c r="H93" s="23" t="n"/>
      <c r="I93" s="338" t="n"/>
      <c r="J93" s="24" t="n"/>
      <c r="K93" s="23" t="n"/>
      <c r="L93" s="338" t="n"/>
      <c r="M93" s="24" t="n"/>
      <c r="N93" s="23" t="n"/>
      <c r="O93" s="338" t="n"/>
      <c r="P93" s="24" t="n"/>
      <c r="Q93" s="382" t="n"/>
      <c r="R93" s="338" t="n"/>
      <c r="S93" s="380" t="n"/>
      <c r="T93" s="382" t="n"/>
      <c r="U93" s="338" t="n"/>
      <c r="V93" s="380" t="n"/>
      <c r="W93" s="382" t="n"/>
      <c r="X93" s="338" t="n"/>
      <c r="Y93" s="338" t="n"/>
      <c r="Z93" s="338" t="n"/>
      <c r="AA93" s="338" t="n"/>
      <c r="AB93" s="338" t="n"/>
      <c r="AC93" s="338" t="n"/>
      <c r="AD93" s="338" t="n"/>
      <c r="AE93" s="338" t="n"/>
      <c r="AF93" s="338" t="n"/>
      <c r="AG93" s="338" t="n"/>
      <c r="AH93" s="338" t="n"/>
      <c r="AI93" s="338" t="n"/>
      <c r="AJ93" s="338" t="n"/>
      <c r="AK93" s="338" t="n"/>
      <c r="AL93" s="338" t="n"/>
      <c r="AM93" s="338" t="n"/>
      <c r="AN93" s="338" t="n"/>
      <c r="AO93" s="338" t="n"/>
      <c r="AP93" s="338" t="n"/>
      <c r="AQ93" s="338" t="n"/>
      <c r="AR93" s="338" t="n"/>
      <c r="AS93" s="338" t="n"/>
      <c r="AT93" s="338" t="n"/>
      <c r="AU93" s="338" t="n"/>
      <c r="AV93" s="338" t="n"/>
      <c r="AW93" s="338" t="n"/>
      <c r="AX93" s="338" t="n"/>
      <c r="AY93" s="338" t="n"/>
      <c r="AZ93" s="338" t="n"/>
      <c r="BA93" s="338" t="n"/>
      <c r="BB93" s="338" t="n"/>
      <c r="BC93" s="338" t="n"/>
      <c r="BD93" s="338" t="n"/>
      <c r="BE93" s="338" t="n"/>
      <c r="BF93" s="338" t="n"/>
      <c r="BG93" s="338" t="n"/>
      <c r="BH93" s="338" t="n"/>
      <c r="BI93" s="338" t="n"/>
      <c r="BJ93" s="338" t="n"/>
      <c r="BK93" s="338" t="n"/>
      <c r="BL93" s="338" t="n"/>
      <c r="BM93" s="338" t="n"/>
      <c r="BN93" s="338" t="n"/>
      <c r="BO93" s="338" t="n"/>
      <c r="BP93" s="338" t="n"/>
      <c r="BQ93" s="338" t="n"/>
      <c r="BR93" s="338" t="n"/>
      <c r="BS93" s="338" t="n"/>
      <c r="BT93" s="338" t="n"/>
      <c r="BU93" s="338" t="n"/>
      <c r="BV93" s="338" t="n"/>
      <c r="BW93" s="338" t="n"/>
      <c r="BX93" s="338" t="n"/>
      <c r="BY93" s="338" t="n"/>
      <c r="BZ93" s="338" t="n"/>
      <c r="CA93" s="338" t="n"/>
      <c r="CB93" s="338" t="n"/>
      <c r="CC93" s="383" t="n"/>
      <c r="CF93" s="253" t="inlineStr">
        <is>
          <t>時間外</t>
        </is>
      </c>
      <c r="CG93" s="384" t="n"/>
      <c r="CH93" s="384" t="n"/>
      <c r="CI93" s="385" t="n"/>
      <c r="CJ93" s="386">
        <f>IF(Q91="作業者1",K94-K91,0)</f>
        <v/>
      </c>
      <c r="CK93" s="387" t="n"/>
      <c r="CL93" s="387" t="n"/>
      <c r="CM93" s="387" t="n"/>
      <c r="CN93" s="388" t="n"/>
      <c r="CP93" s="253" t="inlineStr">
        <is>
          <t>時間外</t>
        </is>
      </c>
      <c r="CQ93" s="384" t="n"/>
      <c r="CR93" s="384" t="n"/>
      <c r="CS93" s="385" t="n"/>
      <c r="CT93" s="386">
        <f>IF(Q91="作業者2",K94-K91,0)</f>
        <v/>
      </c>
      <c r="CU93" s="387" t="n"/>
      <c r="CV93" s="387" t="n"/>
      <c r="CW93" s="387" t="n"/>
      <c r="CX93" s="388" t="n"/>
      <c r="CZ93" s="253" t="inlineStr">
        <is>
          <t>時間外</t>
        </is>
      </c>
      <c r="DA93" s="384" t="n"/>
      <c r="DB93" s="384" t="n"/>
      <c r="DC93" s="385" t="n"/>
      <c r="DD93" s="386">
        <f>IF(Q91="作業者3",K94-K91,0)</f>
        <v/>
      </c>
      <c r="DE93" s="387" t="n"/>
      <c r="DF93" s="387" t="n"/>
      <c r="DG93" s="387" t="n"/>
      <c r="DH93" s="388" t="n"/>
      <c r="DJ93" s="253" t="inlineStr">
        <is>
          <t>時間外</t>
        </is>
      </c>
      <c r="DK93" s="384" t="n"/>
      <c r="DL93" s="384" t="n"/>
      <c r="DM93" s="385" t="n"/>
      <c r="DN93" s="386">
        <f>IF(Q91="作業者4",K94-K91,0)</f>
        <v/>
      </c>
      <c r="DO93" s="387" t="n"/>
      <c r="DP93" s="387" t="n"/>
      <c r="DQ93" s="387" t="n"/>
      <c r="DR93" s="388" t="n"/>
      <c r="DT93" s="253" t="inlineStr">
        <is>
          <t>時間外</t>
        </is>
      </c>
      <c r="DU93" s="384" t="n"/>
      <c r="DV93" s="384" t="n"/>
      <c r="DW93" s="385" t="n"/>
      <c r="DX93" s="386">
        <f>IF(Q91="作業者5",K94-K91,0)</f>
        <v/>
      </c>
      <c r="DY93" s="387" t="n"/>
      <c r="DZ93" s="387" t="n"/>
      <c r="EA93" s="387" t="n"/>
      <c r="EB93" s="388" t="n"/>
    </row>
    <row r="94" ht="9" customHeight="1" s="337">
      <c r="B94" s="389" t="n"/>
      <c r="C94" s="390" t="n"/>
      <c r="D94" s="391" t="n"/>
      <c r="E94" s="392" t="n"/>
      <c r="F94" s="390" t="n"/>
      <c r="G94" s="391" t="n"/>
      <c r="H94" s="392" t="n"/>
      <c r="I94" s="390" t="n"/>
      <c r="J94" s="391" t="n"/>
      <c r="K94" s="392" t="n"/>
      <c r="L94" s="390" t="n"/>
      <c r="M94" s="391" t="n"/>
      <c r="N94" s="392" t="n"/>
      <c r="O94" s="390" t="n"/>
      <c r="P94" s="391" t="n"/>
      <c r="Q94" s="393" t="n"/>
      <c r="R94" s="390" t="n"/>
      <c r="S94" s="391" t="n"/>
      <c r="T94" s="393" t="n"/>
      <c r="U94" s="390" t="n"/>
      <c r="V94" s="391" t="n"/>
      <c r="W94" s="393" t="n"/>
      <c r="X94" s="390" t="n"/>
      <c r="Y94" s="390" t="n"/>
      <c r="Z94" s="390" t="n"/>
      <c r="AA94" s="390" t="n"/>
      <c r="AB94" s="390" t="n"/>
      <c r="AC94" s="390" t="n"/>
      <c r="AD94" s="390" t="n"/>
      <c r="AE94" s="390" t="n"/>
      <c r="AF94" s="390" t="n"/>
      <c r="AG94" s="390" t="n"/>
      <c r="AH94" s="390" t="n"/>
      <c r="AI94" s="390" t="n"/>
      <c r="AJ94" s="390" t="n"/>
      <c r="AK94" s="390" t="n"/>
      <c r="AL94" s="390" t="n"/>
      <c r="AM94" s="390" t="n"/>
      <c r="AN94" s="390" t="n"/>
      <c r="AO94" s="390" t="n"/>
      <c r="AP94" s="390" t="n"/>
      <c r="AQ94" s="390" t="n"/>
      <c r="AR94" s="390" t="n"/>
      <c r="AS94" s="390" t="n"/>
      <c r="AT94" s="390" t="n"/>
      <c r="AU94" s="390" t="n"/>
      <c r="AV94" s="390" t="n"/>
      <c r="AW94" s="390" t="n"/>
      <c r="AX94" s="390" t="n"/>
      <c r="AY94" s="390" t="n"/>
      <c r="AZ94" s="390" t="n"/>
      <c r="BA94" s="390" t="n"/>
      <c r="BB94" s="390" t="n"/>
      <c r="BC94" s="390" t="n"/>
      <c r="BD94" s="390" t="n"/>
      <c r="BE94" s="390" t="n"/>
      <c r="BF94" s="390" t="n"/>
      <c r="BG94" s="390" t="n"/>
      <c r="BH94" s="390" t="n"/>
      <c r="BI94" s="390" t="n"/>
      <c r="BJ94" s="390" t="n"/>
      <c r="BK94" s="390" t="n"/>
      <c r="BL94" s="390" t="n"/>
      <c r="BM94" s="390" t="n"/>
      <c r="BN94" s="390" t="n"/>
      <c r="BO94" s="390" t="n"/>
      <c r="BP94" s="390" t="n"/>
      <c r="BQ94" s="390" t="n"/>
      <c r="BR94" s="390" t="n"/>
      <c r="BS94" s="390" t="n"/>
      <c r="BT94" s="390" t="n"/>
      <c r="BU94" s="390" t="n"/>
      <c r="BV94" s="390" t="n"/>
      <c r="BW94" s="390" t="n"/>
      <c r="BX94" s="390" t="n"/>
      <c r="BY94" s="390" t="n"/>
      <c r="BZ94" s="390" t="n"/>
      <c r="CA94" s="390" t="n"/>
      <c r="CB94" s="390" t="n"/>
      <c r="CC94" s="394" t="n"/>
      <c r="CF94" s="254" t="inlineStr">
        <is>
          <t>休日</t>
        </is>
      </c>
      <c r="CG94" s="395" t="n"/>
      <c r="CH94" s="395" t="n"/>
      <c r="CI94" s="396" t="n"/>
      <c r="CJ94" s="397">
        <f>IF(Q91="作業者1",N94-N91,0)</f>
        <v/>
      </c>
      <c r="CK94" s="395" t="n"/>
      <c r="CL94" s="395" t="n"/>
      <c r="CM94" s="395" t="n"/>
      <c r="CN94" s="396" t="n"/>
      <c r="CP94" s="254" t="inlineStr">
        <is>
          <t>休日</t>
        </is>
      </c>
      <c r="CQ94" s="395" t="n"/>
      <c r="CR94" s="395" t="n"/>
      <c r="CS94" s="396" t="n"/>
      <c r="CT94" s="397">
        <f>IF(Q91="作業者2",N94-N91,0)</f>
        <v/>
      </c>
      <c r="CU94" s="395" t="n"/>
      <c r="CV94" s="395" t="n"/>
      <c r="CW94" s="395" t="n"/>
      <c r="CX94" s="396" t="n"/>
      <c r="CZ94" s="254" t="inlineStr">
        <is>
          <t>休日</t>
        </is>
      </c>
      <c r="DA94" s="395" t="n"/>
      <c r="DB94" s="395" t="n"/>
      <c r="DC94" s="396" t="n"/>
      <c r="DD94" s="397">
        <f>IF(Q91="作業者3",N94-N91,0)</f>
        <v/>
      </c>
      <c r="DE94" s="395" t="n"/>
      <c r="DF94" s="395" t="n"/>
      <c r="DG94" s="395" t="n"/>
      <c r="DH94" s="396" t="n"/>
      <c r="DJ94" s="254" t="inlineStr">
        <is>
          <t>休日</t>
        </is>
      </c>
      <c r="DK94" s="395" t="n"/>
      <c r="DL94" s="395" t="n"/>
      <c r="DM94" s="396" t="n"/>
      <c r="DN94" s="397">
        <f>IF(Q91="作業者4",N94-N91,0)</f>
        <v/>
      </c>
      <c r="DO94" s="395" t="n"/>
      <c r="DP94" s="395" t="n"/>
      <c r="DQ94" s="395" t="n"/>
      <c r="DR94" s="396" t="n"/>
      <c r="DT94" s="254" t="inlineStr">
        <is>
          <t>休日</t>
        </is>
      </c>
      <c r="DU94" s="395" t="n"/>
      <c r="DV94" s="395" t="n"/>
      <c r="DW94" s="396" t="n"/>
      <c r="DX94" s="397">
        <f>IF(Q91="作業者5",N94-N91,0)</f>
        <v/>
      </c>
      <c r="DY94" s="395" t="n"/>
      <c r="DZ94" s="395" t="n"/>
      <c r="EA94" s="395" t="n"/>
      <c r="EB94" s="396" t="n"/>
    </row>
    <row r="95" ht="9" customHeight="1" s="337">
      <c r="B95" s="398" t="n"/>
      <c r="C95" s="372" t="n"/>
      <c r="D95" s="373" t="n"/>
      <c r="E95" s="399" t="n"/>
      <c r="F95" s="372" t="n"/>
      <c r="G95" s="373" t="n"/>
      <c r="H95" s="399" t="n"/>
      <c r="I95" s="372" t="n"/>
      <c r="J95" s="373" t="n"/>
      <c r="K95" s="399" t="n"/>
      <c r="L95" s="372" t="n"/>
      <c r="M95" s="373" t="n"/>
      <c r="N95" s="399" t="n"/>
      <c r="O95" s="372" t="n"/>
      <c r="P95" s="373" t="n"/>
      <c r="Q95" s="371" t="n"/>
      <c r="R95" s="372" t="n"/>
      <c r="S95" s="373" t="n"/>
      <c r="T95" s="371" t="n"/>
      <c r="U95" s="372" t="n"/>
      <c r="V95" s="373" t="n"/>
      <c r="W95" s="443" t="n"/>
      <c r="X95" s="372" t="n"/>
      <c r="Y95" s="372" t="n"/>
      <c r="Z95" s="372" t="n"/>
      <c r="AA95" s="372" t="n"/>
      <c r="AB95" s="372" t="n"/>
      <c r="AC95" s="372" t="n"/>
      <c r="AD95" s="372" t="n"/>
      <c r="AE95" s="372" t="n"/>
      <c r="AF95" s="372" t="n"/>
      <c r="AG95" s="372" t="n"/>
      <c r="AH95" s="372" t="n"/>
      <c r="AI95" s="372" t="n"/>
      <c r="AJ95" s="372" t="n"/>
      <c r="AK95" s="372" t="n"/>
      <c r="AL95" s="372" t="n"/>
      <c r="AM95" s="372" t="n"/>
      <c r="AN95" s="372" t="n"/>
      <c r="AO95" s="372" t="n"/>
      <c r="AP95" s="372" t="n"/>
      <c r="AQ95" s="372" t="n"/>
      <c r="AR95" s="372" t="n"/>
      <c r="AS95" s="372" t="n"/>
      <c r="AT95" s="372" t="n"/>
      <c r="AU95" s="372" t="n"/>
      <c r="AV95" s="372" t="n"/>
      <c r="AW95" s="372" t="n"/>
      <c r="AX95" s="372" t="n"/>
      <c r="AY95" s="372" t="n"/>
      <c r="AZ95" s="372" t="n"/>
      <c r="BA95" s="372" t="n"/>
      <c r="BB95" s="372" t="n"/>
      <c r="BC95" s="372" t="n"/>
      <c r="BD95" s="372" t="n"/>
      <c r="BE95" s="372" t="n"/>
      <c r="BF95" s="372" t="n"/>
      <c r="BG95" s="372" t="n"/>
      <c r="BH95" s="372" t="n"/>
      <c r="BI95" s="372" t="n"/>
      <c r="BJ95" s="372" t="n"/>
      <c r="BK95" s="372" t="n"/>
      <c r="BL95" s="372" t="n"/>
      <c r="BM95" s="372" t="n"/>
      <c r="BN95" s="372" t="n"/>
      <c r="BO95" s="372" t="n"/>
      <c r="BP95" s="372" t="n"/>
      <c r="BQ95" s="372" t="n"/>
      <c r="BR95" s="372" t="n"/>
      <c r="BS95" s="372" t="n"/>
      <c r="BT95" s="372" t="n"/>
      <c r="BU95" s="372" t="n"/>
      <c r="BV95" s="372" t="n"/>
      <c r="BW95" s="372" t="n"/>
      <c r="BX95" s="372" t="n"/>
      <c r="BY95" s="372" t="n"/>
      <c r="BZ95" s="372" t="n"/>
      <c r="CA95" s="372" t="n"/>
      <c r="CB95" s="372" t="n"/>
      <c r="CC95" s="402" t="n"/>
      <c r="CF95" s="248" t="inlineStr">
        <is>
          <t>移動</t>
        </is>
      </c>
      <c r="CG95" s="377" t="n"/>
      <c r="CH95" s="377" t="n"/>
      <c r="CI95" s="378" t="n"/>
      <c r="CJ95" s="379">
        <f>IF(Q95="作業者1",E98-E95,0)</f>
        <v/>
      </c>
      <c r="CK95" s="377" t="n"/>
      <c r="CL95" s="377" t="n"/>
      <c r="CM95" s="377" t="n"/>
      <c r="CN95" s="378" t="n"/>
      <c r="CP95" s="248" t="inlineStr">
        <is>
          <t>移動</t>
        </is>
      </c>
      <c r="CQ95" s="377" t="n"/>
      <c r="CR95" s="377" t="n"/>
      <c r="CS95" s="378" t="n"/>
      <c r="CT95" s="379">
        <f>IF(Q95="作業者2",E98-E95,0)</f>
        <v/>
      </c>
      <c r="CU95" s="377" t="n"/>
      <c r="CV95" s="377" t="n"/>
      <c r="CW95" s="377" t="n"/>
      <c r="CX95" s="378" t="n"/>
      <c r="CZ95" s="248" t="inlineStr">
        <is>
          <t>移動</t>
        </is>
      </c>
      <c r="DA95" s="377" t="n"/>
      <c r="DB95" s="377" t="n"/>
      <c r="DC95" s="378" t="n"/>
      <c r="DD95" s="379">
        <f>IF(Q95="作業者3",E98-E95,0)</f>
        <v/>
      </c>
      <c r="DE95" s="377" t="n"/>
      <c r="DF95" s="377" t="n"/>
      <c r="DG95" s="377" t="n"/>
      <c r="DH95" s="378" t="n"/>
      <c r="DJ95" s="248" t="inlineStr">
        <is>
          <t>移動</t>
        </is>
      </c>
      <c r="DK95" s="377" t="n"/>
      <c r="DL95" s="377" t="n"/>
      <c r="DM95" s="378" t="n"/>
      <c r="DN95" s="379">
        <f>IF(Q95="作業者4",E98-E95,0)</f>
        <v/>
      </c>
      <c r="DO95" s="377" t="n"/>
      <c r="DP95" s="377" t="n"/>
      <c r="DQ95" s="377" t="n"/>
      <c r="DR95" s="378" t="n"/>
      <c r="DT95" s="259" t="inlineStr">
        <is>
          <t>移動</t>
        </is>
      </c>
      <c r="DU95" s="403" t="n"/>
      <c r="DV95" s="403" t="n"/>
      <c r="DW95" s="404" t="n"/>
      <c r="DX95" s="379">
        <f>IF(Q95="作業者5",E98-E95,0)</f>
        <v/>
      </c>
      <c r="DY95" s="377" t="n"/>
      <c r="DZ95" s="377" t="n"/>
      <c r="EA95" s="377" t="n"/>
      <c r="EB95" s="378" t="n"/>
    </row>
    <row r="96" ht="9" customHeight="1" s="337">
      <c r="B96" s="350" t="n"/>
      <c r="C96" s="338" t="n"/>
      <c r="D96" s="380" t="n"/>
      <c r="E96" s="381" t="n"/>
      <c r="F96" s="122" t="inlineStr">
        <is>
          <t>～</t>
        </is>
      </c>
      <c r="G96" s="22" t="n"/>
      <c r="H96" s="381" t="n"/>
      <c r="I96" s="122" t="inlineStr">
        <is>
          <t>～</t>
        </is>
      </c>
      <c r="J96" s="22" t="n"/>
      <c r="K96" s="381" t="n"/>
      <c r="L96" s="122" t="inlineStr">
        <is>
          <t>～</t>
        </is>
      </c>
      <c r="M96" s="22" t="n"/>
      <c r="N96" s="381" t="n"/>
      <c r="O96" s="122" t="inlineStr">
        <is>
          <t>～</t>
        </is>
      </c>
      <c r="P96" s="22" t="n"/>
      <c r="Q96" s="382" t="n"/>
      <c r="R96" s="338" t="n"/>
      <c r="S96" s="380" t="n"/>
      <c r="T96" s="382" t="n"/>
      <c r="U96" s="338" t="n"/>
      <c r="V96" s="380" t="n"/>
      <c r="W96" s="382" t="n"/>
      <c r="X96" s="338" t="n"/>
      <c r="Y96" s="338" t="n"/>
      <c r="Z96" s="338" t="n"/>
      <c r="AA96" s="338" t="n"/>
      <c r="AB96" s="338" t="n"/>
      <c r="AC96" s="338" t="n"/>
      <c r="AD96" s="338" t="n"/>
      <c r="AE96" s="338" t="n"/>
      <c r="AF96" s="338" t="n"/>
      <c r="AG96" s="338" t="n"/>
      <c r="AH96" s="338" t="n"/>
      <c r="AI96" s="338" t="n"/>
      <c r="AJ96" s="338" t="n"/>
      <c r="AK96" s="338" t="n"/>
      <c r="AL96" s="338" t="n"/>
      <c r="AM96" s="338" t="n"/>
      <c r="AN96" s="338" t="n"/>
      <c r="AO96" s="338" t="n"/>
      <c r="AP96" s="338" t="n"/>
      <c r="AQ96" s="338" t="n"/>
      <c r="AR96" s="338" t="n"/>
      <c r="AS96" s="338" t="n"/>
      <c r="AT96" s="338" t="n"/>
      <c r="AU96" s="338" t="n"/>
      <c r="AV96" s="338" t="n"/>
      <c r="AW96" s="338" t="n"/>
      <c r="AX96" s="338" t="n"/>
      <c r="AY96" s="338" t="n"/>
      <c r="AZ96" s="338" t="n"/>
      <c r="BA96" s="338" t="n"/>
      <c r="BB96" s="338" t="n"/>
      <c r="BC96" s="338" t="n"/>
      <c r="BD96" s="338" t="n"/>
      <c r="BE96" s="338" t="n"/>
      <c r="BF96" s="338" t="n"/>
      <c r="BG96" s="338" t="n"/>
      <c r="BH96" s="338" t="n"/>
      <c r="BI96" s="338" t="n"/>
      <c r="BJ96" s="338" t="n"/>
      <c r="BK96" s="338" t="n"/>
      <c r="BL96" s="338" t="n"/>
      <c r="BM96" s="338" t="n"/>
      <c r="BN96" s="338" t="n"/>
      <c r="BO96" s="338" t="n"/>
      <c r="BP96" s="338" t="n"/>
      <c r="BQ96" s="338" t="n"/>
      <c r="BR96" s="338" t="n"/>
      <c r="BS96" s="338" t="n"/>
      <c r="BT96" s="338" t="n"/>
      <c r="BU96" s="338" t="n"/>
      <c r="BV96" s="338" t="n"/>
      <c r="BW96" s="338" t="n"/>
      <c r="BX96" s="338" t="n"/>
      <c r="BY96" s="338" t="n"/>
      <c r="BZ96" s="338" t="n"/>
      <c r="CA96" s="338" t="n"/>
      <c r="CB96" s="338" t="n"/>
      <c r="CC96" s="383" t="n"/>
      <c r="CF96" s="253" t="inlineStr">
        <is>
          <t>時間内</t>
        </is>
      </c>
      <c r="CG96" s="384" t="n"/>
      <c r="CH96" s="384" t="n"/>
      <c r="CI96" s="385" t="n"/>
      <c r="CJ96" s="386">
        <f>IF(Q95="作業者1",H98-H95,0)</f>
        <v/>
      </c>
      <c r="CK96" s="387" t="n"/>
      <c r="CL96" s="387" t="n"/>
      <c r="CM96" s="387" t="n"/>
      <c r="CN96" s="388" t="n"/>
      <c r="CP96" s="253" t="inlineStr">
        <is>
          <t>時間内</t>
        </is>
      </c>
      <c r="CQ96" s="384" t="n"/>
      <c r="CR96" s="384" t="n"/>
      <c r="CS96" s="385" t="n"/>
      <c r="CT96" s="386">
        <f>IF(Q95="作業者2",H98-H95,0)</f>
        <v/>
      </c>
      <c r="CU96" s="387" t="n"/>
      <c r="CV96" s="387" t="n"/>
      <c r="CW96" s="387" t="n"/>
      <c r="CX96" s="388" t="n"/>
      <c r="CZ96" s="253" t="inlineStr">
        <is>
          <t>時間内</t>
        </is>
      </c>
      <c r="DA96" s="384" t="n"/>
      <c r="DB96" s="384" t="n"/>
      <c r="DC96" s="385" t="n"/>
      <c r="DD96" s="386">
        <f>IF(Q95="作業者3",H98-H95,0)</f>
        <v/>
      </c>
      <c r="DE96" s="387" t="n"/>
      <c r="DF96" s="387" t="n"/>
      <c r="DG96" s="387" t="n"/>
      <c r="DH96" s="388" t="n"/>
      <c r="DJ96" s="253" t="inlineStr">
        <is>
          <t>時間内</t>
        </is>
      </c>
      <c r="DK96" s="384" t="n"/>
      <c r="DL96" s="384" t="n"/>
      <c r="DM96" s="385" t="n"/>
      <c r="DN96" s="386">
        <f>IF(Q95="作業者4",H98-H95,0)</f>
        <v/>
      </c>
      <c r="DO96" s="387" t="n"/>
      <c r="DP96" s="387" t="n"/>
      <c r="DQ96" s="387" t="n"/>
      <c r="DR96" s="388" t="n"/>
      <c r="DT96" s="253" t="inlineStr">
        <is>
          <t>時間内</t>
        </is>
      </c>
      <c r="DU96" s="384" t="n"/>
      <c r="DV96" s="384" t="n"/>
      <c r="DW96" s="385" t="n"/>
      <c r="DX96" s="386">
        <f>IF(Q95="作業者5",H98-H95,0)</f>
        <v/>
      </c>
      <c r="DY96" s="387" t="n"/>
      <c r="DZ96" s="387" t="n"/>
      <c r="EA96" s="387" t="n"/>
      <c r="EB96" s="388" t="n"/>
    </row>
    <row r="97" ht="9" customHeight="1" s="337">
      <c r="B97" s="350" t="n"/>
      <c r="C97" s="338" t="n"/>
      <c r="D97" s="380" t="n"/>
      <c r="E97" s="23" t="n"/>
      <c r="F97" s="338" t="n"/>
      <c r="G97" s="24" t="n"/>
      <c r="H97" s="23" t="n"/>
      <c r="I97" s="338" t="n"/>
      <c r="J97" s="24" t="n"/>
      <c r="K97" s="23" t="n"/>
      <c r="L97" s="338" t="n"/>
      <c r="M97" s="24" t="n"/>
      <c r="N97" s="23" t="n"/>
      <c r="O97" s="338" t="n"/>
      <c r="P97" s="24" t="n"/>
      <c r="Q97" s="382" t="n"/>
      <c r="R97" s="338" t="n"/>
      <c r="S97" s="380" t="n"/>
      <c r="T97" s="382" t="n"/>
      <c r="U97" s="338" t="n"/>
      <c r="V97" s="380" t="n"/>
      <c r="W97" s="382" t="n"/>
      <c r="X97" s="338" t="n"/>
      <c r="Y97" s="338" t="n"/>
      <c r="Z97" s="338" t="n"/>
      <c r="AA97" s="338" t="n"/>
      <c r="AB97" s="338" t="n"/>
      <c r="AC97" s="338" t="n"/>
      <c r="AD97" s="338" t="n"/>
      <c r="AE97" s="338" t="n"/>
      <c r="AF97" s="338" t="n"/>
      <c r="AG97" s="338" t="n"/>
      <c r="AH97" s="338" t="n"/>
      <c r="AI97" s="338" t="n"/>
      <c r="AJ97" s="338" t="n"/>
      <c r="AK97" s="338" t="n"/>
      <c r="AL97" s="338" t="n"/>
      <c r="AM97" s="338" t="n"/>
      <c r="AN97" s="338" t="n"/>
      <c r="AO97" s="338" t="n"/>
      <c r="AP97" s="338" t="n"/>
      <c r="AQ97" s="338" t="n"/>
      <c r="AR97" s="338" t="n"/>
      <c r="AS97" s="338" t="n"/>
      <c r="AT97" s="338" t="n"/>
      <c r="AU97" s="338" t="n"/>
      <c r="AV97" s="338" t="n"/>
      <c r="AW97" s="338" t="n"/>
      <c r="AX97" s="338" t="n"/>
      <c r="AY97" s="338" t="n"/>
      <c r="AZ97" s="338" t="n"/>
      <c r="BA97" s="338" t="n"/>
      <c r="BB97" s="338" t="n"/>
      <c r="BC97" s="338" t="n"/>
      <c r="BD97" s="338" t="n"/>
      <c r="BE97" s="338" t="n"/>
      <c r="BF97" s="338" t="n"/>
      <c r="BG97" s="338" t="n"/>
      <c r="BH97" s="338" t="n"/>
      <c r="BI97" s="338" t="n"/>
      <c r="BJ97" s="338" t="n"/>
      <c r="BK97" s="338" t="n"/>
      <c r="BL97" s="338" t="n"/>
      <c r="BM97" s="338" t="n"/>
      <c r="BN97" s="338" t="n"/>
      <c r="BO97" s="338" t="n"/>
      <c r="BP97" s="338" t="n"/>
      <c r="BQ97" s="338" t="n"/>
      <c r="BR97" s="338" t="n"/>
      <c r="BS97" s="338" t="n"/>
      <c r="BT97" s="338" t="n"/>
      <c r="BU97" s="338" t="n"/>
      <c r="BV97" s="338" t="n"/>
      <c r="BW97" s="338" t="n"/>
      <c r="BX97" s="338" t="n"/>
      <c r="BY97" s="338" t="n"/>
      <c r="BZ97" s="338" t="n"/>
      <c r="CA97" s="338" t="n"/>
      <c r="CB97" s="338" t="n"/>
      <c r="CC97" s="383" t="n"/>
      <c r="CF97" s="253" t="inlineStr">
        <is>
          <t>時間外</t>
        </is>
      </c>
      <c r="CG97" s="384" t="n"/>
      <c r="CH97" s="384" t="n"/>
      <c r="CI97" s="385" t="n"/>
      <c r="CJ97" s="386">
        <f>IF(Q95="作業者1",K98-K95,0)</f>
        <v/>
      </c>
      <c r="CK97" s="387" t="n"/>
      <c r="CL97" s="387" t="n"/>
      <c r="CM97" s="387" t="n"/>
      <c r="CN97" s="388" t="n"/>
      <c r="CP97" s="253" t="inlineStr">
        <is>
          <t>時間外</t>
        </is>
      </c>
      <c r="CQ97" s="384" t="n"/>
      <c r="CR97" s="384" t="n"/>
      <c r="CS97" s="385" t="n"/>
      <c r="CT97" s="386">
        <f>IF(Q95="作業者2",K98-K95,0)</f>
        <v/>
      </c>
      <c r="CU97" s="387" t="n"/>
      <c r="CV97" s="387" t="n"/>
      <c r="CW97" s="387" t="n"/>
      <c r="CX97" s="388" t="n"/>
      <c r="CZ97" s="253" t="inlineStr">
        <is>
          <t>時間外</t>
        </is>
      </c>
      <c r="DA97" s="384" t="n"/>
      <c r="DB97" s="384" t="n"/>
      <c r="DC97" s="385" t="n"/>
      <c r="DD97" s="386">
        <f>IF(Q95="作業者3",K98-K95,0)</f>
        <v/>
      </c>
      <c r="DE97" s="387" t="n"/>
      <c r="DF97" s="387" t="n"/>
      <c r="DG97" s="387" t="n"/>
      <c r="DH97" s="388" t="n"/>
      <c r="DJ97" s="253" t="inlineStr">
        <is>
          <t>時間外</t>
        </is>
      </c>
      <c r="DK97" s="384" t="n"/>
      <c r="DL97" s="384" t="n"/>
      <c r="DM97" s="385" t="n"/>
      <c r="DN97" s="386">
        <f>IF(Q95="作業者4",K98-K95,0)</f>
        <v/>
      </c>
      <c r="DO97" s="387" t="n"/>
      <c r="DP97" s="387" t="n"/>
      <c r="DQ97" s="387" t="n"/>
      <c r="DR97" s="388" t="n"/>
      <c r="DT97" s="253" t="inlineStr">
        <is>
          <t>時間外</t>
        </is>
      </c>
      <c r="DU97" s="384" t="n"/>
      <c r="DV97" s="384" t="n"/>
      <c r="DW97" s="385" t="n"/>
      <c r="DX97" s="386">
        <f>IF(Q95="作業者5",K98-K95,0)</f>
        <v/>
      </c>
      <c r="DY97" s="387" t="n"/>
      <c r="DZ97" s="387" t="n"/>
      <c r="EA97" s="387" t="n"/>
      <c r="EB97" s="388" t="n"/>
    </row>
    <row r="98" ht="9" customHeight="1" s="337">
      <c r="B98" s="389" t="n"/>
      <c r="C98" s="390" t="n"/>
      <c r="D98" s="391" t="n"/>
      <c r="E98" s="392" t="n"/>
      <c r="F98" s="390" t="n"/>
      <c r="G98" s="391" t="n"/>
      <c r="H98" s="392" t="n"/>
      <c r="I98" s="390" t="n"/>
      <c r="J98" s="391" t="n"/>
      <c r="K98" s="392" t="n"/>
      <c r="L98" s="390" t="n"/>
      <c r="M98" s="391" t="n"/>
      <c r="N98" s="392" t="n"/>
      <c r="O98" s="390" t="n"/>
      <c r="P98" s="391" t="n"/>
      <c r="Q98" s="393" t="n"/>
      <c r="R98" s="390" t="n"/>
      <c r="S98" s="391" t="n"/>
      <c r="T98" s="393" t="n"/>
      <c r="U98" s="390" t="n"/>
      <c r="V98" s="391" t="n"/>
      <c r="W98" s="393" t="n"/>
      <c r="X98" s="390" t="n"/>
      <c r="Y98" s="390" t="n"/>
      <c r="Z98" s="390" t="n"/>
      <c r="AA98" s="390" t="n"/>
      <c r="AB98" s="390" t="n"/>
      <c r="AC98" s="390" t="n"/>
      <c r="AD98" s="390" t="n"/>
      <c r="AE98" s="390" t="n"/>
      <c r="AF98" s="390" t="n"/>
      <c r="AG98" s="390" t="n"/>
      <c r="AH98" s="390" t="n"/>
      <c r="AI98" s="390" t="n"/>
      <c r="AJ98" s="390" t="n"/>
      <c r="AK98" s="390" t="n"/>
      <c r="AL98" s="390" t="n"/>
      <c r="AM98" s="390" t="n"/>
      <c r="AN98" s="390" t="n"/>
      <c r="AO98" s="390" t="n"/>
      <c r="AP98" s="390" t="n"/>
      <c r="AQ98" s="390" t="n"/>
      <c r="AR98" s="390" t="n"/>
      <c r="AS98" s="390" t="n"/>
      <c r="AT98" s="390" t="n"/>
      <c r="AU98" s="390" t="n"/>
      <c r="AV98" s="390" t="n"/>
      <c r="AW98" s="390" t="n"/>
      <c r="AX98" s="390" t="n"/>
      <c r="AY98" s="390" t="n"/>
      <c r="AZ98" s="390" t="n"/>
      <c r="BA98" s="390" t="n"/>
      <c r="BB98" s="390" t="n"/>
      <c r="BC98" s="390" t="n"/>
      <c r="BD98" s="390" t="n"/>
      <c r="BE98" s="390" t="n"/>
      <c r="BF98" s="390" t="n"/>
      <c r="BG98" s="390" t="n"/>
      <c r="BH98" s="390" t="n"/>
      <c r="BI98" s="390" t="n"/>
      <c r="BJ98" s="390" t="n"/>
      <c r="BK98" s="390" t="n"/>
      <c r="BL98" s="390" t="n"/>
      <c r="BM98" s="390" t="n"/>
      <c r="BN98" s="390" t="n"/>
      <c r="BO98" s="390" t="n"/>
      <c r="BP98" s="390" t="n"/>
      <c r="BQ98" s="390" t="n"/>
      <c r="BR98" s="390" t="n"/>
      <c r="BS98" s="390" t="n"/>
      <c r="BT98" s="390" t="n"/>
      <c r="BU98" s="390" t="n"/>
      <c r="BV98" s="390" t="n"/>
      <c r="BW98" s="390" t="n"/>
      <c r="BX98" s="390" t="n"/>
      <c r="BY98" s="390" t="n"/>
      <c r="BZ98" s="390" t="n"/>
      <c r="CA98" s="390" t="n"/>
      <c r="CB98" s="390" t="n"/>
      <c r="CC98" s="394" t="n"/>
      <c r="CF98" s="254" t="inlineStr">
        <is>
          <t>休日</t>
        </is>
      </c>
      <c r="CG98" s="395" t="n"/>
      <c r="CH98" s="395" t="n"/>
      <c r="CI98" s="396" t="n"/>
      <c r="CJ98" s="386">
        <f>IF(Q95="作業者1",N98-N95,0)</f>
        <v/>
      </c>
      <c r="CK98" s="387" t="n"/>
      <c r="CL98" s="387" t="n"/>
      <c r="CM98" s="387" t="n"/>
      <c r="CN98" s="388" t="n"/>
      <c r="CP98" s="253" t="inlineStr">
        <is>
          <t>休日</t>
        </is>
      </c>
      <c r="CQ98" s="384" t="n"/>
      <c r="CR98" s="384" t="n"/>
      <c r="CS98" s="385" t="n"/>
      <c r="CT98" s="386">
        <f>IF(Q95="作業者2",N98-N95,0)</f>
        <v/>
      </c>
      <c r="CU98" s="387" t="n"/>
      <c r="CV98" s="387" t="n"/>
      <c r="CW98" s="387" t="n"/>
      <c r="CX98" s="388" t="n"/>
      <c r="CZ98" s="254" t="inlineStr">
        <is>
          <t>休日</t>
        </is>
      </c>
      <c r="DA98" s="395" t="n"/>
      <c r="DB98" s="395" t="n"/>
      <c r="DC98" s="396" t="n"/>
      <c r="DD98" s="397">
        <f>IF(Q95="作業者3",N98-N95,0)</f>
        <v/>
      </c>
      <c r="DE98" s="395" t="n"/>
      <c r="DF98" s="395" t="n"/>
      <c r="DG98" s="395" t="n"/>
      <c r="DH98" s="396" t="n"/>
      <c r="DJ98" s="254" t="inlineStr">
        <is>
          <t>休日</t>
        </is>
      </c>
      <c r="DK98" s="395" t="n"/>
      <c r="DL98" s="395" t="n"/>
      <c r="DM98" s="396" t="n"/>
      <c r="DN98" s="397">
        <f>IF(Q95="作業者4",N98-N95,0)</f>
        <v/>
      </c>
      <c r="DO98" s="395" t="n"/>
      <c r="DP98" s="395" t="n"/>
      <c r="DQ98" s="395" t="n"/>
      <c r="DR98" s="396" t="n"/>
      <c r="DT98" s="254" t="inlineStr">
        <is>
          <t>休日</t>
        </is>
      </c>
      <c r="DU98" s="395" t="n"/>
      <c r="DV98" s="395" t="n"/>
      <c r="DW98" s="396" t="n"/>
      <c r="DX98" s="397">
        <f>IF(Q95="作業者5",N98-N95,0)</f>
        <v/>
      </c>
      <c r="DY98" s="395" t="n"/>
      <c r="DZ98" s="395" t="n"/>
      <c r="EA98" s="395" t="n"/>
      <c r="EB98" s="396" t="n"/>
    </row>
    <row r="99" ht="9" customHeight="1" s="337">
      <c r="B99" s="398" t="n"/>
      <c r="C99" s="372" t="n"/>
      <c r="D99" s="373" t="n"/>
      <c r="E99" s="399" t="n"/>
      <c r="F99" s="372" t="n"/>
      <c r="G99" s="373" t="n"/>
      <c r="H99" s="399" t="n"/>
      <c r="I99" s="372" t="n"/>
      <c r="J99" s="373" t="n"/>
      <c r="K99" s="399" t="n"/>
      <c r="L99" s="372" t="n"/>
      <c r="M99" s="373" t="n"/>
      <c r="N99" s="399" t="n"/>
      <c r="O99" s="372" t="n"/>
      <c r="P99" s="373" t="n"/>
      <c r="Q99" s="371" t="n"/>
      <c r="R99" s="372" t="n"/>
      <c r="S99" s="373" t="n"/>
      <c r="T99" s="371" t="n"/>
      <c r="U99" s="372" t="n"/>
      <c r="V99" s="373" t="n"/>
      <c r="W99" s="443" t="n"/>
      <c r="X99" s="372" t="n"/>
      <c r="Y99" s="372" t="n"/>
      <c r="Z99" s="372" t="n"/>
      <c r="AA99" s="372" t="n"/>
      <c r="AB99" s="372" t="n"/>
      <c r="AC99" s="372" t="n"/>
      <c r="AD99" s="372" t="n"/>
      <c r="AE99" s="372" t="n"/>
      <c r="AF99" s="372" t="n"/>
      <c r="AG99" s="372" t="n"/>
      <c r="AH99" s="372" t="n"/>
      <c r="AI99" s="372" t="n"/>
      <c r="AJ99" s="372" t="n"/>
      <c r="AK99" s="372" t="n"/>
      <c r="AL99" s="372" t="n"/>
      <c r="AM99" s="372" t="n"/>
      <c r="AN99" s="372" t="n"/>
      <c r="AO99" s="372" t="n"/>
      <c r="AP99" s="372" t="n"/>
      <c r="AQ99" s="372" t="n"/>
      <c r="AR99" s="372" t="n"/>
      <c r="AS99" s="372" t="n"/>
      <c r="AT99" s="372" t="n"/>
      <c r="AU99" s="372" t="n"/>
      <c r="AV99" s="372" t="n"/>
      <c r="AW99" s="372" t="n"/>
      <c r="AX99" s="372" t="n"/>
      <c r="AY99" s="372" t="n"/>
      <c r="AZ99" s="372" t="n"/>
      <c r="BA99" s="372" t="n"/>
      <c r="BB99" s="372" t="n"/>
      <c r="BC99" s="372" t="n"/>
      <c r="BD99" s="372" t="n"/>
      <c r="BE99" s="372" t="n"/>
      <c r="BF99" s="372" t="n"/>
      <c r="BG99" s="372" t="n"/>
      <c r="BH99" s="372" t="n"/>
      <c r="BI99" s="372" t="n"/>
      <c r="BJ99" s="372" t="n"/>
      <c r="BK99" s="372" t="n"/>
      <c r="BL99" s="372" t="n"/>
      <c r="BM99" s="372" t="n"/>
      <c r="BN99" s="372" t="n"/>
      <c r="BO99" s="372" t="n"/>
      <c r="BP99" s="372" t="n"/>
      <c r="BQ99" s="372" t="n"/>
      <c r="BR99" s="372" t="n"/>
      <c r="BS99" s="372" t="n"/>
      <c r="BT99" s="372" t="n"/>
      <c r="BU99" s="372" t="n"/>
      <c r="BV99" s="372" t="n"/>
      <c r="BW99" s="372" t="n"/>
      <c r="BX99" s="372" t="n"/>
      <c r="BY99" s="372" t="n"/>
      <c r="BZ99" s="372" t="n"/>
      <c r="CA99" s="372" t="n"/>
      <c r="CB99" s="372" t="n"/>
      <c r="CC99" s="402" t="n"/>
      <c r="CF99" s="259" t="inlineStr">
        <is>
          <t>移動</t>
        </is>
      </c>
      <c r="CG99" s="403" t="n"/>
      <c r="CH99" s="403" t="n"/>
      <c r="CI99" s="404" t="n"/>
      <c r="CJ99" s="379">
        <f>IF(Q99="作業者1",E102-E99,0)</f>
        <v/>
      </c>
      <c r="CK99" s="377" t="n"/>
      <c r="CL99" s="377" t="n"/>
      <c r="CM99" s="377" t="n"/>
      <c r="CN99" s="378" t="n"/>
      <c r="CP99" s="248" t="inlineStr">
        <is>
          <t>移動</t>
        </is>
      </c>
      <c r="CQ99" s="377" t="n"/>
      <c r="CR99" s="377" t="n"/>
      <c r="CS99" s="378" t="n"/>
      <c r="CT99" s="379">
        <f>IF(Q99="作業者2",E102-E99,0)</f>
        <v/>
      </c>
      <c r="CU99" s="377" t="n"/>
      <c r="CV99" s="377" t="n"/>
      <c r="CW99" s="377" t="n"/>
      <c r="CX99" s="378" t="n"/>
      <c r="CZ99" s="259" t="inlineStr">
        <is>
          <t>移動</t>
        </is>
      </c>
      <c r="DA99" s="403" t="n"/>
      <c r="DB99" s="403" t="n"/>
      <c r="DC99" s="404" t="n"/>
      <c r="DD99" s="405">
        <f>IF(Q99="作業者3",E102-E99,0)</f>
        <v/>
      </c>
      <c r="DE99" s="406" t="n"/>
      <c r="DF99" s="406" t="n"/>
      <c r="DG99" s="406" t="n"/>
      <c r="DH99" s="407" t="n"/>
      <c r="DJ99" s="259" t="inlineStr">
        <is>
          <t>移動</t>
        </is>
      </c>
      <c r="DK99" s="403" t="n"/>
      <c r="DL99" s="403" t="n"/>
      <c r="DM99" s="404" t="n"/>
      <c r="DN99" s="379">
        <f>IF(Q99="作業者4",E102-E99,0)</f>
        <v/>
      </c>
      <c r="DO99" s="377" t="n"/>
      <c r="DP99" s="377" t="n"/>
      <c r="DQ99" s="377" t="n"/>
      <c r="DR99" s="378" t="n"/>
      <c r="DT99" s="259" t="inlineStr">
        <is>
          <t>移動</t>
        </is>
      </c>
      <c r="DU99" s="403" t="n"/>
      <c r="DV99" s="403" t="n"/>
      <c r="DW99" s="404" t="n"/>
      <c r="DX99" s="379">
        <f>IF(Q99="作業者5",E102-E99,0)</f>
        <v/>
      </c>
      <c r="DY99" s="377" t="n"/>
      <c r="DZ99" s="377" t="n"/>
      <c r="EA99" s="377" t="n"/>
      <c r="EB99" s="378" t="n"/>
    </row>
    <row r="100" ht="9" customHeight="1" s="337">
      <c r="B100" s="350" t="n"/>
      <c r="C100" s="338" t="n"/>
      <c r="D100" s="380" t="n"/>
      <c r="E100" s="381" t="n"/>
      <c r="F100" s="122" t="inlineStr">
        <is>
          <t>～</t>
        </is>
      </c>
      <c r="G100" s="22" t="n"/>
      <c r="H100" s="381" t="n"/>
      <c r="I100" s="122" t="inlineStr">
        <is>
          <t>～</t>
        </is>
      </c>
      <c r="J100" s="22" t="n"/>
      <c r="K100" s="381" t="n"/>
      <c r="L100" s="122" t="inlineStr">
        <is>
          <t>～</t>
        </is>
      </c>
      <c r="M100" s="22" t="n"/>
      <c r="N100" s="381" t="n"/>
      <c r="O100" s="122" t="inlineStr">
        <is>
          <t>～</t>
        </is>
      </c>
      <c r="P100" s="22" t="n"/>
      <c r="Q100" s="382" t="n"/>
      <c r="R100" s="338" t="n"/>
      <c r="S100" s="380" t="n"/>
      <c r="T100" s="382" t="n"/>
      <c r="U100" s="338" t="n"/>
      <c r="V100" s="380" t="n"/>
      <c r="W100" s="382" t="n"/>
      <c r="X100" s="338" t="n"/>
      <c r="Y100" s="338" t="n"/>
      <c r="Z100" s="338" t="n"/>
      <c r="AA100" s="338" t="n"/>
      <c r="AB100" s="338" t="n"/>
      <c r="AC100" s="338" t="n"/>
      <c r="AD100" s="338" t="n"/>
      <c r="AE100" s="338" t="n"/>
      <c r="AF100" s="338" t="n"/>
      <c r="AG100" s="338" t="n"/>
      <c r="AH100" s="338" t="n"/>
      <c r="AI100" s="338" t="n"/>
      <c r="AJ100" s="338" t="n"/>
      <c r="AK100" s="338" t="n"/>
      <c r="AL100" s="338" t="n"/>
      <c r="AM100" s="338" t="n"/>
      <c r="AN100" s="338" t="n"/>
      <c r="AO100" s="338" t="n"/>
      <c r="AP100" s="338" t="n"/>
      <c r="AQ100" s="338" t="n"/>
      <c r="AR100" s="338" t="n"/>
      <c r="AS100" s="338" t="n"/>
      <c r="AT100" s="338" t="n"/>
      <c r="AU100" s="338" t="n"/>
      <c r="AV100" s="338" t="n"/>
      <c r="AW100" s="338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83" t="n"/>
      <c r="CF100" s="253" t="inlineStr">
        <is>
          <t>時間内</t>
        </is>
      </c>
      <c r="CG100" s="384" t="n"/>
      <c r="CH100" s="384" t="n"/>
      <c r="CI100" s="385" t="n"/>
      <c r="CJ100" s="386">
        <f>IF(Q99="作業者1",H102-H99,0)</f>
        <v/>
      </c>
      <c r="CK100" s="387" t="n"/>
      <c r="CL100" s="387" t="n"/>
      <c r="CM100" s="387" t="n"/>
      <c r="CN100" s="388" t="n"/>
      <c r="CP100" s="253" t="inlineStr">
        <is>
          <t>時間内</t>
        </is>
      </c>
      <c r="CQ100" s="384" t="n"/>
      <c r="CR100" s="384" t="n"/>
      <c r="CS100" s="385" t="n"/>
      <c r="CT100" s="386">
        <f>IF(Q99="作業者2",H102-H99,0)</f>
        <v/>
      </c>
      <c r="CU100" s="387" t="n"/>
      <c r="CV100" s="387" t="n"/>
      <c r="CW100" s="387" t="n"/>
      <c r="CX100" s="388" t="n"/>
      <c r="CZ100" s="253" t="inlineStr">
        <is>
          <t>時間内</t>
        </is>
      </c>
      <c r="DA100" s="384" t="n"/>
      <c r="DB100" s="384" t="n"/>
      <c r="DC100" s="385" t="n"/>
      <c r="DD100" s="386">
        <f>IF(Q99="作業者3",H102-H99,0)</f>
        <v/>
      </c>
      <c r="DE100" s="387" t="n"/>
      <c r="DF100" s="387" t="n"/>
      <c r="DG100" s="387" t="n"/>
      <c r="DH100" s="388" t="n"/>
      <c r="DJ100" s="253" t="inlineStr">
        <is>
          <t>時間内</t>
        </is>
      </c>
      <c r="DK100" s="384" t="n"/>
      <c r="DL100" s="384" t="n"/>
      <c r="DM100" s="385" t="n"/>
      <c r="DN100" s="386">
        <f>IF(Q99="作業者4",H102-H99,0)</f>
        <v/>
      </c>
      <c r="DO100" s="387" t="n"/>
      <c r="DP100" s="387" t="n"/>
      <c r="DQ100" s="387" t="n"/>
      <c r="DR100" s="388" t="n"/>
      <c r="DT100" s="253" t="inlineStr">
        <is>
          <t>時間内</t>
        </is>
      </c>
      <c r="DU100" s="384" t="n"/>
      <c r="DV100" s="384" t="n"/>
      <c r="DW100" s="385" t="n"/>
      <c r="DX100" s="386">
        <f>IF(Q99="作業者5",H102-H99,0)</f>
        <v/>
      </c>
      <c r="DY100" s="387" t="n"/>
      <c r="DZ100" s="387" t="n"/>
      <c r="EA100" s="387" t="n"/>
      <c r="EB100" s="388" t="n"/>
    </row>
    <row r="101" ht="9" customHeight="1" s="337">
      <c r="B101" s="350" t="n"/>
      <c r="C101" s="338" t="n"/>
      <c r="D101" s="380" t="n"/>
      <c r="E101" s="23" t="n"/>
      <c r="F101" s="338" t="n"/>
      <c r="G101" s="24" t="n"/>
      <c r="H101" s="23" t="n"/>
      <c r="I101" s="338" t="n"/>
      <c r="J101" s="24" t="n"/>
      <c r="K101" s="23" t="n"/>
      <c r="L101" s="338" t="n"/>
      <c r="M101" s="24" t="n"/>
      <c r="N101" s="23" t="n"/>
      <c r="O101" s="338" t="n"/>
      <c r="P101" s="24" t="n"/>
      <c r="Q101" s="382" t="n"/>
      <c r="R101" s="338" t="n"/>
      <c r="S101" s="380" t="n"/>
      <c r="T101" s="382" t="n"/>
      <c r="U101" s="338" t="n"/>
      <c r="V101" s="380" t="n"/>
      <c r="W101" s="382" t="n"/>
      <c r="X101" s="338" t="n"/>
      <c r="Y101" s="338" t="n"/>
      <c r="Z101" s="338" t="n"/>
      <c r="AA101" s="338" t="n"/>
      <c r="AB101" s="338" t="n"/>
      <c r="AC101" s="338" t="n"/>
      <c r="AD101" s="338" t="n"/>
      <c r="AE101" s="338" t="n"/>
      <c r="AF101" s="338" t="n"/>
      <c r="AG101" s="338" t="n"/>
      <c r="AH101" s="338" t="n"/>
      <c r="AI101" s="338" t="n"/>
      <c r="AJ101" s="338" t="n"/>
      <c r="AK101" s="338" t="n"/>
      <c r="AL101" s="338" t="n"/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38" t="n"/>
      <c r="AW101" s="338" t="n"/>
      <c r="AX101" s="338" t="n"/>
      <c r="AY101" s="338" t="n"/>
      <c r="AZ101" s="338" t="n"/>
      <c r="BA101" s="338" t="n"/>
      <c r="BB101" s="338" t="n"/>
      <c r="BC101" s="338" t="n"/>
      <c r="BD101" s="338" t="n"/>
      <c r="BE101" s="338" t="n"/>
      <c r="BF101" s="338" t="n"/>
      <c r="BG101" s="338" t="n"/>
      <c r="BH101" s="338" t="n"/>
      <c r="BI101" s="338" t="n"/>
      <c r="BJ101" s="338" t="n"/>
      <c r="BK101" s="338" t="n"/>
      <c r="BL101" s="338" t="n"/>
      <c r="BM101" s="338" t="n"/>
      <c r="BN101" s="338" t="n"/>
      <c r="BO101" s="338" t="n"/>
      <c r="BP101" s="338" t="n"/>
      <c r="BQ101" s="338" t="n"/>
      <c r="BR101" s="338" t="n"/>
      <c r="BS101" s="338" t="n"/>
      <c r="BT101" s="338" t="n"/>
      <c r="BU101" s="338" t="n"/>
      <c r="BV101" s="338" t="n"/>
      <c r="BW101" s="338" t="n"/>
      <c r="BX101" s="338" t="n"/>
      <c r="BY101" s="338" t="n"/>
      <c r="BZ101" s="338" t="n"/>
      <c r="CA101" s="338" t="n"/>
      <c r="CB101" s="338" t="n"/>
      <c r="CC101" s="383" t="n"/>
      <c r="CF101" s="253" t="inlineStr">
        <is>
          <t>時間外</t>
        </is>
      </c>
      <c r="CG101" s="384" t="n"/>
      <c r="CH101" s="384" t="n"/>
      <c r="CI101" s="385" t="n"/>
      <c r="CJ101" s="386">
        <f>IF(Q99="作業者1",K102-K99,0)</f>
        <v/>
      </c>
      <c r="CK101" s="387" t="n"/>
      <c r="CL101" s="387" t="n"/>
      <c r="CM101" s="387" t="n"/>
      <c r="CN101" s="388" t="n"/>
      <c r="CP101" s="253" t="inlineStr">
        <is>
          <t>時間外</t>
        </is>
      </c>
      <c r="CQ101" s="384" t="n"/>
      <c r="CR101" s="384" t="n"/>
      <c r="CS101" s="385" t="n"/>
      <c r="CT101" s="386">
        <f>IF(Q99="作業者2",K102-K99,0)</f>
        <v/>
      </c>
      <c r="CU101" s="387" t="n"/>
      <c r="CV101" s="387" t="n"/>
      <c r="CW101" s="387" t="n"/>
      <c r="CX101" s="388" t="n"/>
      <c r="CZ101" s="253" t="inlineStr">
        <is>
          <t>時間外</t>
        </is>
      </c>
      <c r="DA101" s="384" t="n"/>
      <c r="DB101" s="384" t="n"/>
      <c r="DC101" s="385" t="n"/>
      <c r="DD101" s="386">
        <f>IF(Q99="作業者3",K102-K99,0)</f>
        <v/>
      </c>
      <c r="DE101" s="387" t="n"/>
      <c r="DF101" s="387" t="n"/>
      <c r="DG101" s="387" t="n"/>
      <c r="DH101" s="388" t="n"/>
      <c r="DJ101" s="253" t="inlineStr">
        <is>
          <t>時間外</t>
        </is>
      </c>
      <c r="DK101" s="384" t="n"/>
      <c r="DL101" s="384" t="n"/>
      <c r="DM101" s="385" t="n"/>
      <c r="DN101" s="386">
        <f>IF(Q99="作業者4",K102-K99,0)</f>
        <v/>
      </c>
      <c r="DO101" s="387" t="n"/>
      <c r="DP101" s="387" t="n"/>
      <c r="DQ101" s="387" t="n"/>
      <c r="DR101" s="388" t="n"/>
      <c r="DT101" s="253" t="inlineStr">
        <is>
          <t>時間外</t>
        </is>
      </c>
      <c r="DU101" s="384" t="n"/>
      <c r="DV101" s="384" t="n"/>
      <c r="DW101" s="385" t="n"/>
      <c r="DX101" s="386">
        <f>IF(Q99="作業者5",K102-K99,0)</f>
        <v/>
      </c>
      <c r="DY101" s="387" t="n"/>
      <c r="DZ101" s="387" t="n"/>
      <c r="EA101" s="387" t="n"/>
      <c r="EB101" s="388" t="n"/>
    </row>
    <row r="102" ht="9" customHeight="1" s="337">
      <c r="B102" s="389" t="n"/>
      <c r="C102" s="390" t="n"/>
      <c r="D102" s="391" t="n"/>
      <c r="E102" s="392" t="n"/>
      <c r="F102" s="390" t="n"/>
      <c r="G102" s="391" t="n"/>
      <c r="H102" s="392" t="n"/>
      <c r="I102" s="390" t="n"/>
      <c r="J102" s="391" t="n"/>
      <c r="K102" s="392" t="n"/>
      <c r="L102" s="390" t="n"/>
      <c r="M102" s="391" t="n"/>
      <c r="N102" s="392" t="n"/>
      <c r="O102" s="390" t="n"/>
      <c r="P102" s="391" t="n"/>
      <c r="Q102" s="393" t="n"/>
      <c r="R102" s="390" t="n"/>
      <c r="S102" s="391" t="n"/>
      <c r="T102" s="393" t="n"/>
      <c r="U102" s="390" t="n"/>
      <c r="V102" s="391" t="n"/>
      <c r="W102" s="393" t="n"/>
      <c r="X102" s="390" t="n"/>
      <c r="Y102" s="390" t="n"/>
      <c r="Z102" s="390" t="n"/>
      <c r="AA102" s="390" t="n"/>
      <c r="AB102" s="390" t="n"/>
      <c r="AC102" s="390" t="n"/>
      <c r="AD102" s="390" t="n"/>
      <c r="AE102" s="390" t="n"/>
      <c r="AF102" s="390" t="n"/>
      <c r="AG102" s="390" t="n"/>
      <c r="AH102" s="390" t="n"/>
      <c r="AI102" s="390" t="n"/>
      <c r="AJ102" s="390" t="n"/>
      <c r="AK102" s="390" t="n"/>
      <c r="AL102" s="390" t="n"/>
      <c r="AM102" s="390" t="n"/>
      <c r="AN102" s="390" t="n"/>
      <c r="AO102" s="390" t="n"/>
      <c r="AP102" s="390" t="n"/>
      <c r="AQ102" s="390" t="n"/>
      <c r="AR102" s="390" t="n"/>
      <c r="AS102" s="390" t="n"/>
      <c r="AT102" s="390" t="n"/>
      <c r="AU102" s="390" t="n"/>
      <c r="AV102" s="390" t="n"/>
      <c r="AW102" s="390" t="n"/>
      <c r="AX102" s="390" t="n"/>
      <c r="AY102" s="390" t="n"/>
      <c r="AZ102" s="390" t="n"/>
      <c r="BA102" s="390" t="n"/>
      <c r="BB102" s="390" t="n"/>
      <c r="BC102" s="390" t="n"/>
      <c r="BD102" s="390" t="n"/>
      <c r="BE102" s="390" t="n"/>
      <c r="BF102" s="390" t="n"/>
      <c r="BG102" s="390" t="n"/>
      <c r="BH102" s="390" t="n"/>
      <c r="BI102" s="390" t="n"/>
      <c r="BJ102" s="390" t="n"/>
      <c r="BK102" s="390" t="n"/>
      <c r="BL102" s="390" t="n"/>
      <c r="BM102" s="390" t="n"/>
      <c r="BN102" s="390" t="n"/>
      <c r="BO102" s="390" t="n"/>
      <c r="BP102" s="390" t="n"/>
      <c r="BQ102" s="390" t="n"/>
      <c r="BR102" s="390" t="n"/>
      <c r="BS102" s="390" t="n"/>
      <c r="BT102" s="390" t="n"/>
      <c r="BU102" s="390" t="n"/>
      <c r="BV102" s="390" t="n"/>
      <c r="BW102" s="390" t="n"/>
      <c r="BX102" s="390" t="n"/>
      <c r="BY102" s="390" t="n"/>
      <c r="BZ102" s="390" t="n"/>
      <c r="CA102" s="390" t="n"/>
      <c r="CB102" s="390" t="n"/>
      <c r="CC102" s="394" t="n"/>
      <c r="CF102" s="254" t="inlineStr">
        <is>
          <t>休日</t>
        </is>
      </c>
      <c r="CG102" s="395" t="n"/>
      <c r="CH102" s="395" t="n"/>
      <c r="CI102" s="396" t="n"/>
      <c r="CJ102" s="397">
        <f>IF(Q99="作業者1",N102-N99,0)</f>
        <v/>
      </c>
      <c r="CK102" s="395" t="n"/>
      <c r="CL102" s="395" t="n"/>
      <c r="CM102" s="395" t="n"/>
      <c r="CN102" s="396" t="n"/>
      <c r="CP102" s="254" t="inlineStr">
        <is>
          <t>休日</t>
        </is>
      </c>
      <c r="CQ102" s="395" t="n"/>
      <c r="CR102" s="395" t="n"/>
      <c r="CS102" s="396" t="n"/>
      <c r="CT102" s="397">
        <f>IF(Q99="作業者2",N102-N99,0)</f>
        <v/>
      </c>
      <c r="CU102" s="395" t="n"/>
      <c r="CV102" s="395" t="n"/>
      <c r="CW102" s="395" t="n"/>
      <c r="CX102" s="396" t="n"/>
      <c r="CZ102" s="254" t="inlineStr">
        <is>
          <t>休日</t>
        </is>
      </c>
      <c r="DA102" s="395" t="n"/>
      <c r="DB102" s="395" t="n"/>
      <c r="DC102" s="396" t="n"/>
      <c r="DD102" s="397">
        <f>IF(Q99="作業者3",N102-N99,0)</f>
        <v/>
      </c>
      <c r="DE102" s="395" t="n"/>
      <c r="DF102" s="395" t="n"/>
      <c r="DG102" s="395" t="n"/>
      <c r="DH102" s="396" t="n"/>
      <c r="DJ102" s="254" t="inlineStr">
        <is>
          <t>休日</t>
        </is>
      </c>
      <c r="DK102" s="395" t="n"/>
      <c r="DL102" s="395" t="n"/>
      <c r="DM102" s="396" t="n"/>
      <c r="DN102" s="397">
        <f>IF(Q99="作業者4",N102-N99,0)</f>
        <v/>
      </c>
      <c r="DO102" s="395" t="n"/>
      <c r="DP102" s="395" t="n"/>
      <c r="DQ102" s="395" t="n"/>
      <c r="DR102" s="396" t="n"/>
      <c r="DT102" s="254" t="inlineStr">
        <is>
          <t>休日</t>
        </is>
      </c>
      <c r="DU102" s="395" t="n"/>
      <c r="DV102" s="395" t="n"/>
      <c r="DW102" s="396" t="n"/>
      <c r="DX102" s="397">
        <f>IF(Q99="作業者5",N102-N99,0)</f>
        <v/>
      </c>
      <c r="DY102" s="395" t="n"/>
      <c r="DZ102" s="395" t="n"/>
      <c r="EA102" s="395" t="n"/>
      <c r="EB102" s="396" t="n"/>
    </row>
    <row r="103" ht="9" customHeight="1" s="337">
      <c r="B103" s="398" t="n"/>
      <c r="C103" s="372" t="n"/>
      <c r="D103" s="373" t="n"/>
      <c r="E103" s="399" t="n"/>
      <c r="F103" s="372" t="n"/>
      <c r="G103" s="373" t="n"/>
      <c r="H103" s="399" t="n"/>
      <c r="I103" s="372" t="n"/>
      <c r="J103" s="373" t="n"/>
      <c r="K103" s="399" t="n"/>
      <c r="L103" s="372" t="n"/>
      <c r="M103" s="373" t="n"/>
      <c r="N103" s="399" t="n"/>
      <c r="O103" s="372" t="n"/>
      <c r="P103" s="373" t="n"/>
      <c r="Q103" s="371" t="n"/>
      <c r="R103" s="372" t="n"/>
      <c r="S103" s="373" t="n"/>
      <c r="T103" s="371" t="n"/>
      <c r="U103" s="372" t="n"/>
      <c r="V103" s="373" t="n"/>
      <c r="W103" s="443" t="n"/>
      <c r="X103" s="372" t="n"/>
      <c r="Y103" s="372" t="n"/>
      <c r="Z103" s="372" t="n"/>
      <c r="AA103" s="372" t="n"/>
      <c r="AB103" s="372" t="n"/>
      <c r="AC103" s="372" t="n"/>
      <c r="AD103" s="372" t="n"/>
      <c r="AE103" s="372" t="n"/>
      <c r="AF103" s="372" t="n"/>
      <c r="AG103" s="372" t="n"/>
      <c r="AH103" s="372" t="n"/>
      <c r="AI103" s="372" t="n"/>
      <c r="AJ103" s="372" t="n"/>
      <c r="AK103" s="372" t="n"/>
      <c r="AL103" s="372" t="n"/>
      <c r="AM103" s="372" t="n"/>
      <c r="AN103" s="372" t="n"/>
      <c r="AO103" s="372" t="n"/>
      <c r="AP103" s="372" t="n"/>
      <c r="AQ103" s="372" t="n"/>
      <c r="AR103" s="372" t="n"/>
      <c r="AS103" s="372" t="n"/>
      <c r="AT103" s="372" t="n"/>
      <c r="AU103" s="372" t="n"/>
      <c r="AV103" s="372" t="n"/>
      <c r="AW103" s="372" t="n"/>
      <c r="AX103" s="372" t="n"/>
      <c r="AY103" s="372" t="n"/>
      <c r="AZ103" s="372" t="n"/>
      <c r="BA103" s="372" t="n"/>
      <c r="BB103" s="372" t="n"/>
      <c r="BC103" s="372" t="n"/>
      <c r="BD103" s="372" t="n"/>
      <c r="BE103" s="372" t="n"/>
      <c r="BF103" s="372" t="n"/>
      <c r="BG103" s="372" t="n"/>
      <c r="BH103" s="372" t="n"/>
      <c r="BI103" s="372" t="n"/>
      <c r="BJ103" s="372" t="n"/>
      <c r="BK103" s="372" t="n"/>
      <c r="BL103" s="372" t="n"/>
      <c r="BM103" s="372" t="n"/>
      <c r="BN103" s="372" t="n"/>
      <c r="BO103" s="372" t="n"/>
      <c r="BP103" s="372" t="n"/>
      <c r="BQ103" s="372" t="n"/>
      <c r="BR103" s="372" t="n"/>
      <c r="BS103" s="372" t="n"/>
      <c r="BT103" s="372" t="n"/>
      <c r="BU103" s="372" t="n"/>
      <c r="BV103" s="372" t="n"/>
      <c r="BW103" s="372" t="n"/>
      <c r="BX103" s="372" t="n"/>
      <c r="BY103" s="372" t="n"/>
      <c r="BZ103" s="372" t="n"/>
      <c r="CA103" s="372" t="n"/>
      <c r="CB103" s="372" t="n"/>
      <c r="CC103" s="402" t="n"/>
      <c r="CF103" s="248" t="inlineStr">
        <is>
          <t>移動</t>
        </is>
      </c>
      <c r="CG103" s="377" t="n"/>
      <c r="CH103" s="377" t="n"/>
      <c r="CI103" s="378" t="n"/>
      <c r="CJ103" s="379">
        <f>IF(Q103="作業者1",E106-E103,0)</f>
        <v/>
      </c>
      <c r="CK103" s="377" t="n"/>
      <c r="CL103" s="377" t="n"/>
      <c r="CM103" s="377" t="n"/>
      <c r="CN103" s="378" t="n"/>
      <c r="CP103" s="248" t="inlineStr">
        <is>
          <t>移動</t>
        </is>
      </c>
      <c r="CQ103" s="377" t="n"/>
      <c r="CR103" s="377" t="n"/>
      <c r="CS103" s="378" t="n"/>
      <c r="CT103" s="379">
        <f>IF(Q103="作業者2",E106-E103,0)</f>
        <v/>
      </c>
      <c r="CU103" s="377" t="n"/>
      <c r="CV103" s="377" t="n"/>
      <c r="CW103" s="377" t="n"/>
      <c r="CX103" s="378" t="n"/>
      <c r="CZ103" s="248" t="inlineStr">
        <is>
          <t>移動</t>
        </is>
      </c>
      <c r="DA103" s="377" t="n"/>
      <c r="DB103" s="377" t="n"/>
      <c r="DC103" s="378" t="n"/>
      <c r="DD103" s="379">
        <f>IF(Q103="作業者3",E106-E103,0)</f>
        <v/>
      </c>
      <c r="DE103" s="377" t="n"/>
      <c r="DF103" s="377" t="n"/>
      <c r="DG103" s="377" t="n"/>
      <c r="DH103" s="378" t="n"/>
      <c r="DJ103" s="248" t="inlineStr">
        <is>
          <t>移動</t>
        </is>
      </c>
      <c r="DK103" s="377" t="n"/>
      <c r="DL103" s="377" t="n"/>
      <c r="DM103" s="378" t="n"/>
      <c r="DN103" s="379">
        <f>IF(Q103="作業者4",E106-E103,0)</f>
        <v/>
      </c>
      <c r="DO103" s="377" t="n"/>
      <c r="DP103" s="377" t="n"/>
      <c r="DQ103" s="377" t="n"/>
      <c r="DR103" s="378" t="n"/>
      <c r="DT103" s="259" t="inlineStr">
        <is>
          <t>移動</t>
        </is>
      </c>
      <c r="DU103" s="403" t="n"/>
      <c r="DV103" s="403" t="n"/>
      <c r="DW103" s="404" t="n"/>
      <c r="DX103" s="379">
        <f>IF(Q103="作業者5",E106-E103,0)</f>
        <v/>
      </c>
      <c r="DY103" s="377" t="n"/>
      <c r="DZ103" s="377" t="n"/>
      <c r="EA103" s="377" t="n"/>
      <c r="EB103" s="378" t="n"/>
    </row>
    <row r="104" ht="9" customHeight="1" s="337">
      <c r="B104" s="350" t="n"/>
      <c r="C104" s="338" t="n"/>
      <c r="D104" s="380" t="n"/>
      <c r="E104" s="381" t="n"/>
      <c r="F104" s="122" t="inlineStr">
        <is>
          <t>～</t>
        </is>
      </c>
      <c r="G104" s="22" t="n"/>
      <c r="H104" s="381" t="n"/>
      <c r="I104" s="122" t="inlineStr">
        <is>
          <t>～</t>
        </is>
      </c>
      <c r="J104" s="22" t="n"/>
      <c r="K104" s="381" t="n"/>
      <c r="L104" s="122" t="inlineStr">
        <is>
          <t>～</t>
        </is>
      </c>
      <c r="M104" s="22" t="n"/>
      <c r="N104" s="381" t="n"/>
      <c r="O104" s="122" t="inlineStr">
        <is>
          <t>～</t>
        </is>
      </c>
      <c r="P104" s="22" t="n"/>
      <c r="Q104" s="382" t="n"/>
      <c r="R104" s="338" t="n"/>
      <c r="S104" s="380" t="n"/>
      <c r="T104" s="382" t="n"/>
      <c r="U104" s="338" t="n"/>
      <c r="V104" s="380" t="n"/>
      <c r="W104" s="382" t="n"/>
      <c r="X104" s="338" t="n"/>
      <c r="Y104" s="338" t="n"/>
      <c r="Z104" s="338" t="n"/>
      <c r="AA104" s="338" t="n"/>
      <c r="AB104" s="338" t="n"/>
      <c r="AC104" s="338" t="n"/>
      <c r="AD104" s="338" t="n"/>
      <c r="AE104" s="338" t="n"/>
      <c r="AF104" s="338" t="n"/>
      <c r="AG104" s="338" t="n"/>
      <c r="AH104" s="338" t="n"/>
      <c r="AI104" s="338" t="n"/>
      <c r="AJ104" s="338" t="n"/>
      <c r="AK104" s="338" t="n"/>
      <c r="AL104" s="338" t="n"/>
      <c r="AM104" s="338" t="n"/>
      <c r="AN104" s="338" t="n"/>
      <c r="AO104" s="338" t="n"/>
      <c r="AP104" s="338" t="n"/>
      <c r="AQ104" s="338" t="n"/>
      <c r="AR104" s="338" t="n"/>
      <c r="AS104" s="338" t="n"/>
      <c r="AT104" s="338" t="n"/>
      <c r="AU104" s="338" t="n"/>
      <c r="AV104" s="338" t="n"/>
      <c r="AW104" s="338" t="n"/>
      <c r="AX104" s="338" t="n"/>
      <c r="AY104" s="338" t="n"/>
      <c r="AZ104" s="338" t="n"/>
      <c r="BA104" s="338" t="n"/>
      <c r="BB104" s="338" t="n"/>
      <c r="BC104" s="338" t="n"/>
      <c r="BD104" s="338" t="n"/>
      <c r="BE104" s="338" t="n"/>
      <c r="BF104" s="338" t="n"/>
      <c r="BG104" s="338" t="n"/>
      <c r="BH104" s="338" t="n"/>
      <c r="BI104" s="338" t="n"/>
      <c r="BJ104" s="338" t="n"/>
      <c r="BK104" s="338" t="n"/>
      <c r="BL104" s="338" t="n"/>
      <c r="BM104" s="338" t="n"/>
      <c r="BN104" s="338" t="n"/>
      <c r="BO104" s="338" t="n"/>
      <c r="BP104" s="338" t="n"/>
      <c r="BQ104" s="338" t="n"/>
      <c r="BR104" s="338" t="n"/>
      <c r="BS104" s="338" t="n"/>
      <c r="BT104" s="338" t="n"/>
      <c r="BU104" s="338" t="n"/>
      <c r="BV104" s="338" t="n"/>
      <c r="BW104" s="338" t="n"/>
      <c r="BX104" s="338" t="n"/>
      <c r="BY104" s="338" t="n"/>
      <c r="BZ104" s="338" t="n"/>
      <c r="CA104" s="338" t="n"/>
      <c r="CB104" s="338" t="n"/>
      <c r="CC104" s="383" t="n"/>
      <c r="CF104" s="253" t="inlineStr">
        <is>
          <t>時間内</t>
        </is>
      </c>
      <c r="CG104" s="384" t="n"/>
      <c r="CH104" s="384" t="n"/>
      <c r="CI104" s="385" t="n"/>
      <c r="CJ104" s="386">
        <f>IF(Q103="作業者1",H106-H103,0)</f>
        <v/>
      </c>
      <c r="CK104" s="387" t="n"/>
      <c r="CL104" s="387" t="n"/>
      <c r="CM104" s="387" t="n"/>
      <c r="CN104" s="388" t="n"/>
      <c r="CP104" s="253" t="inlineStr">
        <is>
          <t>時間内</t>
        </is>
      </c>
      <c r="CQ104" s="384" t="n"/>
      <c r="CR104" s="384" t="n"/>
      <c r="CS104" s="385" t="n"/>
      <c r="CT104" s="386">
        <f>IF(Q103="作業者2",H106-H103,0)</f>
        <v/>
      </c>
      <c r="CU104" s="387" t="n"/>
      <c r="CV104" s="387" t="n"/>
      <c r="CW104" s="387" t="n"/>
      <c r="CX104" s="388" t="n"/>
      <c r="CZ104" s="253" t="inlineStr">
        <is>
          <t>時間内</t>
        </is>
      </c>
      <c r="DA104" s="384" t="n"/>
      <c r="DB104" s="384" t="n"/>
      <c r="DC104" s="385" t="n"/>
      <c r="DD104" s="386">
        <f>IF(Q103="作業者3",H106-H103,0)</f>
        <v/>
      </c>
      <c r="DE104" s="387" t="n"/>
      <c r="DF104" s="387" t="n"/>
      <c r="DG104" s="387" t="n"/>
      <c r="DH104" s="388" t="n"/>
      <c r="DJ104" s="253" t="inlineStr">
        <is>
          <t>時間内</t>
        </is>
      </c>
      <c r="DK104" s="384" t="n"/>
      <c r="DL104" s="384" t="n"/>
      <c r="DM104" s="385" t="n"/>
      <c r="DN104" s="386">
        <f>IF(Q103="作業者4",H106-H103,0)</f>
        <v/>
      </c>
      <c r="DO104" s="387" t="n"/>
      <c r="DP104" s="387" t="n"/>
      <c r="DQ104" s="387" t="n"/>
      <c r="DR104" s="388" t="n"/>
      <c r="DT104" s="253" t="inlineStr">
        <is>
          <t>時間内</t>
        </is>
      </c>
      <c r="DU104" s="384" t="n"/>
      <c r="DV104" s="384" t="n"/>
      <c r="DW104" s="385" t="n"/>
      <c r="DX104" s="386">
        <f>IF(Q103="作業者5",H106-H103,0)</f>
        <v/>
      </c>
      <c r="DY104" s="387" t="n"/>
      <c r="DZ104" s="387" t="n"/>
      <c r="EA104" s="387" t="n"/>
      <c r="EB104" s="388" t="n"/>
    </row>
    <row r="105" ht="9" customHeight="1" s="337">
      <c r="B105" s="350" t="n"/>
      <c r="C105" s="338" t="n"/>
      <c r="D105" s="380" t="n"/>
      <c r="E105" s="23" t="n"/>
      <c r="F105" s="338" t="n"/>
      <c r="G105" s="24" t="n"/>
      <c r="H105" s="23" t="n"/>
      <c r="I105" s="338" t="n"/>
      <c r="J105" s="24" t="n"/>
      <c r="K105" s="23" t="n"/>
      <c r="L105" s="338" t="n"/>
      <c r="M105" s="24" t="n"/>
      <c r="N105" s="23" t="n"/>
      <c r="O105" s="338" t="n"/>
      <c r="P105" s="24" t="n"/>
      <c r="Q105" s="382" t="n"/>
      <c r="R105" s="338" t="n"/>
      <c r="S105" s="380" t="n"/>
      <c r="T105" s="382" t="n"/>
      <c r="U105" s="338" t="n"/>
      <c r="V105" s="380" t="n"/>
      <c r="W105" s="382" t="n"/>
      <c r="X105" s="338" t="n"/>
      <c r="Y105" s="338" t="n"/>
      <c r="Z105" s="338" t="n"/>
      <c r="AA105" s="338" t="n"/>
      <c r="AB105" s="338" t="n"/>
      <c r="AC105" s="338" t="n"/>
      <c r="AD105" s="338" t="n"/>
      <c r="AE105" s="338" t="n"/>
      <c r="AF105" s="338" t="n"/>
      <c r="AG105" s="338" t="n"/>
      <c r="AH105" s="338" t="n"/>
      <c r="AI105" s="338" t="n"/>
      <c r="AJ105" s="338" t="n"/>
      <c r="AK105" s="338" t="n"/>
      <c r="AL105" s="338" t="n"/>
      <c r="AM105" s="338" t="n"/>
      <c r="AN105" s="338" t="n"/>
      <c r="AO105" s="338" t="n"/>
      <c r="AP105" s="338" t="n"/>
      <c r="AQ105" s="338" t="n"/>
      <c r="AR105" s="338" t="n"/>
      <c r="AS105" s="338" t="n"/>
      <c r="AT105" s="338" t="n"/>
      <c r="AU105" s="338" t="n"/>
      <c r="AV105" s="338" t="n"/>
      <c r="AW105" s="338" t="n"/>
      <c r="AX105" s="338" t="n"/>
      <c r="AY105" s="338" t="n"/>
      <c r="AZ105" s="338" t="n"/>
      <c r="BA105" s="338" t="n"/>
      <c r="BB105" s="338" t="n"/>
      <c r="BC105" s="338" t="n"/>
      <c r="BD105" s="338" t="n"/>
      <c r="BE105" s="338" t="n"/>
      <c r="BF105" s="338" t="n"/>
      <c r="BG105" s="338" t="n"/>
      <c r="BH105" s="338" t="n"/>
      <c r="BI105" s="338" t="n"/>
      <c r="BJ105" s="338" t="n"/>
      <c r="BK105" s="338" t="n"/>
      <c r="BL105" s="338" t="n"/>
      <c r="BM105" s="338" t="n"/>
      <c r="BN105" s="338" t="n"/>
      <c r="BO105" s="338" t="n"/>
      <c r="BP105" s="338" t="n"/>
      <c r="BQ105" s="338" t="n"/>
      <c r="BR105" s="338" t="n"/>
      <c r="BS105" s="338" t="n"/>
      <c r="BT105" s="338" t="n"/>
      <c r="BU105" s="338" t="n"/>
      <c r="BV105" s="338" t="n"/>
      <c r="BW105" s="338" t="n"/>
      <c r="BX105" s="338" t="n"/>
      <c r="BY105" s="338" t="n"/>
      <c r="BZ105" s="338" t="n"/>
      <c r="CA105" s="338" t="n"/>
      <c r="CB105" s="338" t="n"/>
      <c r="CC105" s="383" t="n"/>
      <c r="CF105" s="253" t="inlineStr">
        <is>
          <t>時間外</t>
        </is>
      </c>
      <c r="CG105" s="384" t="n"/>
      <c r="CH105" s="384" t="n"/>
      <c r="CI105" s="385" t="n"/>
      <c r="CJ105" s="386">
        <f>IF(Q103="作業者1",K106-K103,0)</f>
        <v/>
      </c>
      <c r="CK105" s="387" t="n"/>
      <c r="CL105" s="387" t="n"/>
      <c r="CM105" s="387" t="n"/>
      <c r="CN105" s="388" t="n"/>
      <c r="CP105" s="253" t="inlineStr">
        <is>
          <t>時間外</t>
        </is>
      </c>
      <c r="CQ105" s="384" t="n"/>
      <c r="CR105" s="384" t="n"/>
      <c r="CS105" s="385" t="n"/>
      <c r="CT105" s="386">
        <f>IF(Q103="作業者2",K106-K103,0)</f>
        <v/>
      </c>
      <c r="CU105" s="387" t="n"/>
      <c r="CV105" s="387" t="n"/>
      <c r="CW105" s="387" t="n"/>
      <c r="CX105" s="388" t="n"/>
      <c r="CZ105" s="253" t="inlineStr">
        <is>
          <t>時間外</t>
        </is>
      </c>
      <c r="DA105" s="384" t="n"/>
      <c r="DB105" s="384" t="n"/>
      <c r="DC105" s="385" t="n"/>
      <c r="DD105" s="386">
        <f>IF(Q103="作業者3",K106-K103,0)</f>
        <v/>
      </c>
      <c r="DE105" s="387" t="n"/>
      <c r="DF105" s="387" t="n"/>
      <c r="DG105" s="387" t="n"/>
      <c r="DH105" s="388" t="n"/>
      <c r="DJ105" s="253" t="inlineStr">
        <is>
          <t>時間外</t>
        </is>
      </c>
      <c r="DK105" s="384" t="n"/>
      <c r="DL105" s="384" t="n"/>
      <c r="DM105" s="385" t="n"/>
      <c r="DN105" s="386">
        <f>IF(Q103="作業者4",K106-K103,0)</f>
        <v/>
      </c>
      <c r="DO105" s="387" t="n"/>
      <c r="DP105" s="387" t="n"/>
      <c r="DQ105" s="387" t="n"/>
      <c r="DR105" s="388" t="n"/>
      <c r="DT105" s="253" t="inlineStr">
        <is>
          <t>時間外</t>
        </is>
      </c>
      <c r="DU105" s="384" t="n"/>
      <c r="DV105" s="384" t="n"/>
      <c r="DW105" s="385" t="n"/>
      <c r="DX105" s="386">
        <f>IF(Q103="作業者5",K106-K103,0)</f>
        <v/>
      </c>
      <c r="DY105" s="387" t="n"/>
      <c r="DZ105" s="387" t="n"/>
      <c r="EA105" s="387" t="n"/>
      <c r="EB105" s="388" t="n"/>
    </row>
    <row r="106" ht="9" customHeight="1" s="337">
      <c r="B106" s="389" t="n"/>
      <c r="C106" s="390" t="n"/>
      <c r="D106" s="391" t="n"/>
      <c r="E106" s="392" t="n"/>
      <c r="F106" s="390" t="n"/>
      <c r="G106" s="391" t="n"/>
      <c r="H106" s="392" t="n"/>
      <c r="I106" s="390" t="n"/>
      <c r="J106" s="391" t="n"/>
      <c r="K106" s="392" t="n"/>
      <c r="L106" s="390" t="n"/>
      <c r="M106" s="391" t="n"/>
      <c r="N106" s="392" t="n"/>
      <c r="O106" s="390" t="n"/>
      <c r="P106" s="391" t="n"/>
      <c r="Q106" s="393" t="n"/>
      <c r="R106" s="390" t="n"/>
      <c r="S106" s="391" t="n"/>
      <c r="T106" s="393" t="n"/>
      <c r="U106" s="390" t="n"/>
      <c r="V106" s="391" t="n"/>
      <c r="W106" s="393" t="n"/>
      <c r="X106" s="390" t="n"/>
      <c r="Y106" s="390" t="n"/>
      <c r="Z106" s="390" t="n"/>
      <c r="AA106" s="390" t="n"/>
      <c r="AB106" s="390" t="n"/>
      <c r="AC106" s="390" t="n"/>
      <c r="AD106" s="390" t="n"/>
      <c r="AE106" s="390" t="n"/>
      <c r="AF106" s="390" t="n"/>
      <c r="AG106" s="390" t="n"/>
      <c r="AH106" s="390" t="n"/>
      <c r="AI106" s="390" t="n"/>
      <c r="AJ106" s="390" t="n"/>
      <c r="AK106" s="390" t="n"/>
      <c r="AL106" s="390" t="n"/>
      <c r="AM106" s="390" t="n"/>
      <c r="AN106" s="390" t="n"/>
      <c r="AO106" s="390" t="n"/>
      <c r="AP106" s="390" t="n"/>
      <c r="AQ106" s="390" t="n"/>
      <c r="AR106" s="390" t="n"/>
      <c r="AS106" s="390" t="n"/>
      <c r="AT106" s="390" t="n"/>
      <c r="AU106" s="390" t="n"/>
      <c r="AV106" s="390" t="n"/>
      <c r="AW106" s="390" t="n"/>
      <c r="AX106" s="390" t="n"/>
      <c r="AY106" s="390" t="n"/>
      <c r="AZ106" s="390" t="n"/>
      <c r="BA106" s="390" t="n"/>
      <c r="BB106" s="390" t="n"/>
      <c r="BC106" s="390" t="n"/>
      <c r="BD106" s="390" t="n"/>
      <c r="BE106" s="390" t="n"/>
      <c r="BF106" s="390" t="n"/>
      <c r="BG106" s="390" t="n"/>
      <c r="BH106" s="390" t="n"/>
      <c r="BI106" s="390" t="n"/>
      <c r="BJ106" s="390" t="n"/>
      <c r="BK106" s="390" t="n"/>
      <c r="BL106" s="390" t="n"/>
      <c r="BM106" s="390" t="n"/>
      <c r="BN106" s="390" t="n"/>
      <c r="BO106" s="390" t="n"/>
      <c r="BP106" s="390" t="n"/>
      <c r="BQ106" s="390" t="n"/>
      <c r="BR106" s="390" t="n"/>
      <c r="BS106" s="390" t="n"/>
      <c r="BT106" s="390" t="n"/>
      <c r="BU106" s="390" t="n"/>
      <c r="BV106" s="390" t="n"/>
      <c r="BW106" s="390" t="n"/>
      <c r="BX106" s="390" t="n"/>
      <c r="BY106" s="390" t="n"/>
      <c r="BZ106" s="390" t="n"/>
      <c r="CA106" s="390" t="n"/>
      <c r="CB106" s="390" t="n"/>
      <c r="CC106" s="394" t="n"/>
      <c r="CF106" s="254" t="inlineStr">
        <is>
          <t>休日</t>
        </is>
      </c>
      <c r="CG106" s="395" t="n"/>
      <c r="CH106" s="395" t="n"/>
      <c r="CI106" s="396" t="n"/>
      <c r="CJ106" s="386">
        <f>IF(Q103="作業者1",N106-N103,0)</f>
        <v/>
      </c>
      <c r="CK106" s="387" t="n"/>
      <c r="CL106" s="387" t="n"/>
      <c r="CM106" s="387" t="n"/>
      <c r="CN106" s="388" t="n"/>
      <c r="CP106" s="253" t="inlineStr">
        <is>
          <t>休日</t>
        </is>
      </c>
      <c r="CQ106" s="384" t="n"/>
      <c r="CR106" s="384" t="n"/>
      <c r="CS106" s="385" t="n"/>
      <c r="CT106" s="386">
        <f>IF(Q103="作業者2",N106-N103,0)</f>
        <v/>
      </c>
      <c r="CU106" s="387" t="n"/>
      <c r="CV106" s="387" t="n"/>
      <c r="CW106" s="387" t="n"/>
      <c r="CX106" s="388" t="n"/>
      <c r="CZ106" s="254" t="inlineStr">
        <is>
          <t>休日</t>
        </is>
      </c>
      <c r="DA106" s="395" t="n"/>
      <c r="DB106" s="395" t="n"/>
      <c r="DC106" s="396" t="n"/>
      <c r="DD106" s="397">
        <f>IF(Q103="作業者3",N106-N103,0)</f>
        <v/>
      </c>
      <c r="DE106" s="395" t="n"/>
      <c r="DF106" s="395" t="n"/>
      <c r="DG106" s="395" t="n"/>
      <c r="DH106" s="396" t="n"/>
      <c r="DJ106" s="254" t="inlineStr">
        <is>
          <t>休日</t>
        </is>
      </c>
      <c r="DK106" s="395" t="n"/>
      <c r="DL106" s="395" t="n"/>
      <c r="DM106" s="396" t="n"/>
      <c r="DN106" s="397">
        <f>IF(Q103="作業者4",N106-N103,0)</f>
        <v/>
      </c>
      <c r="DO106" s="395" t="n"/>
      <c r="DP106" s="395" t="n"/>
      <c r="DQ106" s="395" t="n"/>
      <c r="DR106" s="396" t="n"/>
      <c r="DT106" s="254" t="inlineStr">
        <is>
          <t>休日</t>
        </is>
      </c>
      <c r="DU106" s="395" t="n"/>
      <c r="DV106" s="395" t="n"/>
      <c r="DW106" s="396" t="n"/>
      <c r="DX106" s="397">
        <f>IF(Q103="作業者5",N106-N103,0)</f>
        <v/>
      </c>
      <c r="DY106" s="395" t="n"/>
      <c r="DZ106" s="395" t="n"/>
      <c r="EA106" s="395" t="n"/>
      <c r="EB106" s="396" t="n"/>
    </row>
    <row r="107" ht="9" customHeight="1" s="337">
      <c r="B107" s="398" t="n"/>
      <c r="C107" s="372" t="n"/>
      <c r="D107" s="373" t="n"/>
      <c r="E107" s="399" t="n"/>
      <c r="F107" s="372" t="n"/>
      <c r="G107" s="373" t="n"/>
      <c r="H107" s="399" t="n"/>
      <c r="I107" s="372" t="n"/>
      <c r="J107" s="373" t="n"/>
      <c r="K107" s="399" t="n"/>
      <c r="L107" s="372" t="n"/>
      <c r="M107" s="373" t="n"/>
      <c r="N107" s="399" t="n"/>
      <c r="O107" s="372" t="n"/>
      <c r="P107" s="373" t="n"/>
      <c r="Q107" s="371" t="n"/>
      <c r="R107" s="372" t="n"/>
      <c r="S107" s="373" t="n"/>
      <c r="T107" s="371" t="n"/>
      <c r="U107" s="372" t="n"/>
      <c r="V107" s="373" t="n"/>
      <c r="W107" s="443" t="n"/>
      <c r="X107" s="372" t="n"/>
      <c r="Y107" s="372" t="n"/>
      <c r="Z107" s="372" t="n"/>
      <c r="AA107" s="372" t="n"/>
      <c r="AB107" s="372" t="n"/>
      <c r="AC107" s="372" t="n"/>
      <c r="AD107" s="372" t="n"/>
      <c r="AE107" s="372" t="n"/>
      <c r="AF107" s="372" t="n"/>
      <c r="AG107" s="372" t="n"/>
      <c r="AH107" s="372" t="n"/>
      <c r="AI107" s="372" t="n"/>
      <c r="AJ107" s="372" t="n"/>
      <c r="AK107" s="372" t="n"/>
      <c r="AL107" s="372" t="n"/>
      <c r="AM107" s="372" t="n"/>
      <c r="AN107" s="372" t="n"/>
      <c r="AO107" s="372" t="n"/>
      <c r="AP107" s="372" t="n"/>
      <c r="AQ107" s="372" t="n"/>
      <c r="AR107" s="372" t="n"/>
      <c r="AS107" s="372" t="n"/>
      <c r="AT107" s="372" t="n"/>
      <c r="AU107" s="372" t="n"/>
      <c r="AV107" s="372" t="n"/>
      <c r="AW107" s="372" t="n"/>
      <c r="AX107" s="372" t="n"/>
      <c r="AY107" s="372" t="n"/>
      <c r="AZ107" s="372" t="n"/>
      <c r="BA107" s="372" t="n"/>
      <c r="BB107" s="372" t="n"/>
      <c r="BC107" s="372" t="n"/>
      <c r="BD107" s="372" t="n"/>
      <c r="BE107" s="372" t="n"/>
      <c r="BF107" s="372" t="n"/>
      <c r="BG107" s="372" t="n"/>
      <c r="BH107" s="372" t="n"/>
      <c r="BI107" s="372" t="n"/>
      <c r="BJ107" s="372" t="n"/>
      <c r="BK107" s="372" t="n"/>
      <c r="BL107" s="372" t="n"/>
      <c r="BM107" s="372" t="n"/>
      <c r="BN107" s="372" t="n"/>
      <c r="BO107" s="372" t="n"/>
      <c r="BP107" s="372" t="n"/>
      <c r="BQ107" s="372" t="n"/>
      <c r="BR107" s="372" t="n"/>
      <c r="BS107" s="372" t="n"/>
      <c r="BT107" s="372" t="n"/>
      <c r="BU107" s="372" t="n"/>
      <c r="BV107" s="372" t="n"/>
      <c r="BW107" s="372" t="n"/>
      <c r="BX107" s="372" t="n"/>
      <c r="BY107" s="372" t="n"/>
      <c r="BZ107" s="372" t="n"/>
      <c r="CA107" s="372" t="n"/>
      <c r="CB107" s="372" t="n"/>
      <c r="CC107" s="402" t="n"/>
      <c r="CF107" s="259" t="inlineStr">
        <is>
          <t>移動</t>
        </is>
      </c>
      <c r="CG107" s="403" t="n"/>
      <c r="CH107" s="403" t="n"/>
      <c r="CI107" s="404" t="n"/>
      <c r="CJ107" s="379">
        <f>IF(Q107="作業者1",E110-E107,0)</f>
        <v/>
      </c>
      <c r="CK107" s="377" t="n"/>
      <c r="CL107" s="377" t="n"/>
      <c r="CM107" s="377" t="n"/>
      <c r="CN107" s="378" t="n"/>
      <c r="CP107" s="248" t="inlineStr">
        <is>
          <t>移動</t>
        </is>
      </c>
      <c r="CQ107" s="377" t="n"/>
      <c r="CR107" s="377" t="n"/>
      <c r="CS107" s="378" t="n"/>
      <c r="CT107" s="379">
        <f>IF(Q107="作業者2",E110-E107,0)</f>
        <v/>
      </c>
      <c r="CU107" s="377" t="n"/>
      <c r="CV107" s="377" t="n"/>
      <c r="CW107" s="377" t="n"/>
      <c r="CX107" s="378" t="n"/>
      <c r="CZ107" s="259" t="inlineStr">
        <is>
          <t>移動</t>
        </is>
      </c>
      <c r="DA107" s="403" t="n"/>
      <c r="DB107" s="403" t="n"/>
      <c r="DC107" s="404" t="n"/>
      <c r="DD107" s="405">
        <f>IF(Q107="作業者3",E110-E107,0)</f>
        <v/>
      </c>
      <c r="DE107" s="406" t="n"/>
      <c r="DF107" s="406" t="n"/>
      <c r="DG107" s="406" t="n"/>
      <c r="DH107" s="407" t="n"/>
      <c r="DJ107" s="259" t="inlineStr">
        <is>
          <t>移動</t>
        </is>
      </c>
      <c r="DK107" s="403" t="n"/>
      <c r="DL107" s="403" t="n"/>
      <c r="DM107" s="404" t="n"/>
      <c r="DN107" s="379">
        <f>IF(Q107="作業者4",E110-E107,0)</f>
        <v/>
      </c>
      <c r="DO107" s="377" t="n"/>
      <c r="DP107" s="377" t="n"/>
      <c r="DQ107" s="377" t="n"/>
      <c r="DR107" s="378" t="n"/>
      <c r="DT107" s="259" t="inlineStr">
        <is>
          <t>移動</t>
        </is>
      </c>
      <c r="DU107" s="403" t="n"/>
      <c r="DV107" s="403" t="n"/>
      <c r="DW107" s="404" t="n"/>
      <c r="DX107" s="379">
        <f>IF(Q107="作業者5",E110-E107,0)</f>
        <v/>
      </c>
      <c r="DY107" s="377" t="n"/>
      <c r="DZ107" s="377" t="n"/>
      <c r="EA107" s="377" t="n"/>
      <c r="EB107" s="378" t="n"/>
    </row>
    <row r="108" ht="9" customHeight="1" s="337">
      <c r="B108" s="350" t="n"/>
      <c r="C108" s="338" t="n"/>
      <c r="D108" s="380" t="n"/>
      <c r="E108" s="381" t="n"/>
      <c r="F108" s="122" t="inlineStr">
        <is>
          <t>～</t>
        </is>
      </c>
      <c r="G108" s="22" t="n"/>
      <c r="H108" s="381" t="n"/>
      <c r="I108" s="122" t="inlineStr">
        <is>
          <t>～</t>
        </is>
      </c>
      <c r="J108" s="22" t="n"/>
      <c r="K108" s="381" t="n"/>
      <c r="L108" s="122" t="inlineStr">
        <is>
          <t>～</t>
        </is>
      </c>
      <c r="M108" s="22" t="n"/>
      <c r="N108" s="381" t="n"/>
      <c r="O108" s="122" t="inlineStr">
        <is>
          <t>～</t>
        </is>
      </c>
      <c r="P108" s="22" t="n"/>
      <c r="Q108" s="382" t="n"/>
      <c r="R108" s="338" t="n"/>
      <c r="S108" s="380" t="n"/>
      <c r="T108" s="382" t="n"/>
      <c r="U108" s="338" t="n"/>
      <c r="V108" s="380" t="n"/>
      <c r="W108" s="382" t="n"/>
      <c r="X108" s="338" t="n"/>
      <c r="Y108" s="338" t="n"/>
      <c r="Z108" s="338" t="n"/>
      <c r="AA108" s="338" t="n"/>
      <c r="AB108" s="338" t="n"/>
      <c r="AC108" s="338" t="n"/>
      <c r="AD108" s="338" t="n"/>
      <c r="AE108" s="338" t="n"/>
      <c r="AF108" s="338" t="n"/>
      <c r="AG108" s="338" t="n"/>
      <c r="AH108" s="338" t="n"/>
      <c r="AI108" s="338" t="n"/>
      <c r="AJ108" s="338" t="n"/>
      <c r="AK108" s="338" t="n"/>
      <c r="AL108" s="338" t="n"/>
      <c r="AM108" s="338" t="n"/>
      <c r="AN108" s="338" t="n"/>
      <c r="AO108" s="338" t="n"/>
      <c r="AP108" s="338" t="n"/>
      <c r="AQ108" s="338" t="n"/>
      <c r="AR108" s="338" t="n"/>
      <c r="AS108" s="338" t="n"/>
      <c r="AT108" s="338" t="n"/>
      <c r="AU108" s="338" t="n"/>
      <c r="AV108" s="338" t="n"/>
      <c r="AW108" s="338" t="n"/>
      <c r="AX108" s="338" t="n"/>
      <c r="AY108" s="338" t="n"/>
      <c r="AZ108" s="338" t="n"/>
      <c r="BA108" s="338" t="n"/>
      <c r="BB108" s="338" t="n"/>
      <c r="BC108" s="338" t="n"/>
      <c r="BD108" s="338" t="n"/>
      <c r="BE108" s="338" t="n"/>
      <c r="BF108" s="338" t="n"/>
      <c r="BG108" s="338" t="n"/>
      <c r="BH108" s="338" t="n"/>
      <c r="BI108" s="338" t="n"/>
      <c r="BJ108" s="338" t="n"/>
      <c r="BK108" s="338" t="n"/>
      <c r="BL108" s="338" t="n"/>
      <c r="BM108" s="338" t="n"/>
      <c r="BN108" s="338" t="n"/>
      <c r="BO108" s="338" t="n"/>
      <c r="BP108" s="338" t="n"/>
      <c r="BQ108" s="338" t="n"/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83" t="n"/>
      <c r="CF108" s="253" t="inlineStr">
        <is>
          <t>時間内</t>
        </is>
      </c>
      <c r="CG108" s="384" t="n"/>
      <c r="CH108" s="384" t="n"/>
      <c r="CI108" s="385" t="n"/>
      <c r="CJ108" s="386">
        <f>IF(Q107="作業者1",H110-H107,0)</f>
        <v/>
      </c>
      <c r="CK108" s="387" t="n"/>
      <c r="CL108" s="387" t="n"/>
      <c r="CM108" s="387" t="n"/>
      <c r="CN108" s="388" t="n"/>
      <c r="CP108" s="253" t="inlineStr">
        <is>
          <t>時間内</t>
        </is>
      </c>
      <c r="CQ108" s="384" t="n"/>
      <c r="CR108" s="384" t="n"/>
      <c r="CS108" s="385" t="n"/>
      <c r="CT108" s="386">
        <f>IF(Q107="作業者2",H110-H107,0)</f>
        <v/>
      </c>
      <c r="CU108" s="387" t="n"/>
      <c r="CV108" s="387" t="n"/>
      <c r="CW108" s="387" t="n"/>
      <c r="CX108" s="388" t="n"/>
      <c r="CZ108" s="253" t="inlineStr">
        <is>
          <t>時間内</t>
        </is>
      </c>
      <c r="DA108" s="384" t="n"/>
      <c r="DB108" s="384" t="n"/>
      <c r="DC108" s="385" t="n"/>
      <c r="DD108" s="386">
        <f>IF(Q107="作業者3",H110-H107,0)</f>
        <v/>
      </c>
      <c r="DE108" s="387" t="n"/>
      <c r="DF108" s="387" t="n"/>
      <c r="DG108" s="387" t="n"/>
      <c r="DH108" s="388" t="n"/>
      <c r="DJ108" s="253" t="inlineStr">
        <is>
          <t>時間内</t>
        </is>
      </c>
      <c r="DK108" s="384" t="n"/>
      <c r="DL108" s="384" t="n"/>
      <c r="DM108" s="385" t="n"/>
      <c r="DN108" s="386">
        <f>IF(Q107="作業者4",H110-H107,0)</f>
        <v/>
      </c>
      <c r="DO108" s="387" t="n"/>
      <c r="DP108" s="387" t="n"/>
      <c r="DQ108" s="387" t="n"/>
      <c r="DR108" s="388" t="n"/>
      <c r="DT108" s="253" t="inlineStr">
        <is>
          <t>時間内</t>
        </is>
      </c>
      <c r="DU108" s="384" t="n"/>
      <c r="DV108" s="384" t="n"/>
      <c r="DW108" s="385" t="n"/>
      <c r="DX108" s="386">
        <f>IF(Q107="作業者5",H110-H107,0)</f>
        <v/>
      </c>
      <c r="DY108" s="387" t="n"/>
      <c r="DZ108" s="387" t="n"/>
      <c r="EA108" s="387" t="n"/>
      <c r="EB108" s="388" t="n"/>
    </row>
    <row r="109" ht="9" customHeight="1" s="337">
      <c r="B109" s="350" t="n"/>
      <c r="C109" s="338" t="n"/>
      <c r="D109" s="380" t="n"/>
      <c r="E109" s="23" t="n"/>
      <c r="F109" s="338" t="n"/>
      <c r="G109" s="24" t="n"/>
      <c r="H109" s="23" t="n"/>
      <c r="I109" s="338" t="n"/>
      <c r="J109" s="24" t="n"/>
      <c r="K109" s="23" t="n"/>
      <c r="L109" s="338" t="n"/>
      <c r="M109" s="24" t="n"/>
      <c r="N109" s="23" t="n"/>
      <c r="O109" s="338" t="n"/>
      <c r="P109" s="24" t="n"/>
      <c r="Q109" s="382" t="n"/>
      <c r="R109" s="338" t="n"/>
      <c r="S109" s="380" t="n"/>
      <c r="T109" s="382" t="n"/>
      <c r="U109" s="338" t="n"/>
      <c r="V109" s="380" t="n"/>
      <c r="W109" s="382" t="n"/>
      <c r="X109" s="338" t="n"/>
      <c r="Y109" s="338" t="n"/>
      <c r="Z109" s="338" t="n"/>
      <c r="AA109" s="338" t="n"/>
      <c r="AB109" s="338" t="n"/>
      <c r="AC109" s="338" t="n"/>
      <c r="AD109" s="338" t="n"/>
      <c r="AE109" s="338" t="n"/>
      <c r="AF109" s="338" t="n"/>
      <c r="AG109" s="338" t="n"/>
      <c r="AH109" s="338" t="n"/>
      <c r="AI109" s="338" t="n"/>
      <c r="AJ109" s="338" t="n"/>
      <c r="AK109" s="338" t="n"/>
      <c r="AL109" s="338" t="n"/>
      <c r="AM109" s="338" t="n"/>
      <c r="AN109" s="338" t="n"/>
      <c r="AO109" s="338" t="n"/>
      <c r="AP109" s="338" t="n"/>
      <c r="AQ109" s="338" t="n"/>
      <c r="AR109" s="338" t="n"/>
      <c r="AS109" s="338" t="n"/>
      <c r="AT109" s="338" t="n"/>
      <c r="AU109" s="338" t="n"/>
      <c r="AV109" s="338" t="n"/>
      <c r="AW109" s="338" t="n"/>
      <c r="AX109" s="338" t="n"/>
      <c r="AY109" s="338" t="n"/>
      <c r="AZ109" s="338" t="n"/>
      <c r="BA109" s="338" t="n"/>
      <c r="BB109" s="338" t="n"/>
      <c r="BC109" s="338" t="n"/>
      <c r="BD109" s="338" t="n"/>
      <c r="BE109" s="338" t="n"/>
      <c r="BF109" s="338" t="n"/>
      <c r="BG109" s="338" t="n"/>
      <c r="BH109" s="338" t="n"/>
      <c r="BI109" s="338" t="n"/>
      <c r="BJ109" s="338" t="n"/>
      <c r="BK109" s="338" t="n"/>
      <c r="BL109" s="338" t="n"/>
      <c r="BM109" s="338" t="n"/>
      <c r="BN109" s="338" t="n"/>
      <c r="BO109" s="338" t="n"/>
      <c r="BP109" s="338" t="n"/>
      <c r="BQ109" s="338" t="n"/>
      <c r="BR109" s="338" t="n"/>
      <c r="BS109" s="338" t="n"/>
      <c r="BT109" s="338" t="n"/>
      <c r="BU109" s="338" t="n"/>
      <c r="BV109" s="338" t="n"/>
      <c r="BW109" s="338" t="n"/>
      <c r="BX109" s="338" t="n"/>
      <c r="BY109" s="338" t="n"/>
      <c r="BZ109" s="338" t="n"/>
      <c r="CA109" s="338" t="n"/>
      <c r="CB109" s="338" t="n"/>
      <c r="CC109" s="383" t="n"/>
      <c r="CF109" s="253" t="inlineStr">
        <is>
          <t>時間外</t>
        </is>
      </c>
      <c r="CG109" s="384" t="n"/>
      <c r="CH109" s="384" t="n"/>
      <c r="CI109" s="385" t="n"/>
      <c r="CJ109" s="386">
        <f>IF(Q107="作業者1",K110-K107,0)</f>
        <v/>
      </c>
      <c r="CK109" s="387" t="n"/>
      <c r="CL109" s="387" t="n"/>
      <c r="CM109" s="387" t="n"/>
      <c r="CN109" s="388" t="n"/>
      <c r="CP109" s="253" t="inlineStr">
        <is>
          <t>時間外</t>
        </is>
      </c>
      <c r="CQ109" s="384" t="n"/>
      <c r="CR109" s="384" t="n"/>
      <c r="CS109" s="385" t="n"/>
      <c r="CT109" s="386">
        <f>IF(Q107="作業者2",K110-K107,0)</f>
        <v/>
      </c>
      <c r="CU109" s="387" t="n"/>
      <c r="CV109" s="387" t="n"/>
      <c r="CW109" s="387" t="n"/>
      <c r="CX109" s="388" t="n"/>
      <c r="CZ109" s="253" t="inlineStr">
        <is>
          <t>時間外</t>
        </is>
      </c>
      <c r="DA109" s="384" t="n"/>
      <c r="DB109" s="384" t="n"/>
      <c r="DC109" s="385" t="n"/>
      <c r="DD109" s="386">
        <f>IF(Q107="作業者3",K110-K107,0)</f>
        <v/>
      </c>
      <c r="DE109" s="387" t="n"/>
      <c r="DF109" s="387" t="n"/>
      <c r="DG109" s="387" t="n"/>
      <c r="DH109" s="388" t="n"/>
      <c r="DJ109" s="253" t="inlineStr">
        <is>
          <t>時間外</t>
        </is>
      </c>
      <c r="DK109" s="384" t="n"/>
      <c r="DL109" s="384" t="n"/>
      <c r="DM109" s="385" t="n"/>
      <c r="DN109" s="386">
        <f>IF(Q107="作業者4",K110-K107,0)</f>
        <v/>
      </c>
      <c r="DO109" s="387" t="n"/>
      <c r="DP109" s="387" t="n"/>
      <c r="DQ109" s="387" t="n"/>
      <c r="DR109" s="388" t="n"/>
      <c r="DT109" s="253" t="inlineStr">
        <is>
          <t>時間外</t>
        </is>
      </c>
      <c r="DU109" s="384" t="n"/>
      <c r="DV109" s="384" t="n"/>
      <c r="DW109" s="385" t="n"/>
      <c r="DX109" s="386">
        <f>IF(Q107="作業者5",K110-K107,0)</f>
        <v/>
      </c>
      <c r="DY109" s="387" t="n"/>
      <c r="DZ109" s="387" t="n"/>
      <c r="EA109" s="387" t="n"/>
      <c r="EB109" s="388" t="n"/>
    </row>
    <row r="110" ht="9" customHeight="1" s="337">
      <c r="B110" s="389" t="n"/>
      <c r="C110" s="390" t="n"/>
      <c r="D110" s="391" t="n"/>
      <c r="E110" s="392" t="n"/>
      <c r="F110" s="390" t="n"/>
      <c r="G110" s="391" t="n"/>
      <c r="H110" s="392" t="n"/>
      <c r="I110" s="390" t="n"/>
      <c r="J110" s="391" t="n"/>
      <c r="K110" s="392" t="n"/>
      <c r="L110" s="390" t="n"/>
      <c r="M110" s="391" t="n"/>
      <c r="N110" s="392" t="n"/>
      <c r="O110" s="390" t="n"/>
      <c r="P110" s="391" t="n"/>
      <c r="Q110" s="393" t="n"/>
      <c r="R110" s="390" t="n"/>
      <c r="S110" s="391" t="n"/>
      <c r="T110" s="393" t="n"/>
      <c r="U110" s="390" t="n"/>
      <c r="V110" s="391" t="n"/>
      <c r="W110" s="393" t="n"/>
      <c r="X110" s="390" t="n"/>
      <c r="Y110" s="390" t="n"/>
      <c r="Z110" s="390" t="n"/>
      <c r="AA110" s="390" t="n"/>
      <c r="AB110" s="390" t="n"/>
      <c r="AC110" s="390" t="n"/>
      <c r="AD110" s="390" t="n"/>
      <c r="AE110" s="390" t="n"/>
      <c r="AF110" s="390" t="n"/>
      <c r="AG110" s="390" t="n"/>
      <c r="AH110" s="390" t="n"/>
      <c r="AI110" s="390" t="n"/>
      <c r="AJ110" s="390" t="n"/>
      <c r="AK110" s="390" t="n"/>
      <c r="AL110" s="390" t="n"/>
      <c r="AM110" s="390" t="n"/>
      <c r="AN110" s="390" t="n"/>
      <c r="AO110" s="390" t="n"/>
      <c r="AP110" s="390" t="n"/>
      <c r="AQ110" s="390" t="n"/>
      <c r="AR110" s="390" t="n"/>
      <c r="AS110" s="390" t="n"/>
      <c r="AT110" s="390" t="n"/>
      <c r="AU110" s="390" t="n"/>
      <c r="AV110" s="390" t="n"/>
      <c r="AW110" s="390" t="n"/>
      <c r="AX110" s="390" t="n"/>
      <c r="AY110" s="390" t="n"/>
      <c r="AZ110" s="390" t="n"/>
      <c r="BA110" s="390" t="n"/>
      <c r="BB110" s="390" t="n"/>
      <c r="BC110" s="390" t="n"/>
      <c r="BD110" s="390" t="n"/>
      <c r="BE110" s="390" t="n"/>
      <c r="BF110" s="390" t="n"/>
      <c r="BG110" s="390" t="n"/>
      <c r="BH110" s="390" t="n"/>
      <c r="BI110" s="390" t="n"/>
      <c r="BJ110" s="390" t="n"/>
      <c r="BK110" s="390" t="n"/>
      <c r="BL110" s="390" t="n"/>
      <c r="BM110" s="390" t="n"/>
      <c r="BN110" s="390" t="n"/>
      <c r="BO110" s="390" t="n"/>
      <c r="BP110" s="390" t="n"/>
      <c r="BQ110" s="390" t="n"/>
      <c r="BR110" s="390" t="n"/>
      <c r="BS110" s="390" t="n"/>
      <c r="BT110" s="390" t="n"/>
      <c r="BU110" s="390" t="n"/>
      <c r="BV110" s="390" t="n"/>
      <c r="BW110" s="390" t="n"/>
      <c r="BX110" s="390" t="n"/>
      <c r="BY110" s="390" t="n"/>
      <c r="BZ110" s="390" t="n"/>
      <c r="CA110" s="390" t="n"/>
      <c r="CB110" s="390" t="n"/>
      <c r="CC110" s="394" t="n"/>
      <c r="CF110" s="254" t="inlineStr">
        <is>
          <t>休日</t>
        </is>
      </c>
      <c r="CG110" s="395" t="n"/>
      <c r="CH110" s="395" t="n"/>
      <c r="CI110" s="396" t="n"/>
      <c r="CJ110" s="397">
        <f>IF(Q107="作業者1",N110-N107,0)</f>
        <v/>
      </c>
      <c r="CK110" s="395" t="n"/>
      <c r="CL110" s="395" t="n"/>
      <c r="CM110" s="395" t="n"/>
      <c r="CN110" s="396" t="n"/>
      <c r="CP110" s="254" t="inlineStr">
        <is>
          <t>休日</t>
        </is>
      </c>
      <c r="CQ110" s="395" t="n"/>
      <c r="CR110" s="395" t="n"/>
      <c r="CS110" s="396" t="n"/>
      <c r="CT110" s="397">
        <f>IF(Q107="作業者2",N110-N107,0)</f>
        <v/>
      </c>
      <c r="CU110" s="395" t="n"/>
      <c r="CV110" s="395" t="n"/>
      <c r="CW110" s="395" t="n"/>
      <c r="CX110" s="396" t="n"/>
      <c r="CZ110" s="254" t="inlineStr">
        <is>
          <t>休日</t>
        </is>
      </c>
      <c r="DA110" s="395" t="n"/>
      <c r="DB110" s="395" t="n"/>
      <c r="DC110" s="396" t="n"/>
      <c r="DD110" s="397">
        <f>IF(Q107="作業者3",N110-N107,0)</f>
        <v/>
      </c>
      <c r="DE110" s="395" t="n"/>
      <c r="DF110" s="395" t="n"/>
      <c r="DG110" s="395" t="n"/>
      <c r="DH110" s="396" t="n"/>
      <c r="DJ110" s="254" t="inlineStr">
        <is>
          <t>休日</t>
        </is>
      </c>
      <c r="DK110" s="395" t="n"/>
      <c r="DL110" s="395" t="n"/>
      <c r="DM110" s="396" t="n"/>
      <c r="DN110" s="397">
        <f>IF(Q107="作業者4",N110-N107,0)</f>
        <v/>
      </c>
      <c r="DO110" s="395" t="n"/>
      <c r="DP110" s="395" t="n"/>
      <c r="DQ110" s="395" t="n"/>
      <c r="DR110" s="396" t="n"/>
      <c r="DT110" s="254" t="inlineStr">
        <is>
          <t>休日</t>
        </is>
      </c>
      <c r="DU110" s="395" t="n"/>
      <c r="DV110" s="395" t="n"/>
      <c r="DW110" s="396" t="n"/>
      <c r="DX110" s="397">
        <f>IF(Q107="作業者5",N110-N107,0)</f>
        <v/>
      </c>
      <c r="DY110" s="395" t="n"/>
      <c r="DZ110" s="395" t="n"/>
      <c r="EA110" s="395" t="n"/>
      <c r="EB110" s="396" t="n"/>
    </row>
    <row r="111" ht="9" customHeight="1" s="337">
      <c r="B111" s="398" t="n"/>
      <c r="C111" s="372" t="n"/>
      <c r="D111" s="373" t="n"/>
      <c r="E111" s="399" t="n"/>
      <c r="F111" s="372" t="n"/>
      <c r="G111" s="373" t="n"/>
      <c r="H111" s="399" t="n"/>
      <c r="I111" s="372" t="n"/>
      <c r="J111" s="373" t="n"/>
      <c r="K111" s="399" t="n"/>
      <c r="L111" s="372" t="n"/>
      <c r="M111" s="373" t="n"/>
      <c r="N111" s="399" t="n"/>
      <c r="O111" s="372" t="n"/>
      <c r="P111" s="373" t="n"/>
      <c r="Q111" s="371" t="n"/>
      <c r="R111" s="372" t="n"/>
      <c r="S111" s="373" t="n"/>
      <c r="T111" s="371" t="n"/>
      <c r="U111" s="372" t="n"/>
      <c r="V111" s="373" t="n"/>
      <c r="W111" s="443" t="n"/>
      <c r="X111" s="372" t="n"/>
      <c r="Y111" s="372" t="n"/>
      <c r="Z111" s="372" t="n"/>
      <c r="AA111" s="372" t="n"/>
      <c r="AB111" s="372" t="n"/>
      <c r="AC111" s="372" t="n"/>
      <c r="AD111" s="372" t="n"/>
      <c r="AE111" s="372" t="n"/>
      <c r="AF111" s="372" t="n"/>
      <c r="AG111" s="372" t="n"/>
      <c r="AH111" s="372" t="n"/>
      <c r="AI111" s="372" t="n"/>
      <c r="AJ111" s="372" t="n"/>
      <c r="AK111" s="372" t="n"/>
      <c r="AL111" s="372" t="n"/>
      <c r="AM111" s="372" t="n"/>
      <c r="AN111" s="372" t="n"/>
      <c r="AO111" s="372" t="n"/>
      <c r="AP111" s="372" t="n"/>
      <c r="AQ111" s="372" t="n"/>
      <c r="AR111" s="372" t="n"/>
      <c r="AS111" s="372" t="n"/>
      <c r="AT111" s="372" t="n"/>
      <c r="AU111" s="372" t="n"/>
      <c r="AV111" s="372" t="n"/>
      <c r="AW111" s="372" t="n"/>
      <c r="AX111" s="372" t="n"/>
      <c r="AY111" s="372" t="n"/>
      <c r="AZ111" s="372" t="n"/>
      <c r="BA111" s="372" t="n"/>
      <c r="BB111" s="372" t="n"/>
      <c r="BC111" s="372" t="n"/>
      <c r="BD111" s="372" t="n"/>
      <c r="BE111" s="372" t="n"/>
      <c r="BF111" s="372" t="n"/>
      <c r="BG111" s="372" t="n"/>
      <c r="BH111" s="372" t="n"/>
      <c r="BI111" s="372" t="n"/>
      <c r="BJ111" s="372" t="n"/>
      <c r="BK111" s="372" t="n"/>
      <c r="BL111" s="372" t="n"/>
      <c r="BM111" s="372" t="n"/>
      <c r="BN111" s="372" t="n"/>
      <c r="BO111" s="372" t="n"/>
      <c r="BP111" s="372" t="n"/>
      <c r="BQ111" s="372" t="n"/>
      <c r="BR111" s="372" t="n"/>
      <c r="BS111" s="372" t="n"/>
      <c r="BT111" s="372" t="n"/>
      <c r="BU111" s="372" t="n"/>
      <c r="BV111" s="372" t="n"/>
      <c r="BW111" s="372" t="n"/>
      <c r="BX111" s="372" t="n"/>
      <c r="BY111" s="372" t="n"/>
      <c r="BZ111" s="372" t="n"/>
      <c r="CA111" s="372" t="n"/>
      <c r="CB111" s="372" t="n"/>
      <c r="CC111" s="402" t="n"/>
      <c r="CF111" s="248" t="inlineStr">
        <is>
          <t>移動</t>
        </is>
      </c>
      <c r="CG111" s="377" t="n"/>
      <c r="CH111" s="377" t="n"/>
      <c r="CI111" s="378" t="n"/>
      <c r="CJ111" s="379">
        <f>IF(Q111="作業者1",E114-E111,0)</f>
        <v/>
      </c>
      <c r="CK111" s="377" t="n"/>
      <c r="CL111" s="377" t="n"/>
      <c r="CM111" s="377" t="n"/>
      <c r="CN111" s="378" t="n"/>
      <c r="CP111" s="248" t="inlineStr">
        <is>
          <t>移動</t>
        </is>
      </c>
      <c r="CQ111" s="377" t="n"/>
      <c r="CR111" s="377" t="n"/>
      <c r="CS111" s="378" t="n"/>
      <c r="CT111" s="379">
        <f>IF(Q111="作業者2",E114-E111,0)</f>
        <v/>
      </c>
      <c r="CU111" s="377" t="n"/>
      <c r="CV111" s="377" t="n"/>
      <c r="CW111" s="377" t="n"/>
      <c r="CX111" s="378" t="n"/>
      <c r="CZ111" s="248" t="inlineStr">
        <is>
          <t>移動</t>
        </is>
      </c>
      <c r="DA111" s="377" t="n"/>
      <c r="DB111" s="377" t="n"/>
      <c r="DC111" s="378" t="n"/>
      <c r="DD111" s="379">
        <f>IF(Q111="作業者3",E114-E111,0)</f>
        <v/>
      </c>
      <c r="DE111" s="377" t="n"/>
      <c r="DF111" s="377" t="n"/>
      <c r="DG111" s="377" t="n"/>
      <c r="DH111" s="378" t="n"/>
      <c r="DJ111" s="248" t="inlineStr">
        <is>
          <t>移動</t>
        </is>
      </c>
      <c r="DK111" s="377" t="n"/>
      <c r="DL111" s="377" t="n"/>
      <c r="DM111" s="378" t="n"/>
      <c r="DN111" s="379">
        <f>IF(Q111="作業者4",E114-E111,0)</f>
        <v/>
      </c>
      <c r="DO111" s="377" t="n"/>
      <c r="DP111" s="377" t="n"/>
      <c r="DQ111" s="377" t="n"/>
      <c r="DR111" s="378" t="n"/>
      <c r="DT111" s="259" t="inlineStr">
        <is>
          <t>移動</t>
        </is>
      </c>
      <c r="DU111" s="403" t="n"/>
      <c r="DV111" s="403" t="n"/>
      <c r="DW111" s="404" t="n"/>
      <c r="DX111" s="379">
        <f>IF(Q111="作業者5",E114-E111,0)</f>
        <v/>
      </c>
      <c r="DY111" s="377" t="n"/>
      <c r="DZ111" s="377" t="n"/>
      <c r="EA111" s="377" t="n"/>
      <c r="EB111" s="378" t="n"/>
    </row>
    <row r="112" ht="9" customHeight="1" s="337">
      <c r="B112" s="350" t="n"/>
      <c r="C112" s="338" t="n"/>
      <c r="D112" s="380" t="n"/>
      <c r="E112" s="381" t="n"/>
      <c r="F112" s="122" t="inlineStr">
        <is>
          <t>～</t>
        </is>
      </c>
      <c r="G112" s="22" t="n"/>
      <c r="H112" s="381" t="n"/>
      <c r="I112" s="122" t="inlineStr">
        <is>
          <t>～</t>
        </is>
      </c>
      <c r="J112" s="22" t="n"/>
      <c r="K112" s="381" t="n"/>
      <c r="L112" s="122" t="inlineStr">
        <is>
          <t>～</t>
        </is>
      </c>
      <c r="M112" s="22" t="n"/>
      <c r="N112" s="381" t="n"/>
      <c r="O112" s="122" t="inlineStr">
        <is>
          <t>～</t>
        </is>
      </c>
      <c r="P112" s="22" t="n"/>
      <c r="Q112" s="382" t="n"/>
      <c r="R112" s="338" t="n"/>
      <c r="S112" s="380" t="n"/>
      <c r="T112" s="382" t="n"/>
      <c r="U112" s="338" t="n"/>
      <c r="V112" s="380" t="n"/>
      <c r="W112" s="382" t="n"/>
      <c r="X112" s="338" t="n"/>
      <c r="Y112" s="338" t="n"/>
      <c r="Z112" s="338" t="n"/>
      <c r="AA112" s="338" t="n"/>
      <c r="AB112" s="338" t="n"/>
      <c r="AC112" s="338" t="n"/>
      <c r="AD112" s="338" t="n"/>
      <c r="AE112" s="338" t="n"/>
      <c r="AF112" s="338" t="n"/>
      <c r="AG112" s="338" t="n"/>
      <c r="AH112" s="338" t="n"/>
      <c r="AI112" s="338" t="n"/>
      <c r="AJ112" s="338" t="n"/>
      <c r="AK112" s="338" t="n"/>
      <c r="AL112" s="338" t="n"/>
      <c r="AM112" s="338" t="n"/>
      <c r="AN112" s="338" t="n"/>
      <c r="AO112" s="338" t="n"/>
      <c r="AP112" s="338" t="n"/>
      <c r="AQ112" s="338" t="n"/>
      <c r="AR112" s="338" t="n"/>
      <c r="AS112" s="338" t="n"/>
      <c r="AT112" s="338" t="n"/>
      <c r="AU112" s="338" t="n"/>
      <c r="AV112" s="338" t="n"/>
      <c r="AW112" s="338" t="n"/>
      <c r="AX112" s="338" t="n"/>
      <c r="AY112" s="338" t="n"/>
      <c r="AZ112" s="338" t="n"/>
      <c r="BA112" s="338" t="n"/>
      <c r="BB112" s="338" t="n"/>
      <c r="BC112" s="338" t="n"/>
      <c r="BD112" s="338" t="n"/>
      <c r="BE112" s="338" t="n"/>
      <c r="BF112" s="338" t="n"/>
      <c r="BG112" s="338" t="n"/>
      <c r="BH112" s="338" t="n"/>
      <c r="BI112" s="338" t="n"/>
      <c r="BJ112" s="338" t="n"/>
      <c r="BK112" s="338" t="n"/>
      <c r="BL112" s="338" t="n"/>
      <c r="BM112" s="338" t="n"/>
      <c r="BN112" s="338" t="n"/>
      <c r="BO112" s="338" t="n"/>
      <c r="BP112" s="338" t="n"/>
      <c r="BQ112" s="338" t="n"/>
      <c r="BR112" s="338" t="n"/>
      <c r="BS112" s="338" t="n"/>
      <c r="BT112" s="338" t="n"/>
      <c r="BU112" s="338" t="n"/>
      <c r="BV112" s="338" t="n"/>
      <c r="BW112" s="338" t="n"/>
      <c r="BX112" s="338" t="n"/>
      <c r="BY112" s="338" t="n"/>
      <c r="BZ112" s="338" t="n"/>
      <c r="CA112" s="338" t="n"/>
      <c r="CB112" s="338" t="n"/>
      <c r="CC112" s="383" t="n"/>
      <c r="CF112" s="253" t="inlineStr">
        <is>
          <t>時間内</t>
        </is>
      </c>
      <c r="CG112" s="384" t="n"/>
      <c r="CH112" s="384" t="n"/>
      <c r="CI112" s="385" t="n"/>
      <c r="CJ112" s="386">
        <f>IF(Q111="作業者1",H114-H111,0)</f>
        <v/>
      </c>
      <c r="CK112" s="387" t="n"/>
      <c r="CL112" s="387" t="n"/>
      <c r="CM112" s="387" t="n"/>
      <c r="CN112" s="388" t="n"/>
      <c r="CP112" s="253" t="inlineStr">
        <is>
          <t>時間内</t>
        </is>
      </c>
      <c r="CQ112" s="384" t="n"/>
      <c r="CR112" s="384" t="n"/>
      <c r="CS112" s="385" t="n"/>
      <c r="CT112" s="386">
        <f>IF(Q111="作業者2",H114-H111,0)</f>
        <v/>
      </c>
      <c r="CU112" s="387" t="n"/>
      <c r="CV112" s="387" t="n"/>
      <c r="CW112" s="387" t="n"/>
      <c r="CX112" s="388" t="n"/>
      <c r="CZ112" s="253" t="inlineStr">
        <is>
          <t>時間内</t>
        </is>
      </c>
      <c r="DA112" s="384" t="n"/>
      <c r="DB112" s="384" t="n"/>
      <c r="DC112" s="385" t="n"/>
      <c r="DD112" s="386">
        <f>IF(Q111="作業者3",H114-H111,0)</f>
        <v/>
      </c>
      <c r="DE112" s="387" t="n"/>
      <c r="DF112" s="387" t="n"/>
      <c r="DG112" s="387" t="n"/>
      <c r="DH112" s="388" t="n"/>
      <c r="DJ112" s="253" t="inlineStr">
        <is>
          <t>時間内</t>
        </is>
      </c>
      <c r="DK112" s="384" t="n"/>
      <c r="DL112" s="384" t="n"/>
      <c r="DM112" s="385" t="n"/>
      <c r="DN112" s="386">
        <f>IF(Q111="作業者4",H114-H111,0)</f>
        <v/>
      </c>
      <c r="DO112" s="387" t="n"/>
      <c r="DP112" s="387" t="n"/>
      <c r="DQ112" s="387" t="n"/>
      <c r="DR112" s="388" t="n"/>
      <c r="DT112" s="253" t="inlineStr">
        <is>
          <t>時間内</t>
        </is>
      </c>
      <c r="DU112" s="384" t="n"/>
      <c r="DV112" s="384" t="n"/>
      <c r="DW112" s="385" t="n"/>
      <c r="DX112" s="386">
        <f>IF(Q111="作業者5",H114-H111,0)</f>
        <v/>
      </c>
      <c r="DY112" s="387" t="n"/>
      <c r="DZ112" s="387" t="n"/>
      <c r="EA112" s="387" t="n"/>
      <c r="EB112" s="388" t="n"/>
    </row>
    <row r="113" ht="9" customHeight="1" s="337">
      <c r="B113" s="350" t="n"/>
      <c r="C113" s="338" t="n"/>
      <c r="D113" s="380" t="n"/>
      <c r="E113" s="23" t="n"/>
      <c r="F113" s="338" t="n"/>
      <c r="G113" s="24" t="n"/>
      <c r="H113" s="23" t="n"/>
      <c r="I113" s="338" t="n"/>
      <c r="J113" s="24" t="n"/>
      <c r="K113" s="23" t="n"/>
      <c r="L113" s="338" t="n"/>
      <c r="M113" s="24" t="n"/>
      <c r="N113" s="23" t="n"/>
      <c r="O113" s="338" t="n"/>
      <c r="P113" s="24" t="n"/>
      <c r="Q113" s="382" t="n"/>
      <c r="R113" s="338" t="n"/>
      <c r="S113" s="380" t="n"/>
      <c r="T113" s="382" t="n"/>
      <c r="U113" s="338" t="n"/>
      <c r="V113" s="380" t="n"/>
      <c r="W113" s="382" t="n"/>
      <c r="X113" s="338" t="n"/>
      <c r="Y113" s="338" t="n"/>
      <c r="Z113" s="338" t="n"/>
      <c r="AA113" s="338" t="n"/>
      <c r="AB113" s="338" t="n"/>
      <c r="AC113" s="338" t="n"/>
      <c r="AD113" s="338" t="n"/>
      <c r="AE113" s="338" t="n"/>
      <c r="AF113" s="338" t="n"/>
      <c r="AG113" s="338" t="n"/>
      <c r="AH113" s="338" t="n"/>
      <c r="AI113" s="338" t="n"/>
      <c r="AJ113" s="338" t="n"/>
      <c r="AK113" s="338" t="n"/>
      <c r="AL113" s="338" t="n"/>
      <c r="AM113" s="338" t="n"/>
      <c r="AN113" s="338" t="n"/>
      <c r="AO113" s="338" t="n"/>
      <c r="AP113" s="338" t="n"/>
      <c r="AQ113" s="338" t="n"/>
      <c r="AR113" s="338" t="n"/>
      <c r="AS113" s="338" t="n"/>
      <c r="AT113" s="338" t="n"/>
      <c r="AU113" s="338" t="n"/>
      <c r="AV113" s="338" t="n"/>
      <c r="AW113" s="338" t="n"/>
      <c r="AX113" s="338" t="n"/>
      <c r="AY113" s="338" t="n"/>
      <c r="AZ113" s="338" t="n"/>
      <c r="BA113" s="338" t="n"/>
      <c r="BB113" s="338" t="n"/>
      <c r="BC113" s="338" t="n"/>
      <c r="BD113" s="338" t="n"/>
      <c r="BE113" s="338" t="n"/>
      <c r="BF113" s="338" t="n"/>
      <c r="BG113" s="338" t="n"/>
      <c r="BH113" s="338" t="n"/>
      <c r="BI113" s="338" t="n"/>
      <c r="BJ113" s="338" t="n"/>
      <c r="BK113" s="338" t="n"/>
      <c r="BL113" s="338" t="n"/>
      <c r="BM113" s="338" t="n"/>
      <c r="BN113" s="338" t="n"/>
      <c r="BO113" s="338" t="n"/>
      <c r="BP113" s="338" t="n"/>
      <c r="BQ113" s="338" t="n"/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83" t="n"/>
      <c r="CF113" s="253" t="inlineStr">
        <is>
          <t>時間外</t>
        </is>
      </c>
      <c r="CG113" s="384" t="n"/>
      <c r="CH113" s="384" t="n"/>
      <c r="CI113" s="385" t="n"/>
      <c r="CJ113" s="386">
        <f>IF(Q111="作業者1",K114-K111,0)</f>
        <v/>
      </c>
      <c r="CK113" s="387" t="n"/>
      <c r="CL113" s="387" t="n"/>
      <c r="CM113" s="387" t="n"/>
      <c r="CN113" s="388" t="n"/>
      <c r="CP113" s="253" t="inlineStr">
        <is>
          <t>時間外</t>
        </is>
      </c>
      <c r="CQ113" s="384" t="n"/>
      <c r="CR113" s="384" t="n"/>
      <c r="CS113" s="385" t="n"/>
      <c r="CT113" s="386">
        <f>IF(Q111="作業者2",K114-K111,0)</f>
        <v/>
      </c>
      <c r="CU113" s="387" t="n"/>
      <c r="CV113" s="387" t="n"/>
      <c r="CW113" s="387" t="n"/>
      <c r="CX113" s="388" t="n"/>
      <c r="CZ113" s="253" t="inlineStr">
        <is>
          <t>時間外</t>
        </is>
      </c>
      <c r="DA113" s="384" t="n"/>
      <c r="DB113" s="384" t="n"/>
      <c r="DC113" s="385" t="n"/>
      <c r="DD113" s="386">
        <f>IF(Q111="作業者3",K114-K111,0)</f>
        <v/>
      </c>
      <c r="DE113" s="387" t="n"/>
      <c r="DF113" s="387" t="n"/>
      <c r="DG113" s="387" t="n"/>
      <c r="DH113" s="388" t="n"/>
      <c r="DJ113" s="253" t="inlineStr">
        <is>
          <t>時間外</t>
        </is>
      </c>
      <c r="DK113" s="384" t="n"/>
      <c r="DL113" s="384" t="n"/>
      <c r="DM113" s="385" t="n"/>
      <c r="DN113" s="386">
        <f>IF(Q111="作業者4",K114-K111,0)</f>
        <v/>
      </c>
      <c r="DO113" s="387" t="n"/>
      <c r="DP113" s="387" t="n"/>
      <c r="DQ113" s="387" t="n"/>
      <c r="DR113" s="388" t="n"/>
      <c r="DT113" s="253" t="inlineStr">
        <is>
          <t>時間外</t>
        </is>
      </c>
      <c r="DU113" s="384" t="n"/>
      <c r="DV113" s="384" t="n"/>
      <c r="DW113" s="385" t="n"/>
      <c r="DX113" s="386">
        <f>IF(Q111="作業者5",K114-K111,0)</f>
        <v/>
      </c>
      <c r="DY113" s="387" t="n"/>
      <c r="DZ113" s="387" t="n"/>
      <c r="EA113" s="387" t="n"/>
      <c r="EB113" s="388" t="n"/>
    </row>
    <row r="114" ht="9" customHeight="1" s="337">
      <c r="B114" s="389" t="n"/>
      <c r="C114" s="390" t="n"/>
      <c r="D114" s="391" t="n"/>
      <c r="E114" s="392" t="n"/>
      <c r="F114" s="390" t="n"/>
      <c r="G114" s="391" t="n"/>
      <c r="H114" s="392" t="n"/>
      <c r="I114" s="390" t="n"/>
      <c r="J114" s="391" t="n"/>
      <c r="K114" s="392" t="n"/>
      <c r="L114" s="390" t="n"/>
      <c r="M114" s="391" t="n"/>
      <c r="N114" s="392" t="n"/>
      <c r="O114" s="390" t="n"/>
      <c r="P114" s="391" t="n"/>
      <c r="Q114" s="393" t="n"/>
      <c r="R114" s="390" t="n"/>
      <c r="S114" s="391" t="n"/>
      <c r="T114" s="393" t="n"/>
      <c r="U114" s="390" t="n"/>
      <c r="V114" s="391" t="n"/>
      <c r="W114" s="393" t="n"/>
      <c r="X114" s="390" t="n"/>
      <c r="Y114" s="390" t="n"/>
      <c r="Z114" s="390" t="n"/>
      <c r="AA114" s="390" t="n"/>
      <c r="AB114" s="390" t="n"/>
      <c r="AC114" s="390" t="n"/>
      <c r="AD114" s="390" t="n"/>
      <c r="AE114" s="390" t="n"/>
      <c r="AF114" s="390" t="n"/>
      <c r="AG114" s="390" t="n"/>
      <c r="AH114" s="390" t="n"/>
      <c r="AI114" s="390" t="n"/>
      <c r="AJ114" s="390" t="n"/>
      <c r="AK114" s="390" t="n"/>
      <c r="AL114" s="390" t="n"/>
      <c r="AM114" s="390" t="n"/>
      <c r="AN114" s="390" t="n"/>
      <c r="AO114" s="390" t="n"/>
      <c r="AP114" s="390" t="n"/>
      <c r="AQ114" s="390" t="n"/>
      <c r="AR114" s="390" t="n"/>
      <c r="AS114" s="390" t="n"/>
      <c r="AT114" s="390" t="n"/>
      <c r="AU114" s="390" t="n"/>
      <c r="AV114" s="390" t="n"/>
      <c r="AW114" s="390" t="n"/>
      <c r="AX114" s="390" t="n"/>
      <c r="AY114" s="390" t="n"/>
      <c r="AZ114" s="390" t="n"/>
      <c r="BA114" s="390" t="n"/>
      <c r="BB114" s="390" t="n"/>
      <c r="BC114" s="390" t="n"/>
      <c r="BD114" s="390" t="n"/>
      <c r="BE114" s="390" t="n"/>
      <c r="BF114" s="390" t="n"/>
      <c r="BG114" s="390" t="n"/>
      <c r="BH114" s="390" t="n"/>
      <c r="BI114" s="390" t="n"/>
      <c r="BJ114" s="390" t="n"/>
      <c r="BK114" s="390" t="n"/>
      <c r="BL114" s="390" t="n"/>
      <c r="BM114" s="390" t="n"/>
      <c r="BN114" s="390" t="n"/>
      <c r="BO114" s="390" t="n"/>
      <c r="BP114" s="390" t="n"/>
      <c r="BQ114" s="390" t="n"/>
      <c r="BR114" s="390" t="n"/>
      <c r="BS114" s="390" t="n"/>
      <c r="BT114" s="390" t="n"/>
      <c r="BU114" s="390" t="n"/>
      <c r="BV114" s="390" t="n"/>
      <c r="BW114" s="390" t="n"/>
      <c r="BX114" s="390" t="n"/>
      <c r="BY114" s="390" t="n"/>
      <c r="BZ114" s="390" t="n"/>
      <c r="CA114" s="390" t="n"/>
      <c r="CB114" s="390" t="n"/>
      <c r="CC114" s="394" t="n"/>
      <c r="CF114" s="254" t="inlineStr">
        <is>
          <t>休日</t>
        </is>
      </c>
      <c r="CG114" s="395" t="n"/>
      <c r="CH114" s="395" t="n"/>
      <c r="CI114" s="396" t="n"/>
      <c r="CJ114" s="386">
        <f>IF(Q111="作業者1",N114-N111,0)</f>
        <v/>
      </c>
      <c r="CK114" s="387" t="n"/>
      <c r="CL114" s="387" t="n"/>
      <c r="CM114" s="387" t="n"/>
      <c r="CN114" s="388" t="n"/>
      <c r="CP114" s="253" t="inlineStr">
        <is>
          <t>休日</t>
        </is>
      </c>
      <c r="CQ114" s="384" t="n"/>
      <c r="CR114" s="384" t="n"/>
      <c r="CS114" s="385" t="n"/>
      <c r="CT114" s="386">
        <f>IF(Q111="作業者2",N114-N111,0)</f>
        <v/>
      </c>
      <c r="CU114" s="387" t="n"/>
      <c r="CV114" s="387" t="n"/>
      <c r="CW114" s="387" t="n"/>
      <c r="CX114" s="388" t="n"/>
      <c r="CZ114" s="254" t="inlineStr">
        <is>
          <t>休日</t>
        </is>
      </c>
      <c r="DA114" s="395" t="n"/>
      <c r="DB114" s="395" t="n"/>
      <c r="DC114" s="396" t="n"/>
      <c r="DD114" s="397">
        <f>IF(Q111="作業者3",N114-N111,0)</f>
        <v/>
      </c>
      <c r="DE114" s="395" t="n"/>
      <c r="DF114" s="395" t="n"/>
      <c r="DG114" s="395" t="n"/>
      <c r="DH114" s="396" t="n"/>
      <c r="DJ114" s="254" t="inlineStr">
        <is>
          <t>休日</t>
        </is>
      </c>
      <c r="DK114" s="395" t="n"/>
      <c r="DL114" s="395" t="n"/>
      <c r="DM114" s="396" t="n"/>
      <c r="DN114" s="397">
        <f>IF(Q111="作業者4",N114-N111,0)</f>
        <v/>
      </c>
      <c r="DO114" s="395" t="n"/>
      <c r="DP114" s="395" t="n"/>
      <c r="DQ114" s="395" t="n"/>
      <c r="DR114" s="396" t="n"/>
      <c r="DT114" s="254" t="inlineStr">
        <is>
          <t>休日</t>
        </is>
      </c>
      <c r="DU114" s="395" t="n"/>
      <c r="DV114" s="395" t="n"/>
      <c r="DW114" s="396" t="n"/>
      <c r="DX114" s="397">
        <f>IF(Q111="作業者5",N114-N111,0)</f>
        <v/>
      </c>
      <c r="DY114" s="395" t="n"/>
      <c r="DZ114" s="395" t="n"/>
      <c r="EA114" s="395" t="n"/>
      <c r="EB114" s="396" t="n"/>
    </row>
    <row r="115" ht="9" customHeight="1" s="337">
      <c r="B115" s="398" t="n"/>
      <c r="C115" s="372" t="n"/>
      <c r="D115" s="373" t="n"/>
      <c r="E115" s="399" t="n"/>
      <c r="F115" s="372" t="n"/>
      <c r="G115" s="373" t="n"/>
      <c r="H115" s="399" t="n"/>
      <c r="I115" s="372" t="n"/>
      <c r="J115" s="373" t="n"/>
      <c r="K115" s="399" t="n"/>
      <c r="L115" s="372" t="n"/>
      <c r="M115" s="373" t="n"/>
      <c r="N115" s="399" t="n"/>
      <c r="O115" s="372" t="n"/>
      <c r="P115" s="373" t="n"/>
      <c r="Q115" s="371" t="n"/>
      <c r="R115" s="372" t="n"/>
      <c r="S115" s="373" t="n"/>
      <c r="T115" s="371" t="n"/>
      <c r="U115" s="372" t="n"/>
      <c r="V115" s="373" t="n"/>
      <c r="W115" s="443" t="n"/>
      <c r="X115" s="372" t="n"/>
      <c r="Y115" s="372" t="n"/>
      <c r="Z115" s="372" t="n"/>
      <c r="AA115" s="372" t="n"/>
      <c r="AB115" s="372" t="n"/>
      <c r="AC115" s="372" t="n"/>
      <c r="AD115" s="372" t="n"/>
      <c r="AE115" s="372" t="n"/>
      <c r="AF115" s="372" t="n"/>
      <c r="AG115" s="372" t="n"/>
      <c r="AH115" s="372" t="n"/>
      <c r="AI115" s="372" t="n"/>
      <c r="AJ115" s="372" t="n"/>
      <c r="AK115" s="372" t="n"/>
      <c r="AL115" s="372" t="n"/>
      <c r="AM115" s="372" t="n"/>
      <c r="AN115" s="372" t="n"/>
      <c r="AO115" s="372" t="n"/>
      <c r="AP115" s="372" t="n"/>
      <c r="AQ115" s="372" t="n"/>
      <c r="AR115" s="372" t="n"/>
      <c r="AS115" s="372" t="n"/>
      <c r="AT115" s="372" t="n"/>
      <c r="AU115" s="372" t="n"/>
      <c r="AV115" s="372" t="n"/>
      <c r="AW115" s="372" t="n"/>
      <c r="AX115" s="372" t="n"/>
      <c r="AY115" s="372" t="n"/>
      <c r="AZ115" s="372" t="n"/>
      <c r="BA115" s="372" t="n"/>
      <c r="BB115" s="372" t="n"/>
      <c r="BC115" s="372" t="n"/>
      <c r="BD115" s="372" t="n"/>
      <c r="BE115" s="372" t="n"/>
      <c r="BF115" s="372" t="n"/>
      <c r="BG115" s="372" t="n"/>
      <c r="BH115" s="372" t="n"/>
      <c r="BI115" s="372" t="n"/>
      <c r="BJ115" s="372" t="n"/>
      <c r="BK115" s="372" t="n"/>
      <c r="BL115" s="372" t="n"/>
      <c r="BM115" s="372" t="n"/>
      <c r="BN115" s="372" t="n"/>
      <c r="BO115" s="372" t="n"/>
      <c r="BP115" s="372" t="n"/>
      <c r="BQ115" s="372" t="n"/>
      <c r="BR115" s="372" t="n"/>
      <c r="BS115" s="372" t="n"/>
      <c r="BT115" s="372" t="n"/>
      <c r="BU115" s="372" t="n"/>
      <c r="BV115" s="372" t="n"/>
      <c r="BW115" s="372" t="n"/>
      <c r="BX115" s="372" t="n"/>
      <c r="BY115" s="372" t="n"/>
      <c r="BZ115" s="372" t="n"/>
      <c r="CA115" s="372" t="n"/>
      <c r="CB115" s="372" t="n"/>
      <c r="CC115" s="402" t="n"/>
      <c r="CF115" s="259" t="inlineStr">
        <is>
          <t>移動</t>
        </is>
      </c>
      <c r="CG115" s="403" t="n"/>
      <c r="CH115" s="403" t="n"/>
      <c r="CI115" s="404" t="n"/>
      <c r="CJ115" s="379">
        <f>IF(Q115="作業者1",E118-E115,0)</f>
        <v/>
      </c>
      <c r="CK115" s="377" t="n"/>
      <c r="CL115" s="377" t="n"/>
      <c r="CM115" s="377" t="n"/>
      <c r="CN115" s="378" t="n"/>
      <c r="CP115" s="248" t="inlineStr">
        <is>
          <t>移動</t>
        </is>
      </c>
      <c r="CQ115" s="377" t="n"/>
      <c r="CR115" s="377" t="n"/>
      <c r="CS115" s="378" t="n"/>
      <c r="CT115" s="379">
        <f>IF(Q115="作業者2",E118-E115,0)</f>
        <v/>
      </c>
      <c r="CU115" s="377" t="n"/>
      <c r="CV115" s="377" t="n"/>
      <c r="CW115" s="377" t="n"/>
      <c r="CX115" s="378" t="n"/>
      <c r="CZ115" s="259" t="inlineStr">
        <is>
          <t>移動</t>
        </is>
      </c>
      <c r="DA115" s="403" t="n"/>
      <c r="DB115" s="403" t="n"/>
      <c r="DC115" s="404" t="n"/>
      <c r="DD115" s="405">
        <f>IF(Q115="作業者3",E118-E115,0)</f>
        <v/>
      </c>
      <c r="DE115" s="406" t="n"/>
      <c r="DF115" s="406" t="n"/>
      <c r="DG115" s="406" t="n"/>
      <c r="DH115" s="407" t="n"/>
      <c r="DJ115" s="259" t="inlineStr">
        <is>
          <t>移動</t>
        </is>
      </c>
      <c r="DK115" s="403" t="n"/>
      <c r="DL115" s="403" t="n"/>
      <c r="DM115" s="404" t="n"/>
      <c r="DN115" s="379">
        <f>IF(Q115="作業者4",E118-E115,0)</f>
        <v/>
      </c>
      <c r="DO115" s="377" t="n"/>
      <c r="DP115" s="377" t="n"/>
      <c r="DQ115" s="377" t="n"/>
      <c r="DR115" s="378" t="n"/>
      <c r="DT115" s="259" t="inlineStr">
        <is>
          <t>移動</t>
        </is>
      </c>
      <c r="DU115" s="403" t="n"/>
      <c r="DV115" s="403" t="n"/>
      <c r="DW115" s="404" t="n"/>
      <c r="DX115" s="379">
        <f>IF(Q115="作業者5",E118-E115,0)</f>
        <v/>
      </c>
      <c r="DY115" s="377" t="n"/>
      <c r="DZ115" s="377" t="n"/>
      <c r="EA115" s="377" t="n"/>
      <c r="EB115" s="378" t="n"/>
    </row>
    <row r="116" ht="9" customHeight="1" s="337">
      <c r="B116" s="350" t="n"/>
      <c r="C116" s="338" t="n"/>
      <c r="D116" s="380" t="n"/>
      <c r="E116" s="381" t="n"/>
      <c r="F116" s="122" t="inlineStr">
        <is>
          <t>～</t>
        </is>
      </c>
      <c r="G116" s="22" t="n"/>
      <c r="H116" s="381" t="n"/>
      <c r="I116" s="122" t="inlineStr">
        <is>
          <t>～</t>
        </is>
      </c>
      <c r="J116" s="22" t="n"/>
      <c r="K116" s="381" t="n"/>
      <c r="L116" s="122" t="inlineStr">
        <is>
          <t>～</t>
        </is>
      </c>
      <c r="M116" s="22" t="n"/>
      <c r="N116" s="381" t="n"/>
      <c r="O116" s="122" t="inlineStr">
        <is>
          <t>～</t>
        </is>
      </c>
      <c r="P116" s="22" t="n"/>
      <c r="Q116" s="382" t="n"/>
      <c r="R116" s="338" t="n"/>
      <c r="S116" s="380" t="n"/>
      <c r="T116" s="382" t="n"/>
      <c r="U116" s="338" t="n"/>
      <c r="V116" s="380" t="n"/>
      <c r="W116" s="382" t="n"/>
      <c r="X116" s="338" t="n"/>
      <c r="Y116" s="338" t="n"/>
      <c r="Z116" s="338" t="n"/>
      <c r="AA116" s="338" t="n"/>
      <c r="AB116" s="338" t="n"/>
      <c r="AC116" s="338" t="n"/>
      <c r="AD116" s="338" t="n"/>
      <c r="AE116" s="338" t="n"/>
      <c r="AF116" s="338" t="n"/>
      <c r="AG116" s="338" t="n"/>
      <c r="AH116" s="338" t="n"/>
      <c r="AI116" s="338" t="n"/>
      <c r="AJ116" s="338" t="n"/>
      <c r="AK116" s="338" t="n"/>
      <c r="AL116" s="338" t="n"/>
      <c r="AM116" s="338" t="n"/>
      <c r="AN116" s="338" t="n"/>
      <c r="AO116" s="338" t="n"/>
      <c r="AP116" s="338" t="n"/>
      <c r="AQ116" s="338" t="n"/>
      <c r="AR116" s="338" t="n"/>
      <c r="AS116" s="338" t="n"/>
      <c r="AT116" s="338" t="n"/>
      <c r="AU116" s="338" t="n"/>
      <c r="AV116" s="338" t="n"/>
      <c r="AW116" s="338" t="n"/>
      <c r="AX116" s="338" t="n"/>
      <c r="AY116" s="338" t="n"/>
      <c r="AZ116" s="338" t="n"/>
      <c r="BA116" s="338" t="n"/>
      <c r="BB116" s="338" t="n"/>
      <c r="BC116" s="338" t="n"/>
      <c r="BD116" s="338" t="n"/>
      <c r="BE116" s="338" t="n"/>
      <c r="BF116" s="338" t="n"/>
      <c r="BG116" s="338" t="n"/>
      <c r="BH116" s="338" t="n"/>
      <c r="BI116" s="338" t="n"/>
      <c r="BJ116" s="338" t="n"/>
      <c r="BK116" s="338" t="n"/>
      <c r="BL116" s="338" t="n"/>
      <c r="BM116" s="338" t="n"/>
      <c r="BN116" s="338" t="n"/>
      <c r="BO116" s="338" t="n"/>
      <c r="BP116" s="338" t="n"/>
      <c r="BQ116" s="338" t="n"/>
      <c r="BR116" s="338" t="n"/>
      <c r="BS116" s="338" t="n"/>
      <c r="BT116" s="338" t="n"/>
      <c r="BU116" s="338" t="n"/>
      <c r="BV116" s="338" t="n"/>
      <c r="BW116" s="338" t="n"/>
      <c r="BX116" s="338" t="n"/>
      <c r="BY116" s="338" t="n"/>
      <c r="BZ116" s="338" t="n"/>
      <c r="CA116" s="338" t="n"/>
      <c r="CB116" s="338" t="n"/>
      <c r="CC116" s="383" t="n"/>
      <c r="CF116" s="253" t="inlineStr">
        <is>
          <t>時間内</t>
        </is>
      </c>
      <c r="CG116" s="384" t="n"/>
      <c r="CH116" s="384" t="n"/>
      <c r="CI116" s="385" t="n"/>
      <c r="CJ116" s="386">
        <f>IF(Q115="作業者1",H118-H115,0)</f>
        <v/>
      </c>
      <c r="CK116" s="387" t="n"/>
      <c r="CL116" s="387" t="n"/>
      <c r="CM116" s="387" t="n"/>
      <c r="CN116" s="388" t="n"/>
      <c r="CP116" s="253" t="inlineStr">
        <is>
          <t>時間内</t>
        </is>
      </c>
      <c r="CQ116" s="384" t="n"/>
      <c r="CR116" s="384" t="n"/>
      <c r="CS116" s="385" t="n"/>
      <c r="CT116" s="386">
        <f>IF(Q115="作業者2",H118-H115,0)</f>
        <v/>
      </c>
      <c r="CU116" s="387" t="n"/>
      <c r="CV116" s="387" t="n"/>
      <c r="CW116" s="387" t="n"/>
      <c r="CX116" s="388" t="n"/>
      <c r="CZ116" s="253" t="inlineStr">
        <is>
          <t>時間内</t>
        </is>
      </c>
      <c r="DA116" s="384" t="n"/>
      <c r="DB116" s="384" t="n"/>
      <c r="DC116" s="385" t="n"/>
      <c r="DD116" s="386">
        <f>IF(Q115="作業者3",H118-H115,0)</f>
        <v/>
      </c>
      <c r="DE116" s="387" t="n"/>
      <c r="DF116" s="387" t="n"/>
      <c r="DG116" s="387" t="n"/>
      <c r="DH116" s="388" t="n"/>
      <c r="DJ116" s="253" t="inlineStr">
        <is>
          <t>時間内</t>
        </is>
      </c>
      <c r="DK116" s="384" t="n"/>
      <c r="DL116" s="384" t="n"/>
      <c r="DM116" s="385" t="n"/>
      <c r="DN116" s="386">
        <f>IF(Q115="作業者4",H118-H115,0)</f>
        <v/>
      </c>
      <c r="DO116" s="387" t="n"/>
      <c r="DP116" s="387" t="n"/>
      <c r="DQ116" s="387" t="n"/>
      <c r="DR116" s="388" t="n"/>
      <c r="DT116" s="253" t="inlineStr">
        <is>
          <t>時間内</t>
        </is>
      </c>
      <c r="DU116" s="384" t="n"/>
      <c r="DV116" s="384" t="n"/>
      <c r="DW116" s="385" t="n"/>
      <c r="DX116" s="386">
        <f>IF(Q115="作業者5",H118-H115,0)</f>
        <v/>
      </c>
      <c r="DY116" s="387" t="n"/>
      <c r="DZ116" s="387" t="n"/>
      <c r="EA116" s="387" t="n"/>
      <c r="EB116" s="388" t="n"/>
    </row>
    <row r="117" ht="9" customHeight="1" s="337">
      <c r="B117" s="350" t="n"/>
      <c r="C117" s="338" t="n"/>
      <c r="D117" s="380" t="n"/>
      <c r="E117" s="23" t="n"/>
      <c r="F117" s="338" t="n"/>
      <c r="G117" s="24" t="n"/>
      <c r="H117" s="23" t="n"/>
      <c r="I117" s="338" t="n"/>
      <c r="J117" s="24" t="n"/>
      <c r="K117" s="23" t="n"/>
      <c r="L117" s="338" t="n"/>
      <c r="M117" s="24" t="n"/>
      <c r="N117" s="23" t="n"/>
      <c r="O117" s="338" t="n"/>
      <c r="P117" s="24" t="n"/>
      <c r="Q117" s="382" t="n"/>
      <c r="R117" s="338" t="n"/>
      <c r="S117" s="380" t="n"/>
      <c r="T117" s="382" t="n"/>
      <c r="U117" s="338" t="n"/>
      <c r="V117" s="380" t="n"/>
      <c r="W117" s="382" t="n"/>
      <c r="X117" s="338" t="n"/>
      <c r="Y117" s="338" t="n"/>
      <c r="Z117" s="338" t="n"/>
      <c r="AA117" s="338" t="n"/>
      <c r="AB117" s="338" t="n"/>
      <c r="AC117" s="338" t="n"/>
      <c r="AD117" s="338" t="n"/>
      <c r="AE117" s="338" t="n"/>
      <c r="AF117" s="338" t="n"/>
      <c r="AG117" s="338" t="n"/>
      <c r="AH117" s="338" t="n"/>
      <c r="AI117" s="338" t="n"/>
      <c r="AJ117" s="338" t="n"/>
      <c r="AK117" s="338" t="n"/>
      <c r="AL117" s="338" t="n"/>
      <c r="AM117" s="338" t="n"/>
      <c r="AN117" s="338" t="n"/>
      <c r="AO117" s="338" t="n"/>
      <c r="AP117" s="338" t="n"/>
      <c r="AQ117" s="338" t="n"/>
      <c r="AR117" s="338" t="n"/>
      <c r="AS117" s="338" t="n"/>
      <c r="AT117" s="338" t="n"/>
      <c r="AU117" s="338" t="n"/>
      <c r="AV117" s="338" t="n"/>
      <c r="AW117" s="338" t="n"/>
      <c r="AX117" s="338" t="n"/>
      <c r="AY117" s="338" t="n"/>
      <c r="AZ117" s="338" t="n"/>
      <c r="BA117" s="338" t="n"/>
      <c r="BB117" s="338" t="n"/>
      <c r="BC117" s="338" t="n"/>
      <c r="BD117" s="338" t="n"/>
      <c r="BE117" s="338" t="n"/>
      <c r="BF117" s="338" t="n"/>
      <c r="BG117" s="338" t="n"/>
      <c r="BH117" s="338" t="n"/>
      <c r="BI117" s="338" t="n"/>
      <c r="BJ117" s="338" t="n"/>
      <c r="BK117" s="338" t="n"/>
      <c r="BL117" s="338" t="n"/>
      <c r="BM117" s="338" t="n"/>
      <c r="BN117" s="338" t="n"/>
      <c r="BO117" s="338" t="n"/>
      <c r="BP117" s="338" t="n"/>
      <c r="BQ117" s="338" t="n"/>
      <c r="BR117" s="338" t="n"/>
      <c r="BS117" s="338" t="n"/>
      <c r="BT117" s="338" t="n"/>
      <c r="BU117" s="338" t="n"/>
      <c r="BV117" s="338" t="n"/>
      <c r="BW117" s="338" t="n"/>
      <c r="BX117" s="338" t="n"/>
      <c r="BY117" s="338" t="n"/>
      <c r="BZ117" s="338" t="n"/>
      <c r="CA117" s="338" t="n"/>
      <c r="CB117" s="338" t="n"/>
      <c r="CC117" s="383" t="n"/>
      <c r="CF117" s="253" t="inlineStr">
        <is>
          <t>時間外</t>
        </is>
      </c>
      <c r="CG117" s="384" t="n"/>
      <c r="CH117" s="384" t="n"/>
      <c r="CI117" s="385" t="n"/>
      <c r="CJ117" s="386">
        <f>IF(Q115="作業者1",K118-K115,0)</f>
        <v/>
      </c>
      <c r="CK117" s="387" t="n"/>
      <c r="CL117" s="387" t="n"/>
      <c r="CM117" s="387" t="n"/>
      <c r="CN117" s="388" t="n"/>
      <c r="CP117" s="253" t="inlineStr">
        <is>
          <t>時間外</t>
        </is>
      </c>
      <c r="CQ117" s="384" t="n"/>
      <c r="CR117" s="384" t="n"/>
      <c r="CS117" s="385" t="n"/>
      <c r="CT117" s="386">
        <f>IF(Q115="作業者2",K118-K115,0)</f>
        <v/>
      </c>
      <c r="CU117" s="387" t="n"/>
      <c r="CV117" s="387" t="n"/>
      <c r="CW117" s="387" t="n"/>
      <c r="CX117" s="388" t="n"/>
      <c r="CZ117" s="253" t="inlineStr">
        <is>
          <t>時間外</t>
        </is>
      </c>
      <c r="DA117" s="384" t="n"/>
      <c r="DB117" s="384" t="n"/>
      <c r="DC117" s="385" t="n"/>
      <c r="DD117" s="386">
        <f>IF(Q115="作業者3",K118-K115,0)</f>
        <v/>
      </c>
      <c r="DE117" s="387" t="n"/>
      <c r="DF117" s="387" t="n"/>
      <c r="DG117" s="387" t="n"/>
      <c r="DH117" s="388" t="n"/>
      <c r="DJ117" s="253" t="inlineStr">
        <is>
          <t>時間外</t>
        </is>
      </c>
      <c r="DK117" s="384" t="n"/>
      <c r="DL117" s="384" t="n"/>
      <c r="DM117" s="385" t="n"/>
      <c r="DN117" s="386">
        <f>IF(Q115="作業者4",K118-K115,0)</f>
        <v/>
      </c>
      <c r="DO117" s="387" t="n"/>
      <c r="DP117" s="387" t="n"/>
      <c r="DQ117" s="387" t="n"/>
      <c r="DR117" s="388" t="n"/>
      <c r="DT117" s="253" t="inlineStr">
        <is>
          <t>時間外</t>
        </is>
      </c>
      <c r="DU117" s="384" t="n"/>
      <c r="DV117" s="384" t="n"/>
      <c r="DW117" s="385" t="n"/>
      <c r="DX117" s="386">
        <f>IF(Q115="作業者5",K118-K115,0)</f>
        <v/>
      </c>
      <c r="DY117" s="387" t="n"/>
      <c r="DZ117" s="387" t="n"/>
      <c r="EA117" s="387" t="n"/>
      <c r="EB117" s="388" t="n"/>
    </row>
    <row r="118" ht="9" customHeight="1" s="337">
      <c r="B118" s="389" t="n"/>
      <c r="C118" s="390" t="n"/>
      <c r="D118" s="391" t="n"/>
      <c r="E118" s="392" t="n"/>
      <c r="F118" s="390" t="n"/>
      <c r="G118" s="391" t="n"/>
      <c r="H118" s="392" t="n"/>
      <c r="I118" s="390" t="n"/>
      <c r="J118" s="391" t="n"/>
      <c r="K118" s="392" t="n"/>
      <c r="L118" s="390" t="n"/>
      <c r="M118" s="391" t="n"/>
      <c r="N118" s="392" t="n"/>
      <c r="O118" s="390" t="n"/>
      <c r="P118" s="391" t="n"/>
      <c r="Q118" s="393" t="n"/>
      <c r="R118" s="390" t="n"/>
      <c r="S118" s="391" t="n"/>
      <c r="T118" s="393" t="n"/>
      <c r="U118" s="390" t="n"/>
      <c r="V118" s="391" t="n"/>
      <c r="W118" s="393" t="n"/>
      <c r="X118" s="390" t="n"/>
      <c r="Y118" s="390" t="n"/>
      <c r="Z118" s="390" t="n"/>
      <c r="AA118" s="390" t="n"/>
      <c r="AB118" s="390" t="n"/>
      <c r="AC118" s="390" t="n"/>
      <c r="AD118" s="390" t="n"/>
      <c r="AE118" s="390" t="n"/>
      <c r="AF118" s="390" t="n"/>
      <c r="AG118" s="390" t="n"/>
      <c r="AH118" s="390" t="n"/>
      <c r="AI118" s="390" t="n"/>
      <c r="AJ118" s="390" t="n"/>
      <c r="AK118" s="390" t="n"/>
      <c r="AL118" s="390" t="n"/>
      <c r="AM118" s="390" t="n"/>
      <c r="AN118" s="390" t="n"/>
      <c r="AO118" s="390" t="n"/>
      <c r="AP118" s="390" t="n"/>
      <c r="AQ118" s="390" t="n"/>
      <c r="AR118" s="390" t="n"/>
      <c r="AS118" s="390" t="n"/>
      <c r="AT118" s="390" t="n"/>
      <c r="AU118" s="390" t="n"/>
      <c r="AV118" s="390" t="n"/>
      <c r="AW118" s="390" t="n"/>
      <c r="AX118" s="390" t="n"/>
      <c r="AY118" s="390" t="n"/>
      <c r="AZ118" s="390" t="n"/>
      <c r="BA118" s="390" t="n"/>
      <c r="BB118" s="390" t="n"/>
      <c r="BC118" s="390" t="n"/>
      <c r="BD118" s="390" t="n"/>
      <c r="BE118" s="390" t="n"/>
      <c r="BF118" s="390" t="n"/>
      <c r="BG118" s="390" t="n"/>
      <c r="BH118" s="390" t="n"/>
      <c r="BI118" s="390" t="n"/>
      <c r="BJ118" s="390" t="n"/>
      <c r="BK118" s="390" t="n"/>
      <c r="BL118" s="390" t="n"/>
      <c r="BM118" s="390" t="n"/>
      <c r="BN118" s="390" t="n"/>
      <c r="BO118" s="390" t="n"/>
      <c r="BP118" s="390" t="n"/>
      <c r="BQ118" s="390" t="n"/>
      <c r="BR118" s="390" t="n"/>
      <c r="BS118" s="390" t="n"/>
      <c r="BT118" s="390" t="n"/>
      <c r="BU118" s="390" t="n"/>
      <c r="BV118" s="390" t="n"/>
      <c r="BW118" s="390" t="n"/>
      <c r="BX118" s="390" t="n"/>
      <c r="BY118" s="390" t="n"/>
      <c r="BZ118" s="390" t="n"/>
      <c r="CA118" s="390" t="n"/>
      <c r="CB118" s="390" t="n"/>
      <c r="CC118" s="394" t="n"/>
      <c r="CF118" s="254" t="inlineStr">
        <is>
          <t>休日</t>
        </is>
      </c>
      <c r="CG118" s="395" t="n"/>
      <c r="CH118" s="395" t="n"/>
      <c r="CI118" s="396" t="n"/>
      <c r="CJ118" s="397">
        <f>IF(Q115="作業者1",N118-N115,0)</f>
        <v/>
      </c>
      <c r="CK118" s="395" t="n"/>
      <c r="CL118" s="395" t="n"/>
      <c r="CM118" s="395" t="n"/>
      <c r="CN118" s="396" t="n"/>
      <c r="CP118" s="254" t="inlineStr">
        <is>
          <t>休日</t>
        </is>
      </c>
      <c r="CQ118" s="395" t="n"/>
      <c r="CR118" s="395" t="n"/>
      <c r="CS118" s="396" t="n"/>
      <c r="CT118" s="397">
        <f>IF(Q115="作業者2",N118-N115,0)</f>
        <v/>
      </c>
      <c r="CU118" s="395" t="n"/>
      <c r="CV118" s="395" t="n"/>
      <c r="CW118" s="395" t="n"/>
      <c r="CX118" s="396" t="n"/>
      <c r="CZ118" s="254" t="inlineStr">
        <is>
          <t>休日</t>
        </is>
      </c>
      <c r="DA118" s="395" t="n"/>
      <c r="DB118" s="395" t="n"/>
      <c r="DC118" s="396" t="n"/>
      <c r="DD118" s="397">
        <f>IF(Q115="作業者3",N118-N115,0)</f>
        <v/>
      </c>
      <c r="DE118" s="395" t="n"/>
      <c r="DF118" s="395" t="n"/>
      <c r="DG118" s="395" t="n"/>
      <c r="DH118" s="396" t="n"/>
      <c r="DJ118" s="254" t="inlineStr">
        <is>
          <t>休日</t>
        </is>
      </c>
      <c r="DK118" s="395" t="n"/>
      <c r="DL118" s="395" t="n"/>
      <c r="DM118" s="396" t="n"/>
      <c r="DN118" s="397">
        <f>IF(Q115="作業者4",N118-N115,0)</f>
        <v/>
      </c>
      <c r="DO118" s="395" t="n"/>
      <c r="DP118" s="395" t="n"/>
      <c r="DQ118" s="395" t="n"/>
      <c r="DR118" s="396" t="n"/>
      <c r="DT118" s="254" t="inlineStr">
        <is>
          <t>休日</t>
        </is>
      </c>
      <c r="DU118" s="395" t="n"/>
      <c r="DV118" s="395" t="n"/>
      <c r="DW118" s="396" t="n"/>
      <c r="DX118" s="397">
        <f>IF(Q115="作業者5",N118-N115,0)</f>
        <v/>
      </c>
      <c r="DY118" s="395" t="n"/>
      <c r="DZ118" s="395" t="n"/>
      <c r="EA118" s="395" t="n"/>
      <c r="EB118" s="396" t="n"/>
    </row>
    <row r="119" ht="9" customHeight="1" s="337">
      <c r="B119" s="398" t="n"/>
      <c r="C119" s="372" t="n"/>
      <c r="D119" s="373" t="n"/>
      <c r="E119" s="399" t="n"/>
      <c r="F119" s="372" t="n"/>
      <c r="G119" s="373" t="n"/>
      <c r="H119" s="399" t="n"/>
      <c r="I119" s="372" t="n"/>
      <c r="J119" s="373" t="n"/>
      <c r="K119" s="399" t="n"/>
      <c r="L119" s="372" t="n"/>
      <c r="M119" s="373" t="n"/>
      <c r="N119" s="399" t="n"/>
      <c r="O119" s="372" t="n"/>
      <c r="P119" s="373" t="n"/>
      <c r="Q119" s="371" t="n"/>
      <c r="R119" s="372" t="n"/>
      <c r="S119" s="373" t="n"/>
      <c r="T119" s="371" t="n"/>
      <c r="U119" s="372" t="n"/>
      <c r="V119" s="373" t="n"/>
      <c r="W119" s="443" t="n"/>
      <c r="X119" s="372" t="n"/>
      <c r="Y119" s="372" t="n"/>
      <c r="Z119" s="372" t="n"/>
      <c r="AA119" s="372" t="n"/>
      <c r="AB119" s="372" t="n"/>
      <c r="AC119" s="372" t="n"/>
      <c r="AD119" s="372" t="n"/>
      <c r="AE119" s="372" t="n"/>
      <c r="AF119" s="372" t="n"/>
      <c r="AG119" s="372" t="n"/>
      <c r="AH119" s="372" t="n"/>
      <c r="AI119" s="372" t="n"/>
      <c r="AJ119" s="372" t="n"/>
      <c r="AK119" s="372" t="n"/>
      <c r="AL119" s="372" t="n"/>
      <c r="AM119" s="372" t="n"/>
      <c r="AN119" s="372" t="n"/>
      <c r="AO119" s="372" t="n"/>
      <c r="AP119" s="372" t="n"/>
      <c r="AQ119" s="372" t="n"/>
      <c r="AR119" s="372" t="n"/>
      <c r="AS119" s="372" t="n"/>
      <c r="AT119" s="372" t="n"/>
      <c r="AU119" s="372" t="n"/>
      <c r="AV119" s="372" t="n"/>
      <c r="AW119" s="372" t="n"/>
      <c r="AX119" s="372" t="n"/>
      <c r="AY119" s="372" t="n"/>
      <c r="AZ119" s="372" t="n"/>
      <c r="BA119" s="372" t="n"/>
      <c r="BB119" s="372" t="n"/>
      <c r="BC119" s="372" t="n"/>
      <c r="BD119" s="372" t="n"/>
      <c r="BE119" s="372" t="n"/>
      <c r="BF119" s="372" t="n"/>
      <c r="BG119" s="372" t="n"/>
      <c r="BH119" s="372" t="n"/>
      <c r="BI119" s="372" t="n"/>
      <c r="BJ119" s="372" t="n"/>
      <c r="BK119" s="372" t="n"/>
      <c r="BL119" s="372" t="n"/>
      <c r="BM119" s="372" t="n"/>
      <c r="BN119" s="372" t="n"/>
      <c r="BO119" s="372" t="n"/>
      <c r="BP119" s="372" t="n"/>
      <c r="BQ119" s="372" t="n"/>
      <c r="BR119" s="372" t="n"/>
      <c r="BS119" s="372" t="n"/>
      <c r="BT119" s="372" t="n"/>
      <c r="BU119" s="372" t="n"/>
      <c r="BV119" s="372" t="n"/>
      <c r="BW119" s="372" t="n"/>
      <c r="BX119" s="372" t="n"/>
      <c r="BY119" s="372" t="n"/>
      <c r="BZ119" s="372" t="n"/>
      <c r="CA119" s="372" t="n"/>
      <c r="CB119" s="372" t="n"/>
      <c r="CC119" s="402" t="n"/>
      <c r="CF119" s="248" t="inlineStr">
        <is>
          <t>移動</t>
        </is>
      </c>
      <c r="CG119" s="377" t="n"/>
      <c r="CH119" s="377" t="n"/>
      <c r="CI119" s="378" t="n"/>
      <c r="CJ119" s="379">
        <f>IF(Q119="作業者1",E122-E119,0)</f>
        <v/>
      </c>
      <c r="CK119" s="377" t="n"/>
      <c r="CL119" s="377" t="n"/>
      <c r="CM119" s="377" t="n"/>
      <c r="CN119" s="378" t="n"/>
      <c r="CP119" s="248" t="inlineStr">
        <is>
          <t>移動</t>
        </is>
      </c>
      <c r="CQ119" s="377" t="n"/>
      <c r="CR119" s="377" t="n"/>
      <c r="CS119" s="378" t="n"/>
      <c r="CT119" s="379">
        <f>IF(Q119="作業者2",E122-E119,0)</f>
        <v/>
      </c>
      <c r="CU119" s="377" t="n"/>
      <c r="CV119" s="377" t="n"/>
      <c r="CW119" s="377" t="n"/>
      <c r="CX119" s="378" t="n"/>
      <c r="CZ119" s="248" t="inlineStr">
        <is>
          <t>移動</t>
        </is>
      </c>
      <c r="DA119" s="377" t="n"/>
      <c r="DB119" s="377" t="n"/>
      <c r="DC119" s="378" t="n"/>
      <c r="DD119" s="379">
        <f>IF(Q119="作業者3",E122-E119,0)</f>
        <v/>
      </c>
      <c r="DE119" s="377" t="n"/>
      <c r="DF119" s="377" t="n"/>
      <c r="DG119" s="377" t="n"/>
      <c r="DH119" s="378" t="n"/>
      <c r="DJ119" s="248" t="inlineStr">
        <is>
          <t>移動</t>
        </is>
      </c>
      <c r="DK119" s="377" t="n"/>
      <c r="DL119" s="377" t="n"/>
      <c r="DM119" s="378" t="n"/>
      <c r="DN119" s="379">
        <f>IF(Q119="作業者4",E122-E119,0)</f>
        <v/>
      </c>
      <c r="DO119" s="377" t="n"/>
      <c r="DP119" s="377" t="n"/>
      <c r="DQ119" s="377" t="n"/>
      <c r="DR119" s="378" t="n"/>
      <c r="DT119" s="259" t="inlineStr">
        <is>
          <t>移動</t>
        </is>
      </c>
      <c r="DU119" s="403" t="n"/>
      <c r="DV119" s="403" t="n"/>
      <c r="DW119" s="404" t="n"/>
      <c r="DX119" s="379">
        <f>IF(Q119="作業者5",E122-E119,0)</f>
        <v/>
      </c>
      <c r="DY119" s="377" t="n"/>
      <c r="DZ119" s="377" t="n"/>
      <c r="EA119" s="377" t="n"/>
      <c r="EB119" s="378" t="n"/>
    </row>
    <row r="120" ht="9" customHeight="1" s="337">
      <c r="B120" s="350" t="n"/>
      <c r="C120" s="338" t="n"/>
      <c r="D120" s="380" t="n"/>
      <c r="E120" s="381" t="n"/>
      <c r="F120" s="122" t="inlineStr">
        <is>
          <t>～</t>
        </is>
      </c>
      <c r="G120" s="22" t="n"/>
      <c r="H120" s="381" t="n"/>
      <c r="I120" s="122" t="inlineStr">
        <is>
          <t>～</t>
        </is>
      </c>
      <c r="J120" s="22" t="n"/>
      <c r="K120" s="381" t="n"/>
      <c r="L120" s="122" t="inlineStr">
        <is>
          <t>～</t>
        </is>
      </c>
      <c r="M120" s="22" t="n"/>
      <c r="N120" s="381" t="n"/>
      <c r="O120" s="122" t="inlineStr">
        <is>
          <t>～</t>
        </is>
      </c>
      <c r="P120" s="22" t="n"/>
      <c r="Q120" s="382" t="n"/>
      <c r="R120" s="338" t="n"/>
      <c r="S120" s="380" t="n"/>
      <c r="T120" s="382" t="n"/>
      <c r="U120" s="338" t="n"/>
      <c r="V120" s="380" t="n"/>
      <c r="W120" s="382" t="n"/>
      <c r="X120" s="338" t="n"/>
      <c r="Y120" s="338" t="n"/>
      <c r="Z120" s="338" t="n"/>
      <c r="AA120" s="338" t="n"/>
      <c r="AB120" s="338" t="n"/>
      <c r="AC120" s="338" t="n"/>
      <c r="AD120" s="338" t="n"/>
      <c r="AE120" s="338" t="n"/>
      <c r="AF120" s="338" t="n"/>
      <c r="AG120" s="338" t="n"/>
      <c r="AH120" s="338" t="n"/>
      <c r="AI120" s="338" t="n"/>
      <c r="AJ120" s="338" t="n"/>
      <c r="AK120" s="338" t="n"/>
      <c r="AL120" s="338" t="n"/>
      <c r="AM120" s="338" t="n"/>
      <c r="AN120" s="338" t="n"/>
      <c r="AO120" s="338" t="n"/>
      <c r="AP120" s="338" t="n"/>
      <c r="AQ120" s="338" t="n"/>
      <c r="AR120" s="338" t="n"/>
      <c r="AS120" s="338" t="n"/>
      <c r="AT120" s="338" t="n"/>
      <c r="AU120" s="338" t="n"/>
      <c r="AV120" s="338" t="n"/>
      <c r="AW120" s="338" t="n"/>
      <c r="AX120" s="338" t="n"/>
      <c r="AY120" s="338" t="n"/>
      <c r="AZ120" s="338" t="n"/>
      <c r="BA120" s="338" t="n"/>
      <c r="BB120" s="338" t="n"/>
      <c r="BC120" s="338" t="n"/>
      <c r="BD120" s="338" t="n"/>
      <c r="BE120" s="338" t="n"/>
      <c r="BF120" s="338" t="n"/>
      <c r="BG120" s="338" t="n"/>
      <c r="BH120" s="338" t="n"/>
      <c r="BI120" s="338" t="n"/>
      <c r="BJ120" s="338" t="n"/>
      <c r="BK120" s="338" t="n"/>
      <c r="BL120" s="338" t="n"/>
      <c r="BM120" s="338" t="n"/>
      <c r="BN120" s="338" t="n"/>
      <c r="BO120" s="338" t="n"/>
      <c r="BP120" s="338" t="n"/>
      <c r="BQ120" s="338" t="n"/>
      <c r="BR120" s="338" t="n"/>
      <c r="BS120" s="338" t="n"/>
      <c r="BT120" s="338" t="n"/>
      <c r="BU120" s="338" t="n"/>
      <c r="BV120" s="338" t="n"/>
      <c r="BW120" s="338" t="n"/>
      <c r="BX120" s="338" t="n"/>
      <c r="BY120" s="338" t="n"/>
      <c r="BZ120" s="338" t="n"/>
      <c r="CA120" s="338" t="n"/>
      <c r="CB120" s="338" t="n"/>
      <c r="CC120" s="383" t="n"/>
      <c r="CF120" s="253" t="inlineStr">
        <is>
          <t>時間内</t>
        </is>
      </c>
      <c r="CG120" s="384" t="n"/>
      <c r="CH120" s="384" t="n"/>
      <c r="CI120" s="385" t="n"/>
      <c r="CJ120" s="386">
        <f>IF(Q119="作業者1",H122-H119,0)</f>
        <v/>
      </c>
      <c r="CK120" s="387" t="n"/>
      <c r="CL120" s="387" t="n"/>
      <c r="CM120" s="387" t="n"/>
      <c r="CN120" s="388" t="n"/>
      <c r="CP120" s="253" t="inlineStr">
        <is>
          <t>時間内</t>
        </is>
      </c>
      <c r="CQ120" s="384" t="n"/>
      <c r="CR120" s="384" t="n"/>
      <c r="CS120" s="385" t="n"/>
      <c r="CT120" s="386">
        <f>IF(Q119="作業者2",H122-H119,0)</f>
        <v/>
      </c>
      <c r="CU120" s="387" t="n"/>
      <c r="CV120" s="387" t="n"/>
      <c r="CW120" s="387" t="n"/>
      <c r="CX120" s="388" t="n"/>
      <c r="CZ120" s="253" t="inlineStr">
        <is>
          <t>時間内</t>
        </is>
      </c>
      <c r="DA120" s="384" t="n"/>
      <c r="DB120" s="384" t="n"/>
      <c r="DC120" s="385" t="n"/>
      <c r="DD120" s="386">
        <f>IF(Q119="作業者3",H122-H119,0)</f>
        <v/>
      </c>
      <c r="DE120" s="387" t="n"/>
      <c r="DF120" s="387" t="n"/>
      <c r="DG120" s="387" t="n"/>
      <c r="DH120" s="388" t="n"/>
      <c r="DJ120" s="253" t="inlineStr">
        <is>
          <t>時間内</t>
        </is>
      </c>
      <c r="DK120" s="384" t="n"/>
      <c r="DL120" s="384" t="n"/>
      <c r="DM120" s="385" t="n"/>
      <c r="DN120" s="386">
        <f>IF(Q119="作業者4",H122-H119,0)</f>
        <v/>
      </c>
      <c r="DO120" s="387" t="n"/>
      <c r="DP120" s="387" t="n"/>
      <c r="DQ120" s="387" t="n"/>
      <c r="DR120" s="388" t="n"/>
      <c r="DT120" s="253" t="inlineStr">
        <is>
          <t>時間内</t>
        </is>
      </c>
      <c r="DU120" s="384" t="n"/>
      <c r="DV120" s="384" t="n"/>
      <c r="DW120" s="385" t="n"/>
      <c r="DX120" s="386">
        <f>IF(Q119="作業者5",H122-H119,0)</f>
        <v/>
      </c>
      <c r="DY120" s="387" t="n"/>
      <c r="DZ120" s="387" t="n"/>
      <c r="EA120" s="387" t="n"/>
      <c r="EB120" s="388" t="n"/>
    </row>
    <row r="121" ht="9" customHeight="1" s="337">
      <c r="B121" s="350" t="n"/>
      <c r="C121" s="338" t="n"/>
      <c r="D121" s="380" t="n"/>
      <c r="E121" s="23" t="n"/>
      <c r="F121" s="338" t="n"/>
      <c r="G121" s="24" t="n"/>
      <c r="H121" s="23" t="n"/>
      <c r="I121" s="338" t="n"/>
      <c r="J121" s="24" t="n"/>
      <c r="K121" s="23" t="n"/>
      <c r="L121" s="338" t="n"/>
      <c r="M121" s="24" t="n"/>
      <c r="N121" s="23" t="n"/>
      <c r="O121" s="338" t="n"/>
      <c r="P121" s="24" t="n"/>
      <c r="Q121" s="382" t="n"/>
      <c r="R121" s="338" t="n"/>
      <c r="S121" s="380" t="n"/>
      <c r="T121" s="382" t="n"/>
      <c r="U121" s="338" t="n"/>
      <c r="V121" s="380" t="n"/>
      <c r="W121" s="382" t="n"/>
      <c r="X121" s="338" t="n"/>
      <c r="Y121" s="338" t="n"/>
      <c r="Z121" s="338" t="n"/>
      <c r="AA121" s="338" t="n"/>
      <c r="AB121" s="338" t="n"/>
      <c r="AC121" s="338" t="n"/>
      <c r="AD121" s="338" t="n"/>
      <c r="AE121" s="338" t="n"/>
      <c r="AF121" s="338" t="n"/>
      <c r="AG121" s="338" t="n"/>
      <c r="AH121" s="338" t="n"/>
      <c r="AI121" s="338" t="n"/>
      <c r="AJ121" s="338" t="n"/>
      <c r="AK121" s="338" t="n"/>
      <c r="AL121" s="338" t="n"/>
      <c r="AM121" s="338" t="n"/>
      <c r="AN121" s="338" t="n"/>
      <c r="AO121" s="338" t="n"/>
      <c r="AP121" s="338" t="n"/>
      <c r="AQ121" s="338" t="n"/>
      <c r="AR121" s="338" t="n"/>
      <c r="AS121" s="338" t="n"/>
      <c r="AT121" s="338" t="n"/>
      <c r="AU121" s="338" t="n"/>
      <c r="AV121" s="338" t="n"/>
      <c r="AW121" s="338" t="n"/>
      <c r="AX121" s="338" t="n"/>
      <c r="AY121" s="338" t="n"/>
      <c r="AZ121" s="338" t="n"/>
      <c r="BA121" s="338" t="n"/>
      <c r="BB121" s="338" t="n"/>
      <c r="BC121" s="338" t="n"/>
      <c r="BD121" s="338" t="n"/>
      <c r="BE121" s="338" t="n"/>
      <c r="BF121" s="338" t="n"/>
      <c r="BG121" s="338" t="n"/>
      <c r="BH121" s="338" t="n"/>
      <c r="BI121" s="338" t="n"/>
      <c r="BJ121" s="338" t="n"/>
      <c r="BK121" s="338" t="n"/>
      <c r="BL121" s="338" t="n"/>
      <c r="BM121" s="338" t="n"/>
      <c r="BN121" s="338" t="n"/>
      <c r="BO121" s="338" t="n"/>
      <c r="BP121" s="338" t="n"/>
      <c r="BQ121" s="338" t="n"/>
      <c r="BR121" s="338" t="n"/>
      <c r="BS121" s="338" t="n"/>
      <c r="BT121" s="338" t="n"/>
      <c r="BU121" s="338" t="n"/>
      <c r="BV121" s="338" t="n"/>
      <c r="BW121" s="338" t="n"/>
      <c r="BX121" s="338" t="n"/>
      <c r="BY121" s="338" t="n"/>
      <c r="BZ121" s="338" t="n"/>
      <c r="CA121" s="338" t="n"/>
      <c r="CB121" s="338" t="n"/>
      <c r="CC121" s="383" t="n"/>
      <c r="CF121" s="253" t="inlineStr">
        <is>
          <t>時間外</t>
        </is>
      </c>
      <c r="CG121" s="384" t="n"/>
      <c r="CH121" s="384" t="n"/>
      <c r="CI121" s="385" t="n"/>
      <c r="CJ121" s="386">
        <f>IF(Q119="作業者1",K122-K119,0)</f>
        <v/>
      </c>
      <c r="CK121" s="387" t="n"/>
      <c r="CL121" s="387" t="n"/>
      <c r="CM121" s="387" t="n"/>
      <c r="CN121" s="388" t="n"/>
      <c r="CP121" s="253" t="inlineStr">
        <is>
          <t>時間外</t>
        </is>
      </c>
      <c r="CQ121" s="384" t="n"/>
      <c r="CR121" s="384" t="n"/>
      <c r="CS121" s="385" t="n"/>
      <c r="CT121" s="386">
        <f>IF(Q119="作業者2",K122-K119,0)</f>
        <v/>
      </c>
      <c r="CU121" s="387" t="n"/>
      <c r="CV121" s="387" t="n"/>
      <c r="CW121" s="387" t="n"/>
      <c r="CX121" s="388" t="n"/>
      <c r="CZ121" s="253" t="inlineStr">
        <is>
          <t>時間外</t>
        </is>
      </c>
      <c r="DA121" s="384" t="n"/>
      <c r="DB121" s="384" t="n"/>
      <c r="DC121" s="385" t="n"/>
      <c r="DD121" s="386">
        <f>IF(Q119="作業者3",K122-K119,0)</f>
        <v/>
      </c>
      <c r="DE121" s="387" t="n"/>
      <c r="DF121" s="387" t="n"/>
      <c r="DG121" s="387" t="n"/>
      <c r="DH121" s="388" t="n"/>
      <c r="DJ121" s="253" t="inlineStr">
        <is>
          <t>時間外</t>
        </is>
      </c>
      <c r="DK121" s="384" t="n"/>
      <c r="DL121" s="384" t="n"/>
      <c r="DM121" s="385" t="n"/>
      <c r="DN121" s="386">
        <f>IF(Q119="作業者4",K122-K119,0)</f>
        <v/>
      </c>
      <c r="DO121" s="387" t="n"/>
      <c r="DP121" s="387" t="n"/>
      <c r="DQ121" s="387" t="n"/>
      <c r="DR121" s="388" t="n"/>
      <c r="DT121" s="253" t="inlineStr">
        <is>
          <t>時間外</t>
        </is>
      </c>
      <c r="DU121" s="384" t="n"/>
      <c r="DV121" s="384" t="n"/>
      <c r="DW121" s="385" t="n"/>
      <c r="DX121" s="386">
        <f>IF(Q119="作業者5",K122-K119,0)</f>
        <v/>
      </c>
      <c r="DY121" s="387" t="n"/>
      <c r="DZ121" s="387" t="n"/>
      <c r="EA121" s="387" t="n"/>
      <c r="EB121" s="388" t="n"/>
    </row>
    <row r="122" ht="9" customHeight="1" s="337">
      <c r="B122" s="389" t="n"/>
      <c r="C122" s="390" t="n"/>
      <c r="D122" s="391" t="n"/>
      <c r="E122" s="392" t="n"/>
      <c r="F122" s="390" t="n"/>
      <c r="G122" s="391" t="n"/>
      <c r="H122" s="392" t="n"/>
      <c r="I122" s="390" t="n"/>
      <c r="J122" s="391" t="n"/>
      <c r="K122" s="392" t="n"/>
      <c r="L122" s="390" t="n"/>
      <c r="M122" s="391" t="n"/>
      <c r="N122" s="392" t="n"/>
      <c r="O122" s="390" t="n"/>
      <c r="P122" s="391" t="n"/>
      <c r="Q122" s="393" t="n"/>
      <c r="R122" s="390" t="n"/>
      <c r="S122" s="391" t="n"/>
      <c r="T122" s="393" t="n"/>
      <c r="U122" s="390" t="n"/>
      <c r="V122" s="391" t="n"/>
      <c r="W122" s="393" t="n"/>
      <c r="X122" s="390" t="n"/>
      <c r="Y122" s="390" t="n"/>
      <c r="Z122" s="390" t="n"/>
      <c r="AA122" s="390" t="n"/>
      <c r="AB122" s="390" t="n"/>
      <c r="AC122" s="390" t="n"/>
      <c r="AD122" s="390" t="n"/>
      <c r="AE122" s="390" t="n"/>
      <c r="AF122" s="390" t="n"/>
      <c r="AG122" s="390" t="n"/>
      <c r="AH122" s="390" t="n"/>
      <c r="AI122" s="390" t="n"/>
      <c r="AJ122" s="390" t="n"/>
      <c r="AK122" s="390" t="n"/>
      <c r="AL122" s="390" t="n"/>
      <c r="AM122" s="390" t="n"/>
      <c r="AN122" s="390" t="n"/>
      <c r="AO122" s="390" t="n"/>
      <c r="AP122" s="390" t="n"/>
      <c r="AQ122" s="390" t="n"/>
      <c r="AR122" s="390" t="n"/>
      <c r="AS122" s="390" t="n"/>
      <c r="AT122" s="390" t="n"/>
      <c r="AU122" s="390" t="n"/>
      <c r="AV122" s="390" t="n"/>
      <c r="AW122" s="390" t="n"/>
      <c r="AX122" s="390" t="n"/>
      <c r="AY122" s="390" t="n"/>
      <c r="AZ122" s="390" t="n"/>
      <c r="BA122" s="390" t="n"/>
      <c r="BB122" s="390" t="n"/>
      <c r="BC122" s="390" t="n"/>
      <c r="BD122" s="390" t="n"/>
      <c r="BE122" s="390" t="n"/>
      <c r="BF122" s="390" t="n"/>
      <c r="BG122" s="390" t="n"/>
      <c r="BH122" s="390" t="n"/>
      <c r="BI122" s="390" t="n"/>
      <c r="BJ122" s="390" t="n"/>
      <c r="BK122" s="390" t="n"/>
      <c r="BL122" s="390" t="n"/>
      <c r="BM122" s="390" t="n"/>
      <c r="BN122" s="390" t="n"/>
      <c r="BO122" s="390" t="n"/>
      <c r="BP122" s="390" t="n"/>
      <c r="BQ122" s="390" t="n"/>
      <c r="BR122" s="390" t="n"/>
      <c r="BS122" s="390" t="n"/>
      <c r="BT122" s="390" t="n"/>
      <c r="BU122" s="390" t="n"/>
      <c r="BV122" s="390" t="n"/>
      <c r="BW122" s="390" t="n"/>
      <c r="BX122" s="390" t="n"/>
      <c r="BY122" s="390" t="n"/>
      <c r="BZ122" s="390" t="n"/>
      <c r="CA122" s="390" t="n"/>
      <c r="CB122" s="390" t="n"/>
      <c r="CC122" s="394" t="n"/>
      <c r="CF122" s="254" t="inlineStr">
        <is>
          <t>休日</t>
        </is>
      </c>
      <c r="CG122" s="395" t="n"/>
      <c r="CH122" s="395" t="n"/>
      <c r="CI122" s="396" t="n"/>
      <c r="CJ122" s="386">
        <f>IF(Q119="作業者1",N122-N119,0)</f>
        <v/>
      </c>
      <c r="CK122" s="387" t="n"/>
      <c r="CL122" s="387" t="n"/>
      <c r="CM122" s="387" t="n"/>
      <c r="CN122" s="388" t="n"/>
      <c r="CP122" s="253" t="inlineStr">
        <is>
          <t>休日</t>
        </is>
      </c>
      <c r="CQ122" s="384" t="n"/>
      <c r="CR122" s="384" t="n"/>
      <c r="CS122" s="385" t="n"/>
      <c r="CT122" s="386">
        <f>IF(Q119="作業者2",N122-N119,0)</f>
        <v/>
      </c>
      <c r="CU122" s="387" t="n"/>
      <c r="CV122" s="387" t="n"/>
      <c r="CW122" s="387" t="n"/>
      <c r="CX122" s="388" t="n"/>
      <c r="CZ122" s="254" t="inlineStr">
        <is>
          <t>休日</t>
        </is>
      </c>
      <c r="DA122" s="395" t="n"/>
      <c r="DB122" s="395" t="n"/>
      <c r="DC122" s="396" t="n"/>
      <c r="DD122" s="397">
        <f>IF(Q119="作業者3",N122-N119,0)</f>
        <v/>
      </c>
      <c r="DE122" s="395" t="n"/>
      <c r="DF122" s="395" t="n"/>
      <c r="DG122" s="395" t="n"/>
      <c r="DH122" s="396" t="n"/>
      <c r="DJ122" s="254" t="inlineStr">
        <is>
          <t>休日</t>
        </is>
      </c>
      <c r="DK122" s="395" t="n"/>
      <c r="DL122" s="395" t="n"/>
      <c r="DM122" s="396" t="n"/>
      <c r="DN122" s="397">
        <f>IF(Q119="作業者4",N122-N119,0)</f>
        <v/>
      </c>
      <c r="DO122" s="395" t="n"/>
      <c r="DP122" s="395" t="n"/>
      <c r="DQ122" s="395" t="n"/>
      <c r="DR122" s="396" t="n"/>
      <c r="DT122" s="254" t="inlineStr">
        <is>
          <t>休日</t>
        </is>
      </c>
      <c r="DU122" s="395" t="n"/>
      <c r="DV122" s="395" t="n"/>
      <c r="DW122" s="396" t="n"/>
      <c r="DX122" s="397">
        <f>IF(Q119="作業者5",N122-N119,0)</f>
        <v/>
      </c>
      <c r="DY122" s="395" t="n"/>
      <c r="DZ122" s="395" t="n"/>
      <c r="EA122" s="395" t="n"/>
      <c r="EB122" s="396" t="n"/>
    </row>
    <row r="123" ht="9" customHeight="1" s="337">
      <c r="B123" s="398" t="n"/>
      <c r="C123" s="372" t="n"/>
      <c r="D123" s="373" t="n"/>
      <c r="E123" s="399" t="n"/>
      <c r="F123" s="372" t="n"/>
      <c r="G123" s="373" t="n"/>
      <c r="H123" s="399" t="n"/>
      <c r="I123" s="372" t="n"/>
      <c r="J123" s="373" t="n"/>
      <c r="K123" s="399" t="n"/>
      <c r="L123" s="372" t="n"/>
      <c r="M123" s="373" t="n"/>
      <c r="N123" s="399" t="n"/>
      <c r="O123" s="372" t="n"/>
      <c r="P123" s="373" t="n"/>
      <c r="Q123" s="371" t="n"/>
      <c r="R123" s="372" t="n"/>
      <c r="S123" s="373" t="n"/>
      <c r="T123" s="371" t="n"/>
      <c r="U123" s="372" t="n"/>
      <c r="V123" s="373" t="n"/>
      <c r="W123" s="443" t="n"/>
      <c r="X123" s="372" t="n"/>
      <c r="Y123" s="372" t="n"/>
      <c r="Z123" s="372" t="n"/>
      <c r="AA123" s="372" t="n"/>
      <c r="AB123" s="372" t="n"/>
      <c r="AC123" s="372" t="n"/>
      <c r="AD123" s="372" t="n"/>
      <c r="AE123" s="372" t="n"/>
      <c r="AF123" s="372" t="n"/>
      <c r="AG123" s="372" t="n"/>
      <c r="AH123" s="372" t="n"/>
      <c r="AI123" s="372" t="n"/>
      <c r="AJ123" s="372" t="n"/>
      <c r="AK123" s="372" t="n"/>
      <c r="AL123" s="372" t="n"/>
      <c r="AM123" s="372" t="n"/>
      <c r="AN123" s="372" t="n"/>
      <c r="AO123" s="372" t="n"/>
      <c r="AP123" s="372" t="n"/>
      <c r="AQ123" s="372" t="n"/>
      <c r="AR123" s="372" t="n"/>
      <c r="AS123" s="372" t="n"/>
      <c r="AT123" s="372" t="n"/>
      <c r="AU123" s="372" t="n"/>
      <c r="AV123" s="372" t="n"/>
      <c r="AW123" s="372" t="n"/>
      <c r="AX123" s="372" t="n"/>
      <c r="AY123" s="372" t="n"/>
      <c r="AZ123" s="372" t="n"/>
      <c r="BA123" s="372" t="n"/>
      <c r="BB123" s="372" t="n"/>
      <c r="BC123" s="372" t="n"/>
      <c r="BD123" s="372" t="n"/>
      <c r="BE123" s="372" t="n"/>
      <c r="BF123" s="372" t="n"/>
      <c r="BG123" s="372" t="n"/>
      <c r="BH123" s="372" t="n"/>
      <c r="BI123" s="372" t="n"/>
      <c r="BJ123" s="372" t="n"/>
      <c r="BK123" s="372" t="n"/>
      <c r="BL123" s="372" t="n"/>
      <c r="BM123" s="372" t="n"/>
      <c r="BN123" s="372" t="n"/>
      <c r="BO123" s="372" t="n"/>
      <c r="BP123" s="372" t="n"/>
      <c r="BQ123" s="372" t="n"/>
      <c r="BR123" s="372" t="n"/>
      <c r="BS123" s="372" t="n"/>
      <c r="BT123" s="372" t="n"/>
      <c r="BU123" s="372" t="n"/>
      <c r="BV123" s="372" t="n"/>
      <c r="BW123" s="372" t="n"/>
      <c r="BX123" s="372" t="n"/>
      <c r="BY123" s="372" t="n"/>
      <c r="BZ123" s="372" t="n"/>
      <c r="CA123" s="372" t="n"/>
      <c r="CB123" s="372" t="n"/>
      <c r="CC123" s="402" t="n"/>
      <c r="CF123" s="259" t="inlineStr">
        <is>
          <t>移動</t>
        </is>
      </c>
      <c r="CG123" s="403" t="n"/>
      <c r="CH123" s="403" t="n"/>
      <c r="CI123" s="404" t="n"/>
      <c r="CJ123" s="379">
        <f>IF(Q123="作業者1",E126-E123,0)</f>
        <v/>
      </c>
      <c r="CK123" s="377" t="n"/>
      <c r="CL123" s="377" t="n"/>
      <c r="CM123" s="377" t="n"/>
      <c r="CN123" s="378" t="n"/>
      <c r="CP123" s="248" t="inlineStr">
        <is>
          <t>移動</t>
        </is>
      </c>
      <c r="CQ123" s="377" t="n"/>
      <c r="CR123" s="377" t="n"/>
      <c r="CS123" s="378" t="n"/>
      <c r="CT123" s="379">
        <f>IF(Q123="作業者2",E126-E123,0)</f>
        <v/>
      </c>
      <c r="CU123" s="377" t="n"/>
      <c r="CV123" s="377" t="n"/>
      <c r="CW123" s="377" t="n"/>
      <c r="CX123" s="378" t="n"/>
      <c r="CZ123" s="259" t="inlineStr">
        <is>
          <t>移動</t>
        </is>
      </c>
      <c r="DA123" s="403" t="n"/>
      <c r="DB123" s="403" t="n"/>
      <c r="DC123" s="404" t="n"/>
      <c r="DD123" s="405">
        <f>IF(Q123="作業者3",E126-E123,0)</f>
        <v/>
      </c>
      <c r="DE123" s="406" t="n"/>
      <c r="DF123" s="406" t="n"/>
      <c r="DG123" s="406" t="n"/>
      <c r="DH123" s="407" t="n"/>
      <c r="DJ123" s="259" t="inlineStr">
        <is>
          <t>移動</t>
        </is>
      </c>
      <c r="DK123" s="403" t="n"/>
      <c r="DL123" s="403" t="n"/>
      <c r="DM123" s="404" t="n"/>
      <c r="DN123" s="379">
        <f>IF(Q123="作業者4",E126-E123,0)</f>
        <v/>
      </c>
      <c r="DO123" s="377" t="n"/>
      <c r="DP123" s="377" t="n"/>
      <c r="DQ123" s="377" t="n"/>
      <c r="DR123" s="378" t="n"/>
      <c r="DT123" s="259" t="inlineStr">
        <is>
          <t>移動</t>
        </is>
      </c>
      <c r="DU123" s="403" t="n"/>
      <c r="DV123" s="403" t="n"/>
      <c r="DW123" s="404" t="n"/>
      <c r="DX123" s="379">
        <f>IF(Q123="作業者5",E126-E123,0)</f>
        <v/>
      </c>
      <c r="DY123" s="377" t="n"/>
      <c r="DZ123" s="377" t="n"/>
      <c r="EA123" s="377" t="n"/>
      <c r="EB123" s="378" t="n"/>
    </row>
    <row r="124" ht="9" customHeight="1" s="337">
      <c r="B124" s="350" t="n"/>
      <c r="C124" s="338" t="n"/>
      <c r="D124" s="380" t="n"/>
      <c r="E124" s="381" t="n"/>
      <c r="F124" s="122" t="inlineStr">
        <is>
          <t>～</t>
        </is>
      </c>
      <c r="G124" s="22" t="n"/>
      <c r="H124" s="381" t="n"/>
      <c r="I124" s="122" t="inlineStr">
        <is>
          <t>～</t>
        </is>
      </c>
      <c r="J124" s="22" t="n"/>
      <c r="K124" s="381" t="n"/>
      <c r="L124" s="122" t="inlineStr">
        <is>
          <t>～</t>
        </is>
      </c>
      <c r="M124" s="22" t="n"/>
      <c r="N124" s="381" t="n"/>
      <c r="O124" s="122" t="inlineStr">
        <is>
          <t>～</t>
        </is>
      </c>
      <c r="P124" s="22" t="n"/>
      <c r="Q124" s="382" t="n"/>
      <c r="R124" s="338" t="n"/>
      <c r="S124" s="380" t="n"/>
      <c r="T124" s="382" t="n"/>
      <c r="U124" s="338" t="n"/>
      <c r="V124" s="380" t="n"/>
      <c r="W124" s="382" t="n"/>
      <c r="X124" s="338" t="n"/>
      <c r="Y124" s="338" t="n"/>
      <c r="Z124" s="338" t="n"/>
      <c r="AA124" s="338" t="n"/>
      <c r="AB124" s="338" t="n"/>
      <c r="AC124" s="338" t="n"/>
      <c r="AD124" s="338" t="n"/>
      <c r="AE124" s="338" t="n"/>
      <c r="AF124" s="338" t="n"/>
      <c r="AG124" s="338" t="n"/>
      <c r="AH124" s="338" t="n"/>
      <c r="AI124" s="338" t="n"/>
      <c r="AJ124" s="338" t="n"/>
      <c r="AK124" s="338" t="n"/>
      <c r="AL124" s="338" t="n"/>
      <c r="AM124" s="338" t="n"/>
      <c r="AN124" s="338" t="n"/>
      <c r="AO124" s="338" t="n"/>
      <c r="AP124" s="338" t="n"/>
      <c r="AQ124" s="338" t="n"/>
      <c r="AR124" s="338" t="n"/>
      <c r="AS124" s="338" t="n"/>
      <c r="AT124" s="338" t="n"/>
      <c r="AU124" s="338" t="n"/>
      <c r="AV124" s="338" t="n"/>
      <c r="AW124" s="338" t="n"/>
      <c r="AX124" s="338" t="n"/>
      <c r="AY124" s="338" t="n"/>
      <c r="AZ124" s="338" t="n"/>
      <c r="BA124" s="338" t="n"/>
      <c r="BB124" s="338" t="n"/>
      <c r="BC124" s="338" t="n"/>
      <c r="BD124" s="338" t="n"/>
      <c r="BE124" s="338" t="n"/>
      <c r="BF124" s="338" t="n"/>
      <c r="BG124" s="338" t="n"/>
      <c r="BH124" s="338" t="n"/>
      <c r="BI124" s="338" t="n"/>
      <c r="BJ124" s="338" t="n"/>
      <c r="BK124" s="338" t="n"/>
      <c r="BL124" s="338" t="n"/>
      <c r="BM124" s="338" t="n"/>
      <c r="BN124" s="338" t="n"/>
      <c r="BO124" s="338" t="n"/>
      <c r="BP124" s="338" t="n"/>
      <c r="BQ124" s="338" t="n"/>
      <c r="BR124" s="338" t="n"/>
      <c r="BS124" s="338" t="n"/>
      <c r="BT124" s="338" t="n"/>
      <c r="BU124" s="338" t="n"/>
      <c r="BV124" s="338" t="n"/>
      <c r="BW124" s="338" t="n"/>
      <c r="BX124" s="338" t="n"/>
      <c r="BY124" s="338" t="n"/>
      <c r="BZ124" s="338" t="n"/>
      <c r="CA124" s="338" t="n"/>
      <c r="CB124" s="338" t="n"/>
      <c r="CC124" s="383" t="n"/>
      <c r="CF124" s="253" t="inlineStr">
        <is>
          <t>時間内</t>
        </is>
      </c>
      <c r="CG124" s="384" t="n"/>
      <c r="CH124" s="384" t="n"/>
      <c r="CI124" s="385" t="n"/>
      <c r="CJ124" s="386">
        <f>IF(Q123="作業者1",H126-H123,0)</f>
        <v/>
      </c>
      <c r="CK124" s="387" t="n"/>
      <c r="CL124" s="387" t="n"/>
      <c r="CM124" s="387" t="n"/>
      <c r="CN124" s="388" t="n"/>
      <c r="CP124" s="253" t="inlineStr">
        <is>
          <t>時間内</t>
        </is>
      </c>
      <c r="CQ124" s="384" t="n"/>
      <c r="CR124" s="384" t="n"/>
      <c r="CS124" s="385" t="n"/>
      <c r="CT124" s="386">
        <f>IF(Q123="作業者2",H126-H123,0)</f>
        <v/>
      </c>
      <c r="CU124" s="387" t="n"/>
      <c r="CV124" s="387" t="n"/>
      <c r="CW124" s="387" t="n"/>
      <c r="CX124" s="388" t="n"/>
      <c r="CZ124" s="253" t="inlineStr">
        <is>
          <t>時間内</t>
        </is>
      </c>
      <c r="DA124" s="384" t="n"/>
      <c r="DB124" s="384" t="n"/>
      <c r="DC124" s="385" t="n"/>
      <c r="DD124" s="386">
        <f>IF(Q123="作業者3",H126-H123,0)</f>
        <v/>
      </c>
      <c r="DE124" s="387" t="n"/>
      <c r="DF124" s="387" t="n"/>
      <c r="DG124" s="387" t="n"/>
      <c r="DH124" s="388" t="n"/>
      <c r="DJ124" s="253" t="inlineStr">
        <is>
          <t>時間内</t>
        </is>
      </c>
      <c r="DK124" s="384" t="n"/>
      <c r="DL124" s="384" t="n"/>
      <c r="DM124" s="385" t="n"/>
      <c r="DN124" s="386">
        <f>IF(Q123="作業者4",H126-H123,0)</f>
        <v/>
      </c>
      <c r="DO124" s="387" t="n"/>
      <c r="DP124" s="387" t="n"/>
      <c r="DQ124" s="387" t="n"/>
      <c r="DR124" s="388" t="n"/>
      <c r="DT124" s="253" t="inlineStr">
        <is>
          <t>時間内</t>
        </is>
      </c>
      <c r="DU124" s="384" t="n"/>
      <c r="DV124" s="384" t="n"/>
      <c r="DW124" s="385" t="n"/>
      <c r="DX124" s="386">
        <f>IF(Q123="作業者5",H126-H123,0)</f>
        <v/>
      </c>
      <c r="DY124" s="387" t="n"/>
      <c r="DZ124" s="387" t="n"/>
      <c r="EA124" s="387" t="n"/>
      <c r="EB124" s="388" t="n"/>
    </row>
    <row r="125" ht="9" customHeight="1" s="337">
      <c r="B125" s="350" t="n"/>
      <c r="C125" s="338" t="n"/>
      <c r="D125" s="380" t="n"/>
      <c r="E125" s="23" t="n"/>
      <c r="F125" s="338" t="n"/>
      <c r="G125" s="24" t="n"/>
      <c r="H125" s="23" t="n"/>
      <c r="I125" s="338" t="n"/>
      <c r="J125" s="24" t="n"/>
      <c r="K125" s="23" t="n"/>
      <c r="L125" s="338" t="n"/>
      <c r="M125" s="24" t="n"/>
      <c r="N125" s="23" t="n"/>
      <c r="O125" s="338" t="n"/>
      <c r="P125" s="24" t="n"/>
      <c r="Q125" s="382" t="n"/>
      <c r="R125" s="338" t="n"/>
      <c r="S125" s="380" t="n"/>
      <c r="T125" s="382" t="n"/>
      <c r="U125" s="338" t="n"/>
      <c r="V125" s="380" t="n"/>
      <c r="W125" s="382" t="n"/>
      <c r="X125" s="338" t="n"/>
      <c r="Y125" s="338" t="n"/>
      <c r="Z125" s="338" t="n"/>
      <c r="AA125" s="338" t="n"/>
      <c r="AB125" s="338" t="n"/>
      <c r="AC125" s="338" t="n"/>
      <c r="AD125" s="338" t="n"/>
      <c r="AE125" s="338" t="n"/>
      <c r="AF125" s="338" t="n"/>
      <c r="AG125" s="338" t="n"/>
      <c r="AH125" s="338" t="n"/>
      <c r="AI125" s="338" t="n"/>
      <c r="AJ125" s="338" t="n"/>
      <c r="AK125" s="338" t="n"/>
      <c r="AL125" s="338" t="n"/>
      <c r="AM125" s="338" t="n"/>
      <c r="AN125" s="338" t="n"/>
      <c r="AO125" s="338" t="n"/>
      <c r="AP125" s="338" t="n"/>
      <c r="AQ125" s="338" t="n"/>
      <c r="AR125" s="338" t="n"/>
      <c r="AS125" s="338" t="n"/>
      <c r="AT125" s="338" t="n"/>
      <c r="AU125" s="338" t="n"/>
      <c r="AV125" s="338" t="n"/>
      <c r="AW125" s="338" t="n"/>
      <c r="AX125" s="338" t="n"/>
      <c r="AY125" s="338" t="n"/>
      <c r="AZ125" s="338" t="n"/>
      <c r="BA125" s="338" t="n"/>
      <c r="BB125" s="338" t="n"/>
      <c r="BC125" s="338" t="n"/>
      <c r="BD125" s="338" t="n"/>
      <c r="BE125" s="338" t="n"/>
      <c r="BF125" s="338" t="n"/>
      <c r="BG125" s="338" t="n"/>
      <c r="BH125" s="338" t="n"/>
      <c r="BI125" s="338" t="n"/>
      <c r="BJ125" s="338" t="n"/>
      <c r="BK125" s="338" t="n"/>
      <c r="BL125" s="338" t="n"/>
      <c r="BM125" s="338" t="n"/>
      <c r="BN125" s="338" t="n"/>
      <c r="BO125" s="338" t="n"/>
      <c r="BP125" s="338" t="n"/>
      <c r="BQ125" s="338" t="n"/>
      <c r="BR125" s="338" t="n"/>
      <c r="BS125" s="338" t="n"/>
      <c r="BT125" s="338" t="n"/>
      <c r="BU125" s="338" t="n"/>
      <c r="BV125" s="338" t="n"/>
      <c r="BW125" s="338" t="n"/>
      <c r="BX125" s="338" t="n"/>
      <c r="BY125" s="338" t="n"/>
      <c r="BZ125" s="338" t="n"/>
      <c r="CA125" s="338" t="n"/>
      <c r="CB125" s="338" t="n"/>
      <c r="CC125" s="383" t="n"/>
      <c r="CF125" s="253" t="inlineStr">
        <is>
          <t>時間外</t>
        </is>
      </c>
      <c r="CG125" s="384" t="n"/>
      <c r="CH125" s="384" t="n"/>
      <c r="CI125" s="385" t="n"/>
      <c r="CJ125" s="386">
        <f>IF(Q123="作業者1",K126-K123,0)</f>
        <v/>
      </c>
      <c r="CK125" s="387" t="n"/>
      <c r="CL125" s="387" t="n"/>
      <c r="CM125" s="387" t="n"/>
      <c r="CN125" s="388" t="n"/>
      <c r="CP125" s="253" t="inlineStr">
        <is>
          <t>時間外</t>
        </is>
      </c>
      <c r="CQ125" s="384" t="n"/>
      <c r="CR125" s="384" t="n"/>
      <c r="CS125" s="385" t="n"/>
      <c r="CT125" s="386">
        <f>IF(Q123="作業者2",K126-K123,0)</f>
        <v/>
      </c>
      <c r="CU125" s="387" t="n"/>
      <c r="CV125" s="387" t="n"/>
      <c r="CW125" s="387" t="n"/>
      <c r="CX125" s="388" t="n"/>
      <c r="CZ125" s="253" t="inlineStr">
        <is>
          <t>時間外</t>
        </is>
      </c>
      <c r="DA125" s="384" t="n"/>
      <c r="DB125" s="384" t="n"/>
      <c r="DC125" s="385" t="n"/>
      <c r="DD125" s="386">
        <f>IF(Q123="作業者3",K126-K123,0)</f>
        <v/>
      </c>
      <c r="DE125" s="387" t="n"/>
      <c r="DF125" s="387" t="n"/>
      <c r="DG125" s="387" t="n"/>
      <c r="DH125" s="388" t="n"/>
      <c r="DJ125" s="253" t="inlineStr">
        <is>
          <t>時間外</t>
        </is>
      </c>
      <c r="DK125" s="384" t="n"/>
      <c r="DL125" s="384" t="n"/>
      <c r="DM125" s="385" t="n"/>
      <c r="DN125" s="386">
        <f>IF(Q123="作業者4",K126-K123,0)</f>
        <v/>
      </c>
      <c r="DO125" s="387" t="n"/>
      <c r="DP125" s="387" t="n"/>
      <c r="DQ125" s="387" t="n"/>
      <c r="DR125" s="388" t="n"/>
      <c r="DT125" s="253" t="inlineStr">
        <is>
          <t>時間外</t>
        </is>
      </c>
      <c r="DU125" s="384" t="n"/>
      <c r="DV125" s="384" t="n"/>
      <c r="DW125" s="385" t="n"/>
      <c r="DX125" s="386">
        <f>IF(Q123="作業者5",K126-K123,0)</f>
        <v/>
      </c>
      <c r="DY125" s="387" t="n"/>
      <c r="DZ125" s="387" t="n"/>
      <c r="EA125" s="387" t="n"/>
      <c r="EB125" s="388" t="n"/>
    </row>
    <row r="126" ht="9" customHeight="1" s="337">
      <c r="B126" s="389" t="n"/>
      <c r="C126" s="390" t="n"/>
      <c r="D126" s="391" t="n"/>
      <c r="E126" s="392" t="n"/>
      <c r="F126" s="390" t="n"/>
      <c r="G126" s="391" t="n"/>
      <c r="H126" s="392" t="n"/>
      <c r="I126" s="390" t="n"/>
      <c r="J126" s="391" t="n"/>
      <c r="K126" s="392" t="n"/>
      <c r="L126" s="390" t="n"/>
      <c r="M126" s="391" t="n"/>
      <c r="N126" s="392" t="n"/>
      <c r="O126" s="390" t="n"/>
      <c r="P126" s="391" t="n"/>
      <c r="Q126" s="393" t="n"/>
      <c r="R126" s="390" t="n"/>
      <c r="S126" s="391" t="n"/>
      <c r="T126" s="393" t="n"/>
      <c r="U126" s="390" t="n"/>
      <c r="V126" s="391" t="n"/>
      <c r="W126" s="393" t="n"/>
      <c r="X126" s="390" t="n"/>
      <c r="Y126" s="390" t="n"/>
      <c r="Z126" s="390" t="n"/>
      <c r="AA126" s="390" t="n"/>
      <c r="AB126" s="390" t="n"/>
      <c r="AC126" s="390" t="n"/>
      <c r="AD126" s="390" t="n"/>
      <c r="AE126" s="390" t="n"/>
      <c r="AF126" s="390" t="n"/>
      <c r="AG126" s="390" t="n"/>
      <c r="AH126" s="390" t="n"/>
      <c r="AI126" s="390" t="n"/>
      <c r="AJ126" s="390" t="n"/>
      <c r="AK126" s="390" t="n"/>
      <c r="AL126" s="390" t="n"/>
      <c r="AM126" s="390" t="n"/>
      <c r="AN126" s="390" t="n"/>
      <c r="AO126" s="390" t="n"/>
      <c r="AP126" s="390" t="n"/>
      <c r="AQ126" s="390" t="n"/>
      <c r="AR126" s="390" t="n"/>
      <c r="AS126" s="390" t="n"/>
      <c r="AT126" s="390" t="n"/>
      <c r="AU126" s="390" t="n"/>
      <c r="AV126" s="390" t="n"/>
      <c r="AW126" s="390" t="n"/>
      <c r="AX126" s="390" t="n"/>
      <c r="AY126" s="390" t="n"/>
      <c r="AZ126" s="390" t="n"/>
      <c r="BA126" s="390" t="n"/>
      <c r="BB126" s="390" t="n"/>
      <c r="BC126" s="390" t="n"/>
      <c r="BD126" s="390" t="n"/>
      <c r="BE126" s="390" t="n"/>
      <c r="BF126" s="390" t="n"/>
      <c r="BG126" s="390" t="n"/>
      <c r="BH126" s="390" t="n"/>
      <c r="BI126" s="390" t="n"/>
      <c r="BJ126" s="390" t="n"/>
      <c r="BK126" s="390" t="n"/>
      <c r="BL126" s="390" t="n"/>
      <c r="BM126" s="390" t="n"/>
      <c r="BN126" s="390" t="n"/>
      <c r="BO126" s="390" t="n"/>
      <c r="BP126" s="390" t="n"/>
      <c r="BQ126" s="390" t="n"/>
      <c r="BR126" s="390" t="n"/>
      <c r="BS126" s="390" t="n"/>
      <c r="BT126" s="390" t="n"/>
      <c r="BU126" s="390" t="n"/>
      <c r="BV126" s="390" t="n"/>
      <c r="BW126" s="390" t="n"/>
      <c r="BX126" s="390" t="n"/>
      <c r="BY126" s="390" t="n"/>
      <c r="BZ126" s="390" t="n"/>
      <c r="CA126" s="390" t="n"/>
      <c r="CB126" s="390" t="n"/>
      <c r="CC126" s="394" t="n"/>
      <c r="CF126" s="254" t="inlineStr">
        <is>
          <t>休日</t>
        </is>
      </c>
      <c r="CG126" s="395" t="n"/>
      <c r="CH126" s="395" t="n"/>
      <c r="CI126" s="396" t="n"/>
      <c r="CJ126" s="397">
        <f>IF(Q123="作業者1",N126-N123,0)</f>
        <v/>
      </c>
      <c r="CK126" s="395" t="n"/>
      <c r="CL126" s="395" t="n"/>
      <c r="CM126" s="395" t="n"/>
      <c r="CN126" s="396" t="n"/>
      <c r="CP126" s="254" t="inlineStr">
        <is>
          <t>休日</t>
        </is>
      </c>
      <c r="CQ126" s="395" t="n"/>
      <c r="CR126" s="395" t="n"/>
      <c r="CS126" s="396" t="n"/>
      <c r="CT126" s="397">
        <f>IF(Q123="作業者2",N126-N123,0)</f>
        <v/>
      </c>
      <c r="CU126" s="395" t="n"/>
      <c r="CV126" s="395" t="n"/>
      <c r="CW126" s="395" t="n"/>
      <c r="CX126" s="396" t="n"/>
      <c r="CZ126" s="254" t="inlineStr">
        <is>
          <t>休日</t>
        </is>
      </c>
      <c r="DA126" s="395" t="n"/>
      <c r="DB126" s="395" t="n"/>
      <c r="DC126" s="396" t="n"/>
      <c r="DD126" s="397">
        <f>IF(Q123="作業者3",N126-N123,0)</f>
        <v/>
      </c>
      <c r="DE126" s="395" t="n"/>
      <c r="DF126" s="395" t="n"/>
      <c r="DG126" s="395" t="n"/>
      <c r="DH126" s="396" t="n"/>
      <c r="DJ126" s="254" t="inlineStr">
        <is>
          <t>休日</t>
        </is>
      </c>
      <c r="DK126" s="395" t="n"/>
      <c r="DL126" s="395" t="n"/>
      <c r="DM126" s="396" t="n"/>
      <c r="DN126" s="397">
        <f>IF(Q123="作業者4",N126-N123,0)</f>
        <v/>
      </c>
      <c r="DO126" s="395" t="n"/>
      <c r="DP126" s="395" t="n"/>
      <c r="DQ126" s="395" t="n"/>
      <c r="DR126" s="396" t="n"/>
      <c r="DT126" s="254" t="inlineStr">
        <is>
          <t>休日</t>
        </is>
      </c>
      <c r="DU126" s="395" t="n"/>
      <c r="DV126" s="395" t="n"/>
      <c r="DW126" s="396" t="n"/>
      <c r="DX126" s="397">
        <f>IF(Q123="作業者5",N126-N123,0)</f>
        <v/>
      </c>
      <c r="DY126" s="395" t="n"/>
      <c r="DZ126" s="395" t="n"/>
      <c r="EA126" s="395" t="n"/>
      <c r="EB126" s="396" t="n"/>
    </row>
    <row r="127" ht="9" customHeight="1" s="337">
      <c r="B127" s="398" t="n"/>
      <c r="C127" s="372" t="n"/>
      <c r="D127" s="373" t="n"/>
      <c r="E127" s="399" t="n"/>
      <c r="F127" s="372" t="n"/>
      <c r="G127" s="373" t="n"/>
      <c r="H127" s="399" t="n"/>
      <c r="I127" s="372" t="n"/>
      <c r="J127" s="373" t="n"/>
      <c r="K127" s="399" t="n"/>
      <c r="L127" s="372" t="n"/>
      <c r="M127" s="373" t="n"/>
      <c r="N127" s="399" t="n"/>
      <c r="O127" s="372" t="n"/>
      <c r="P127" s="373" t="n"/>
      <c r="Q127" s="371" t="n"/>
      <c r="R127" s="372" t="n"/>
      <c r="S127" s="373" t="n"/>
      <c r="T127" s="371" t="n"/>
      <c r="U127" s="372" t="n"/>
      <c r="V127" s="373" t="n"/>
      <c r="W127" s="443" t="n"/>
      <c r="X127" s="372" t="n"/>
      <c r="Y127" s="372" t="n"/>
      <c r="Z127" s="372" t="n"/>
      <c r="AA127" s="372" t="n"/>
      <c r="AB127" s="372" t="n"/>
      <c r="AC127" s="372" t="n"/>
      <c r="AD127" s="372" t="n"/>
      <c r="AE127" s="372" t="n"/>
      <c r="AF127" s="372" t="n"/>
      <c r="AG127" s="372" t="n"/>
      <c r="AH127" s="372" t="n"/>
      <c r="AI127" s="372" t="n"/>
      <c r="AJ127" s="372" t="n"/>
      <c r="AK127" s="372" t="n"/>
      <c r="AL127" s="372" t="n"/>
      <c r="AM127" s="372" t="n"/>
      <c r="AN127" s="372" t="n"/>
      <c r="AO127" s="372" t="n"/>
      <c r="AP127" s="372" t="n"/>
      <c r="AQ127" s="372" t="n"/>
      <c r="AR127" s="372" t="n"/>
      <c r="AS127" s="372" t="n"/>
      <c r="AT127" s="372" t="n"/>
      <c r="AU127" s="372" t="n"/>
      <c r="AV127" s="372" t="n"/>
      <c r="AW127" s="372" t="n"/>
      <c r="AX127" s="372" t="n"/>
      <c r="AY127" s="372" t="n"/>
      <c r="AZ127" s="372" t="n"/>
      <c r="BA127" s="372" t="n"/>
      <c r="BB127" s="372" t="n"/>
      <c r="BC127" s="372" t="n"/>
      <c r="BD127" s="372" t="n"/>
      <c r="BE127" s="372" t="n"/>
      <c r="BF127" s="372" t="n"/>
      <c r="BG127" s="372" t="n"/>
      <c r="BH127" s="372" t="n"/>
      <c r="BI127" s="372" t="n"/>
      <c r="BJ127" s="372" t="n"/>
      <c r="BK127" s="372" t="n"/>
      <c r="BL127" s="372" t="n"/>
      <c r="BM127" s="372" t="n"/>
      <c r="BN127" s="372" t="n"/>
      <c r="BO127" s="372" t="n"/>
      <c r="BP127" s="372" t="n"/>
      <c r="BQ127" s="372" t="n"/>
      <c r="BR127" s="372" t="n"/>
      <c r="BS127" s="372" t="n"/>
      <c r="BT127" s="372" t="n"/>
      <c r="BU127" s="372" t="n"/>
      <c r="BV127" s="372" t="n"/>
      <c r="BW127" s="372" t="n"/>
      <c r="BX127" s="372" t="n"/>
      <c r="BY127" s="372" t="n"/>
      <c r="BZ127" s="372" t="n"/>
      <c r="CA127" s="372" t="n"/>
      <c r="CB127" s="372" t="n"/>
      <c r="CC127" s="402" t="n"/>
      <c r="CF127" s="248" t="inlineStr">
        <is>
          <t>移動</t>
        </is>
      </c>
      <c r="CG127" s="377" t="n"/>
      <c r="CH127" s="377" t="n"/>
      <c r="CI127" s="378" t="n"/>
      <c r="CJ127" s="379">
        <f>IF(Q127="作業者1",E130-E127,0)</f>
        <v/>
      </c>
      <c r="CK127" s="377" t="n"/>
      <c r="CL127" s="377" t="n"/>
      <c r="CM127" s="377" t="n"/>
      <c r="CN127" s="378" t="n"/>
      <c r="CP127" s="248" t="inlineStr">
        <is>
          <t>移動</t>
        </is>
      </c>
      <c r="CQ127" s="377" t="n"/>
      <c r="CR127" s="377" t="n"/>
      <c r="CS127" s="378" t="n"/>
      <c r="CT127" s="379">
        <f>IF(Q127="作業者2",E130-E127,0)</f>
        <v/>
      </c>
      <c r="CU127" s="377" t="n"/>
      <c r="CV127" s="377" t="n"/>
      <c r="CW127" s="377" t="n"/>
      <c r="CX127" s="378" t="n"/>
      <c r="CZ127" s="248" t="inlineStr">
        <is>
          <t>移動</t>
        </is>
      </c>
      <c r="DA127" s="377" t="n"/>
      <c r="DB127" s="377" t="n"/>
      <c r="DC127" s="378" t="n"/>
      <c r="DD127" s="379">
        <f>IF(Q127="作業者3",E130-E127,0)</f>
        <v/>
      </c>
      <c r="DE127" s="377" t="n"/>
      <c r="DF127" s="377" t="n"/>
      <c r="DG127" s="377" t="n"/>
      <c r="DH127" s="378" t="n"/>
      <c r="DJ127" s="248" t="inlineStr">
        <is>
          <t>移動</t>
        </is>
      </c>
      <c r="DK127" s="377" t="n"/>
      <c r="DL127" s="377" t="n"/>
      <c r="DM127" s="378" t="n"/>
      <c r="DN127" s="379">
        <f>IF(Q127="作業者4",E130-E127,0)</f>
        <v/>
      </c>
      <c r="DO127" s="377" t="n"/>
      <c r="DP127" s="377" t="n"/>
      <c r="DQ127" s="377" t="n"/>
      <c r="DR127" s="378" t="n"/>
      <c r="DT127" s="259" t="inlineStr">
        <is>
          <t>移動</t>
        </is>
      </c>
      <c r="DU127" s="403" t="n"/>
      <c r="DV127" s="403" t="n"/>
      <c r="DW127" s="404" t="n"/>
      <c r="DX127" s="379">
        <f>IF(Q127="作業者5",E130-E127,0)</f>
        <v/>
      </c>
      <c r="DY127" s="377" t="n"/>
      <c r="DZ127" s="377" t="n"/>
      <c r="EA127" s="377" t="n"/>
      <c r="EB127" s="378" t="n"/>
    </row>
    <row r="128" ht="9" customHeight="1" s="337">
      <c r="B128" s="350" t="n"/>
      <c r="C128" s="338" t="n"/>
      <c r="D128" s="380" t="n"/>
      <c r="E128" s="381" t="n"/>
      <c r="F128" s="122" t="inlineStr">
        <is>
          <t>～</t>
        </is>
      </c>
      <c r="G128" s="22" t="n"/>
      <c r="H128" s="381" t="n"/>
      <c r="I128" s="122" t="inlineStr">
        <is>
          <t>～</t>
        </is>
      </c>
      <c r="J128" s="22" t="n"/>
      <c r="K128" s="381" t="n"/>
      <c r="L128" s="122" t="inlineStr">
        <is>
          <t>～</t>
        </is>
      </c>
      <c r="M128" s="22" t="n"/>
      <c r="N128" s="381" t="n"/>
      <c r="O128" s="122" t="inlineStr">
        <is>
          <t>～</t>
        </is>
      </c>
      <c r="P128" s="22" t="n"/>
      <c r="Q128" s="382" t="n"/>
      <c r="R128" s="338" t="n"/>
      <c r="S128" s="380" t="n"/>
      <c r="T128" s="382" t="n"/>
      <c r="U128" s="338" t="n"/>
      <c r="V128" s="380" t="n"/>
      <c r="W128" s="382" t="n"/>
      <c r="X128" s="338" t="n"/>
      <c r="Y128" s="338" t="n"/>
      <c r="Z128" s="338" t="n"/>
      <c r="AA128" s="338" t="n"/>
      <c r="AB128" s="338" t="n"/>
      <c r="AC128" s="338" t="n"/>
      <c r="AD128" s="338" t="n"/>
      <c r="AE128" s="338" t="n"/>
      <c r="AF128" s="338" t="n"/>
      <c r="AG128" s="338" t="n"/>
      <c r="AH128" s="338" t="n"/>
      <c r="AI128" s="338" t="n"/>
      <c r="AJ128" s="338" t="n"/>
      <c r="AK128" s="338" t="n"/>
      <c r="AL128" s="338" t="n"/>
      <c r="AM128" s="338" t="n"/>
      <c r="AN128" s="338" t="n"/>
      <c r="AO128" s="338" t="n"/>
      <c r="AP128" s="338" t="n"/>
      <c r="AQ128" s="338" t="n"/>
      <c r="AR128" s="338" t="n"/>
      <c r="AS128" s="338" t="n"/>
      <c r="AT128" s="338" t="n"/>
      <c r="AU128" s="338" t="n"/>
      <c r="AV128" s="338" t="n"/>
      <c r="AW128" s="338" t="n"/>
      <c r="AX128" s="338" t="n"/>
      <c r="AY128" s="338" t="n"/>
      <c r="AZ128" s="338" t="n"/>
      <c r="BA128" s="338" t="n"/>
      <c r="BB128" s="338" t="n"/>
      <c r="BC128" s="338" t="n"/>
      <c r="BD128" s="338" t="n"/>
      <c r="BE128" s="338" t="n"/>
      <c r="BF128" s="338" t="n"/>
      <c r="BG128" s="338" t="n"/>
      <c r="BH128" s="338" t="n"/>
      <c r="BI128" s="338" t="n"/>
      <c r="BJ128" s="338" t="n"/>
      <c r="BK128" s="338" t="n"/>
      <c r="BL128" s="338" t="n"/>
      <c r="BM128" s="338" t="n"/>
      <c r="BN128" s="338" t="n"/>
      <c r="BO128" s="338" t="n"/>
      <c r="BP128" s="338" t="n"/>
      <c r="BQ128" s="338" t="n"/>
      <c r="BR128" s="338" t="n"/>
      <c r="BS128" s="338" t="n"/>
      <c r="BT128" s="338" t="n"/>
      <c r="BU128" s="338" t="n"/>
      <c r="BV128" s="338" t="n"/>
      <c r="BW128" s="338" t="n"/>
      <c r="BX128" s="338" t="n"/>
      <c r="BY128" s="338" t="n"/>
      <c r="BZ128" s="338" t="n"/>
      <c r="CA128" s="338" t="n"/>
      <c r="CB128" s="338" t="n"/>
      <c r="CC128" s="383" t="n"/>
      <c r="CF128" s="253" t="inlineStr">
        <is>
          <t>時間内</t>
        </is>
      </c>
      <c r="CG128" s="384" t="n"/>
      <c r="CH128" s="384" t="n"/>
      <c r="CI128" s="385" t="n"/>
      <c r="CJ128" s="386">
        <f>IF(Q127="作業者1",H130-H127,0)</f>
        <v/>
      </c>
      <c r="CK128" s="387" t="n"/>
      <c r="CL128" s="387" t="n"/>
      <c r="CM128" s="387" t="n"/>
      <c r="CN128" s="388" t="n"/>
      <c r="CP128" s="253" t="inlineStr">
        <is>
          <t>時間内</t>
        </is>
      </c>
      <c r="CQ128" s="384" t="n"/>
      <c r="CR128" s="384" t="n"/>
      <c r="CS128" s="385" t="n"/>
      <c r="CT128" s="386">
        <f>IF(Q127="作業者2",H130-H127,0)</f>
        <v/>
      </c>
      <c r="CU128" s="387" t="n"/>
      <c r="CV128" s="387" t="n"/>
      <c r="CW128" s="387" t="n"/>
      <c r="CX128" s="388" t="n"/>
      <c r="CZ128" s="253" t="inlineStr">
        <is>
          <t>時間内</t>
        </is>
      </c>
      <c r="DA128" s="384" t="n"/>
      <c r="DB128" s="384" t="n"/>
      <c r="DC128" s="385" t="n"/>
      <c r="DD128" s="386">
        <f>IF(Q127="作業者3",H130-H127,0)</f>
        <v/>
      </c>
      <c r="DE128" s="387" t="n"/>
      <c r="DF128" s="387" t="n"/>
      <c r="DG128" s="387" t="n"/>
      <c r="DH128" s="388" t="n"/>
      <c r="DJ128" s="253" t="inlineStr">
        <is>
          <t>時間内</t>
        </is>
      </c>
      <c r="DK128" s="384" t="n"/>
      <c r="DL128" s="384" t="n"/>
      <c r="DM128" s="385" t="n"/>
      <c r="DN128" s="386">
        <f>IF(Q127="作業者4",H130-H127,0)</f>
        <v/>
      </c>
      <c r="DO128" s="387" t="n"/>
      <c r="DP128" s="387" t="n"/>
      <c r="DQ128" s="387" t="n"/>
      <c r="DR128" s="388" t="n"/>
      <c r="DT128" s="253" t="inlineStr">
        <is>
          <t>時間内</t>
        </is>
      </c>
      <c r="DU128" s="384" t="n"/>
      <c r="DV128" s="384" t="n"/>
      <c r="DW128" s="385" t="n"/>
      <c r="DX128" s="386">
        <f>IF(Q127="作業者5",H130-H127,0)</f>
        <v/>
      </c>
      <c r="DY128" s="387" t="n"/>
      <c r="DZ128" s="387" t="n"/>
      <c r="EA128" s="387" t="n"/>
      <c r="EB128" s="388" t="n"/>
    </row>
    <row r="129" ht="9" customHeight="1" s="337">
      <c r="B129" s="350" t="n"/>
      <c r="C129" s="338" t="n"/>
      <c r="D129" s="380" t="n"/>
      <c r="E129" s="23" t="n"/>
      <c r="F129" s="338" t="n"/>
      <c r="G129" s="24" t="n"/>
      <c r="H129" s="23" t="n"/>
      <c r="I129" s="338" t="n"/>
      <c r="J129" s="24" t="n"/>
      <c r="K129" s="23" t="n"/>
      <c r="L129" s="338" t="n"/>
      <c r="M129" s="24" t="n"/>
      <c r="N129" s="23" t="n"/>
      <c r="O129" s="338" t="n"/>
      <c r="P129" s="24" t="n"/>
      <c r="Q129" s="382" t="n"/>
      <c r="R129" s="338" t="n"/>
      <c r="S129" s="380" t="n"/>
      <c r="T129" s="382" t="n"/>
      <c r="U129" s="338" t="n"/>
      <c r="V129" s="380" t="n"/>
      <c r="W129" s="382" t="n"/>
      <c r="X129" s="338" t="n"/>
      <c r="Y129" s="338" t="n"/>
      <c r="Z129" s="338" t="n"/>
      <c r="AA129" s="338" t="n"/>
      <c r="AB129" s="338" t="n"/>
      <c r="AC129" s="338" t="n"/>
      <c r="AD129" s="338" t="n"/>
      <c r="AE129" s="338" t="n"/>
      <c r="AF129" s="338" t="n"/>
      <c r="AG129" s="338" t="n"/>
      <c r="AH129" s="338" t="n"/>
      <c r="AI129" s="338" t="n"/>
      <c r="AJ129" s="338" t="n"/>
      <c r="AK129" s="338" t="n"/>
      <c r="AL129" s="338" t="n"/>
      <c r="AM129" s="338" t="n"/>
      <c r="AN129" s="338" t="n"/>
      <c r="AO129" s="338" t="n"/>
      <c r="AP129" s="338" t="n"/>
      <c r="AQ129" s="338" t="n"/>
      <c r="AR129" s="338" t="n"/>
      <c r="AS129" s="338" t="n"/>
      <c r="AT129" s="338" t="n"/>
      <c r="AU129" s="338" t="n"/>
      <c r="AV129" s="338" t="n"/>
      <c r="AW129" s="338" t="n"/>
      <c r="AX129" s="338" t="n"/>
      <c r="AY129" s="338" t="n"/>
      <c r="AZ129" s="338" t="n"/>
      <c r="BA129" s="338" t="n"/>
      <c r="BB129" s="338" t="n"/>
      <c r="BC129" s="338" t="n"/>
      <c r="BD129" s="338" t="n"/>
      <c r="BE129" s="338" t="n"/>
      <c r="BF129" s="338" t="n"/>
      <c r="BG129" s="338" t="n"/>
      <c r="BH129" s="338" t="n"/>
      <c r="BI129" s="338" t="n"/>
      <c r="BJ129" s="338" t="n"/>
      <c r="BK129" s="338" t="n"/>
      <c r="BL129" s="338" t="n"/>
      <c r="BM129" s="338" t="n"/>
      <c r="BN129" s="338" t="n"/>
      <c r="BO129" s="338" t="n"/>
      <c r="BP129" s="338" t="n"/>
      <c r="BQ129" s="338" t="n"/>
      <c r="BR129" s="338" t="n"/>
      <c r="BS129" s="338" t="n"/>
      <c r="BT129" s="338" t="n"/>
      <c r="BU129" s="338" t="n"/>
      <c r="BV129" s="338" t="n"/>
      <c r="BW129" s="338" t="n"/>
      <c r="BX129" s="338" t="n"/>
      <c r="BY129" s="338" t="n"/>
      <c r="BZ129" s="338" t="n"/>
      <c r="CA129" s="338" t="n"/>
      <c r="CB129" s="338" t="n"/>
      <c r="CC129" s="383" t="n"/>
      <c r="CF129" s="253" t="inlineStr">
        <is>
          <t>時間外</t>
        </is>
      </c>
      <c r="CG129" s="384" t="n"/>
      <c r="CH129" s="384" t="n"/>
      <c r="CI129" s="385" t="n"/>
      <c r="CJ129" s="386">
        <f>IF(Q127="作業者1",K130-K127,0)</f>
        <v/>
      </c>
      <c r="CK129" s="387" t="n"/>
      <c r="CL129" s="387" t="n"/>
      <c r="CM129" s="387" t="n"/>
      <c r="CN129" s="388" t="n"/>
      <c r="CP129" s="253" t="inlineStr">
        <is>
          <t>時間外</t>
        </is>
      </c>
      <c r="CQ129" s="384" t="n"/>
      <c r="CR129" s="384" t="n"/>
      <c r="CS129" s="385" t="n"/>
      <c r="CT129" s="386">
        <f>IF(Q127="作業者2",K130-K127,0)</f>
        <v/>
      </c>
      <c r="CU129" s="387" t="n"/>
      <c r="CV129" s="387" t="n"/>
      <c r="CW129" s="387" t="n"/>
      <c r="CX129" s="388" t="n"/>
      <c r="CZ129" s="253" t="inlineStr">
        <is>
          <t>時間外</t>
        </is>
      </c>
      <c r="DA129" s="384" t="n"/>
      <c r="DB129" s="384" t="n"/>
      <c r="DC129" s="385" t="n"/>
      <c r="DD129" s="386">
        <f>IF(Q127="作業者3",K130-K127,0)</f>
        <v/>
      </c>
      <c r="DE129" s="387" t="n"/>
      <c r="DF129" s="387" t="n"/>
      <c r="DG129" s="387" t="n"/>
      <c r="DH129" s="388" t="n"/>
      <c r="DJ129" s="253" t="inlineStr">
        <is>
          <t>時間外</t>
        </is>
      </c>
      <c r="DK129" s="384" t="n"/>
      <c r="DL129" s="384" t="n"/>
      <c r="DM129" s="385" t="n"/>
      <c r="DN129" s="386">
        <f>IF(Q127="作業者4",K130-K127,0)</f>
        <v/>
      </c>
      <c r="DO129" s="387" t="n"/>
      <c r="DP129" s="387" t="n"/>
      <c r="DQ129" s="387" t="n"/>
      <c r="DR129" s="388" t="n"/>
      <c r="DT129" s="253" t="inlineStr">
        <is>
          <t>時間外</t>
        </is>
      </c>
      <c r="DU129" s="384" t="n"/>
      <c r="DV129" s="384" t="n"/>
      <c r="DW129" s="385" t="n"/>
      <c r="DX129" s="386">
        <f>IF(Q127="作業者5",K130-K127,0)</f>
        <v/>
      </c>
      <c r="DY129" s="387" t="n"/>
      <c r="DZ129" s="387" t="n"/>
      <c r="EA129" s="387" t="n"/>
      <c r="EB129" s="388" t="n"/>
    </row>
    <row r="130" ht="9" customHeight="1" s="337">
      <c r="B130" s="389" t="n"/>
      <c r="C130" s="390" t="n"/>
      <c r="D130" s="391" t="n"/>
      <c r="E130" s="392" t="n"/>
      <c r="F130" s="390" t="n"/>
      <c r="G130" s="391" t="n"/>
      <c r="H130" s="392" t="n"/>
      <c r="I130" s="390" t="n"/>
      <c r="J130" s="391" t="n"/>
      <c r="K130" s="392" t="n"/>
      <c r="L130" s="390" t="n"/>
      <c r="M130" s="391" t="n"/>
      <c r="N130" s="392" t="n"/>
      <c r="O130" s="390" t="n"/>
      <c r="P130" s="391" t="n"/>
      <c r="Q130" s="393" t="n"/>
      <c r="R130" s="390" t="n"/>
      <c r="S130" s="391" t="n"/>
      <c r="T130" s="393" t="n"/>
      <c r="U130" s="390" t="n"/>
      <c r="V130" s="391" t="n"/>
      <c r="W130" s="393" t="n"/>
      <c r="X130" s="390" t="n"/>
      <c r="Y130" s="390" t="n"/>
      <c r="Z130" s="390" t="n"/>
      <c r="AA130" s="390" t="n"/>
      <c r="AB130" s="390" t="n"/>
      <c r="AC130" s="390" t="n"/>
      <c r="AD130" s="390" t="n"/>
      <c r="AE130" s="390" t="n"/>
      <c r="AF130" s="390" t="n"/>
      <c r="AG130" s="390" t="n"/>
      <c r="AH130" s="390" t="n"/>
      <c r="AI130" s="390" t="n"/>
      <c r="AJ130" s="390" t="n"/>
      <c r="AK130" s="390" t="n"/>
      <c r="AL130" s="390" t="n"/>
      <c r="AM130" s="390" t="n"/>
      <c r="AN130" s="390" t="n"/>
      <c r="AO130" s="390" t="n"/>
      <c r="AP130" s="390" t="n"/>
      <c r="AQ130" s="390" t="n"/>
      <c r="AR130" s="390" t="n"/>
      <c r="AS130" s="390" t="n"/>
      <c r="AT130" s="390" t="n"/>
      <c r="AU130" s="390" t="n"/>
      <c r="AV130" s="390" t="n"/>
      <c r="AW130" s="390" t="n"/>
      <c r="AX130" s="390" t="n"/>
      <c r="AY130" s="390" t="n"/>
      <c r="AZ130" s="390" t="n"/>
      <c r="BA130" s="390" t="n"/>
      <c r="BB130" s="390" t="n"/>
      <c r="BC130" s="390" t="n"/>
      <c r="BD130" s="390" t="n"/>
      <c r="BE130" s="390" t="n"/>
      <c r="BF130" s="390" t="n"/>
      <c r="BG130" s="390" t="n"/>
      <c r="BH130" s="390" t="n"/>
      <c r="BI130" s="390" t="n"/>
      <c r="BJ130" s="390" t="n"/>
      <c r="BK130" s="390" t="n"/>
      <c r="BL130" s="390" t="n"/>
      <c r="BM130" s="390" t="n"/>
      <c r="BN130" s="390" t="n"/>
      <c r="BO130" s="390" t="n"/>
      <c r="BP130" s="390" t="n"/>
      <c r="BQ130" s="390" t="n"/>
      <c r="BR130" s="390" t="n"/>
      <c r="BS130" s="390" t="n"/>
      <c r="BT130" s="390" t="n"/>
      <c r="BU130" s="390" t="n"/>
      <c r="BV130" s="390" t="n"/>
      <c r="BW130" s="390" t="n"/>
      <c r="BX130" s="390" t="n"/>
      <c r="BY130" s="390" t="n"/>
      <c r="BZ130" s="390" t="n"/>
      <c r="CA130" s="390" t="n"/>
      <c r="CB130" s="390" t="n"/>
      <c r="CC130" s="394" t="n"/>
      <c r="CF130" s="254" t="inlineStr">
        <is>
          <t>休日</t>
        </is>
      </c>
      <c r="CG130" s="395" t="n"/>
      <c r="CH130" s="395" t="n"/>
      <c r="CI130" s="396" t="n"/>
      <c r="CJ130" s="386">
        <f>IF(Q127="作業者1",N130-N127,0)</f>
        <v/>
      </c>
      <c r="CK130" s="387" t="n"/>
      <c r="CL130" s="387" t="n"/>
      <c r="CM130" s="387" t="n"/>
      <c r="CN130" s="388" t="n"/>
      <c r="CP130" s="253" t="inlineStr">
        <is>
          <t>休日</t>
        </is>
      </c>
      <c r="CQ130" s="384" t="n"/>
      <c r="CR130" s="384" t="n"/>
      <c r="CS130" s="385" t="n"/>
      <c r="CT130" s="386">
        <f>IF(Q127="作業者2",N130-N127,0)</f>
        <v/>
      </c>
      <c r="CU130" s="387" t="n"/>
      <c r="CV130" s="387" t="n"/>
      <c r="CW130" s="387" t="n"/>
      <c r="CX130" s="388" t="n"/>
      <c r="CZ130" s="254" t="inlineStr">
        <is>
          <t>休日</t>
        </is>
      </c>
      <c r="DA130" s="395" t="n"/>
      <c r="DB130" s="395" t="n"/>
      <c r="DC130" s="396" t="n"/>
      <c r="DD130" s="397">
        <f>IF(Q127="作業者3",N130-N127,0)</f>
        <v/>
      </c>
      <c r="DE130" s="395" t="n"/>
      <c r="DF130" s="395" t="n"/>
      <c r="DG130" s="395" t="n"/>
      <c r="DH130" s="396" t="n"/>
      <c r="DJ130" s="254" t="inlineStr">
        <is>
          <t>休日</t>
        </is>
      </c>
      <c r="DK130" s="395" t="n"/>
      <c r="DL130" s="395" t="n"/>
      <c r="DM130" s="396" t="n"/>
      <c r="DN130" s="397">
        <f>IF(Q127="作業者4",N130-N127,0)</f>
        <v/>
      </c>
      <c r="DO130" s="395" t="n"/>
      <c r="DP130" s="395" t="n"/>
      <c r="DQ130" s="395" t="n"/>
      <c r="DR130" s="396" t="n"/>
      <c r="DT130" s="254" t="inlineStr">
        <is>
          <t>休日</t>
        </is>
      </c>
      <c r="DU130" s="395" t="n"/>
      <c r="DV130" s="395" t="n"/>
      <c r="DW130" s="396" t="n"/>
      <c r="DX130" s="397">
        <f>IF(Q127="作業者5",N130-N127,0)</f>
        <v/>
      </c>
      <c r="DY130" s="395" t="n"/>
      <c r="DZ130" s="395" t="n"/>
      <c r="EA130" s="395" t="n"/>
      <c r="EB130" s="396" t="n"/>
    </row>
    <row r="131" ht="9" customHeight="1" s="337">
      <c r="B131" s="410" t="n"/>
      <c r="C131" s="372" t="n"/>
      <c r="D131" s="373" t="n"/>
      <c r="E131" s="399" t="n"/>
      <c r="F131" s="372" t="n"/>
      <c r="G131" s="373" t="n"/>
      <c r="H131" s="399" t="n"/>
      <c r="I131" s="372" t="n"/>
      <c r="J131" s="373" t="n"/>
      <c r="K131" s="399" t="n"/>
      <c r="L131" s="372" t="n"/>
      <c r="M131" s="373" t="n"/>
      <c r="N131" s="399" t="n"/>
      <c r="O131" s="372" t="n"/>
      <c r="P131" s="373" t="n"/>
      <c r="Q131" s="444" t="n"/>
      <c r="R131" s="372" t="n"/>
      <c r="S131" s="445" t="n"/>
      <c r="T131" s="411" t="n"/>
      <c r="U131" s="372" t="n"/>
      <c r="V131" s="373" t="n"/>
      <c r="W131" s="443" t="n"/>
      <c r="X131" s="372" t="n"/>
      <c r="Y131" s="372" t="n"/>
      <c r="Z131" s="372" t="n"/>
      <c r="AA131" s="372" t="n"/>
      <c r="AB131" s="372" t="n"/>
      <c r="AC131" s="372" t="n"/>
      <c r="AD131" s="372" t="n"/>
      <c r="AE131" s="372" t="n"/>
      <c r="AF131" s="372" t="n"/>
      <c r="AG131" s="372" t="n"/>
      <c r="AH131" s="372" t="n"/>
      <c r="AI131" s="372" t="n"/>
      <c r="AJ131" s="372" t="n"/>
      <c r="AK131" s="372" t="n"/>
      <c r="AL131" s="372" t="n"/>
      <c r="AM131" s="372" t="n"/>
      <c r="AN131" s="372" t="n"/>
      <c r="AO131" s="372" t="n"/>
      <c r="AP131" s="372" t="n"/>
      <c r="AQ131" s="372" t="n"/>
      <c r="AR131" s="372" t="n"/>
      <c r="AS131" s="372" t="n"/>
      <c r="AT131" s="372" t="n"/>
      <c r="AU131" s="372" t="n"/>
      <c r="AV131" s="372" t="n"/>
      <c r="AW131" s="372" t="n"/>
      <c r="AX131" s="372" t="n"/>
      <c r="AY131" s="372" t="n"/>
      <c r="AZ131" s="372" t="n"/>
      <c r="BA131" s="372" t="n"/>
      <c r="BB131" s="372" t="n"/>
      <c r="BC131" s="372" t="n"/>
      <c r="BD131" s="372" t="n"/>
      <c r="BE131" s="372" t="n"/>
      <c r="BF131" s="372" t="n"/>
      <c r="BG131" s="372" t="n"/>
      <c r="BH131" s="372" t="n"/>
      <c r="BI131" s="372" t="n"/>
      <c r="BJ131" s="372" t="n"/>
      <c r="BK131" s="372" t="n"/>
      <c r="BL131" s="372" t="n"/>
      <c r="BM131" s="372" t="n"/>
      <c r="BN131" s="372" t="n"/>
      <c r="BO131" s="372" t="n"/>
      <c r="BP131" s="372" t="n"/>
      <c r="BQ131" s="372" t="n"/>
      <c r="BR131" s="372" t="n"/>
      <c r="BS131" s="372" t="n"/>
      <c r="BT131" s="372" t="n"/>
      <c r="BU131" s="372" t="n"/>
      <c r="BV131" s="372" t="n"/>
      <c r="BW131" s="372" t="n"/>
      <c r="BX131" s="372" t="n"/>
      <c r="BY131" s="372" t="n"/>
      <c r="BZ131" s="372" t="n"/>
      <c r="CA131" s="372" t="n"/>
      <c r="CB131" s="372" t="n"/>
      <c r="CC131" s="402" t="n"/>
      <c r="CF131" s="259" t="inlineStr">
        <is>
          <t>移動</t>
        </is>
      </c>
      <c r="CG131" s="403" t="n"/>
      <c r="CH131" s="403" t="n"/>
      <c r="CI131" s="404" t="n"/>
      <c r="CJ131" s="379">
        <f>IF(Q131="作業者1",E134-E131,0)</f>
        <v/>
      </c>
      <c r="CK131" s="377" t="n"/>
      <c r="CL131" s="377" t="n"/>
      <c r="CM131" s="377" t="n"/>
      <c r="CN131" s="378" t="n"/>
      <c r="CP131" s="248" t="inlineStr">
        <is>
          <t>移動</t>
        </is>
      </c>
      <c r="CQ131" s="377" t="n"/>
      <c r="CR131" s="377" t="n"/>
      <c r="CS131" s="378" t="n"/>
      <c r="CT131" s="379">
        <f>IF(Q131="作業者2",E134-E131,0)</f>
        <v/>
      </c>
      <c r="CU131" s="377" t="n"/>
      <c r="CV131" s="377" t="n"/>
      <c r="CW131" s="377" t="n"/>
      <c r="CX131" s="378" t="n"/>
      <c r="CZ131" s="259" t="inlineStr">
        <is>
          <t>移動</t>
        </is>
      </c>
      <c r="DA131" s="403" t="n"/>
      <c r="DB131" s="403" t="n"/>
      <c r="DC131" s="404" t="n"/>
      <c r="DD131" s="405">
        <f>IF(Q131="作業者3",E134-E131,0)</f>
        <v/>
      </c>
      <c r="DE131" s="406" t="n"/>
      <c r="DF131" s="406" t="n"/>
      <c r="DG131" s="406" t="n"/>
      <c r="DH131" s="407" t="n"/>
      <c r="DJ131" s="259" t="inlineStr">
        <is>
          <t>移動</t>
        </is>
      </c>
      <c r="DK131" s="403" t="n"/>
      <c r="DL131" s="403" t="n"/>
      <c r="DM131" s="404" t="n"/>
      <c r="DN131" s="379">
        <f>IF(Q131="作業者4",E134-E131,0)</f>
        <v/>
      </c>
      <c r="DO131" s="377" t="n"/>
      <c r="DP131" s="377" t="n"/>
      <c r="DQ131" s="377" t="n"/>
      <c r="DR131" s="378" t="n"/>
      <c r="DT131" s="259" t="inlineStr">
        <is>
          <t>移動</t>
        </is>
      </c>
      <c r="DU131" s="403" t="n"/>
      <c r="DV131" s="403" t="n"/>
      <c r="DW131" s="404" t="n"/>
      <c r="DX131" s="379">
        <f>IF(Q131="作業者5",E134-E131,0)</f>
        <v/>
      </c>
      <c r="DY131" s="377" t="n"/>
      <c r="DZ131" s="377" t="n"/>
      <c r="EA131" s="377" t="n"/>
      <c r="EB131" s="378" t="n"/>
    </row>
    <row r="132" ht="9" customHeight="1" s="337">
      <c r="B132" s="350" t="n"/>
      <c r="C132" s="338" t="n"/>
      <c r="D132" s="380" t="n"/>
      <c r="E132" s="381" t="n"/>
      <c r="F132" s="122" t="inlineStr">
        <is>
          <t>～</t>
        </is>
      </c>
      <c r="G132" s="22" t="n"/>
      <c r="H132" s="381" t="n"/>
      <c r="I132" s="122" t="inlineStr">
        <is>
          <t>～</t>
        </is>
      </c>
      <c r="J132" s="22" t="n"/>
      <c r="K132" s="381" t="n"/>
      <c r="L132" s="122" t="inlineStr">
        <is>
          <t>～</t>
        </is>
      </c>
      <c r="M132" s="22" t="n"/>
      <c r="N132" s="381" t="n"/>
      <c r="O132" s="122" t="inlineStr">
        <is>
          <t>～</t>
        </is>
      </c>
      <c r="P132" s="22" t="n"/>
      <c r="Q132" s="382" t="n"/>
      <c r="R132" s="338" t="n"/>
      <c r="S132" s="446" t="n"/>
      <c r="T132" s="382" t="n"/>
      <c r="U132" s="338" t="n"/>
      <c r="V132" s="380" t="n"/>
      <c r="W132" s="382" t="n"/>
      <c r="X132" s="338" t="n"/>
      <c r="Y132" s="338" t="n"/>
      <c r="Z132" s="338" t="n"/>
      <c r="AA132" s="338" t="n"/>
      <c r="AB132" s="338" t="n"/>
      <c r="AC132" s="338" t="n"/>
      <c r="AD132" s="338" t="n"/>
      <c r="AE132" s="338" t="n"/>
      <c r="AF132" s="338" t="n"/>
      <c r="AG132" s="338" t="n"/>
      <c r="AH132" s="338" t="n"/>
      <c r="AI132" s="338" t="n"/>
      <c r="AJ132" s="338" t="n"/>
      <c r="AK132" s="338" t="n"/>
      <c r="AL132" s="338" t="n"/>
      <c r="AM132" s="338" t="n"/>
      <c r="AN132" s="338" t="n"/>
      <c r="AO132" s="338" t="n"/>
      <c r="AP132" s="338" t="n"/>
      <c r="AQ132" s="338" t="n"/>
      <c r="AR132" s="338" t="n"/>
      <c r="AS132" s="338" t="n"/>
      <c r="AT132" s="338" t="n"/>
      <c r="AU132" s="338" t="n"/>
      <c r="AV132" s="338" t="n"/>
      <c r="AW132" s="338" t="n"/>
      <c r="AX132" s="338" t="n"/>
      <c r="AY132" s="338" t="n"/>
      <c r="AZ132" s="338" t="n"/>
      <c r="BA132" s="338" t="n"/>
      <c r="BB132" s="338" t="n"/>
      <c r="BC132" s="338" t="n"/>
      <c r="BD132" s="338" t="n"/>
      <c r="BE132" s="338" t="n"/>
      <c r="BF132" s="338" t="n"/>
      <c r="BG132" s="338" t="n"/>
      <c r="BH132" s="338" t="n"/>
      <c r="BI132" s="338" t="n"/>
      <c r="BJ132" s="338" t="n"/>
      <c r="BK132" s="338" t="n"/>
      <c r="BL132" s="338" t="n"/>
      <c r="BM132" s="338" t="n"/>
      <c r="BN132" s="338" t="n"/>
      <c r="BO132" s="338" t="n"/>
      <c r="BP132" s="338" t="n"/>
      <c r="BQ132" s="338" t="n"/>
      <c r="BR132" s="338" t="n"/>
      <c r="BS132" s="338" t="n"/>
      <c r="BT132" s="338" t="n"/>
      <c r="BU132" s="338" t="n"/>
      <c r="BV132" s="338" t="n"/>
      <c r="BW132" s="338" t="n"/>
      <c r="BX132" s="338" t="n"/>
      <c r="BY132" s="338" t="n"/>
      <c r="BZ132" s="338" t="n"/>
      <c r="CA132" s="338" t="n"/>
      <c r="CB132" s="338" t="n"/>
      <c r="CC132" s="383" t="n"/>
      <c r="CF132" s="253" t="inlineStr">
        <is>
          <t>時間内</t>
        </is>
      </c>
      <c r="CG132" s="384" t="n"/>
      <c r="CH132" s="384" t="n"/>
      <c r="CI132" s="385" t="n"/>
      <c r="CJ132" s="386">
        <f>IF(Q131="作業者1",H134-H131,0)</f>
        <v/>
      </c>
      <c r="CK132" s="387" t="n"/>
      <c r="CL132" s="387" t="n"/>
      <c r="CM132" s="387" t="n"/>
      <c r="CN132" s="388" t="n"/>
      <c r="CP132" s="253" t="inlineStr">
        <is>
          <t>時間内</t>
        </is>
      </c>
      <c r="CQ132" s="384" t="n"/>
      <c r="CR132" s="384" t="n"/>
      <c r="CS132" s="385" t="n"/>
      <c r="CT132" s="386">
        <f>IF(Q131="作業者2",H134-H131,0)</f>
        <v/>
      </c>
      <c r="CU132" s="387" t="n"/>
      <c r="CV132" s="387" t="n"/>
      <c r="CW132" s="387" t="n"/>
      <c r="CX132" s="388" t="n"/>
      <c r="CZ132" s="253" t="inlineStr">
        <is>
          <t>時間内</t>
        </is>
      </c>
      <c r="DA132" s="384" t="n"/>
      <c r="DB132" s="384" t="n"/>
      <c r="DC132" s="385" t="n"/>
      <c r="DD132" s="386">
        <f>IF(Q131="作業者3",H134-H131,0)</f>
        <v/>
      </c>
      <c r="DE132" s="387" t="n"/>
      <c r="DF132" s="387" t="n"/>
      <c r="DG132" s="387" t="n"/>
      <c r="DH132" s="388" t="n"/>
      <c r="DJ132" s="253" t="inlineStr">
        <is>
          <t>時間内</t>
        </is>
      </c>
      <c r="DK132" s="384" t="n"/>
      <c r="DL132" s="384" t="n"/>
      <c r="DM132" s="385" t="n"/>
      <c r="DN132" s="386">
        <f>IF(Q131="作業者4",H134-H131,0)</f>
        <v/>
      </c>
      <c r="DO132" s="387" t="n"/>
      <c r="DP132" s="387" t="n"/>
      <c r="DQ132" s="387" t="n"/>
      <c r="DR132" s="388" t="n"/>
      <c r="DT132" s="253" t="inlineStr">
        <is>
          <t>時間内</t>
        </is>
      </c>
      <c r="DU132" s="384" t="n"/>
      <c r="DV132" s="384" t="n"/>
      <c r="DW132" s="385" t="n"/>
      <c r="DX132" s="386">
        <f>IF(Q131="作業者5",H134-H131,0)</f>
        <v/>
      </c>
      <c r="DY132" s="387" t="n"/>
      <c r="DZ132" s="387" t="n"/>
      <c r="EA132" s="387" t="n"/>
      <c r="EB132" s="388" t="n"/>
    </row>
    <row r="133" ht="9" customHeight="1" s="337">
      <c r="B133" s="350" t="n"/>
      <c r="C133" s="338" t="n"/>
      <c r="D133" s="380" t="n"/>
      <c r="E133" s="23" t="n"/>
      <c r="F133" s="338" t="n"/>
      <c r="G133" s="24" t="n"/>
      <c r="H133" s="23" t="n"/>
      <c r="I133" s="338" t="n"/>
      <c r="J133" s="24" t="n"/>
      <c r="K133" s="23" t="n"/>
      <c r="L133" s="338" t="n"/>
      <c r="M133" s="24" t="n"/>
      <c r="N133" s="23" t="n"/>
      <c r="O133" s="338" t="n"/>
      <c r="P133" s="24" t="n"/>
      <c r="Q133" s="382" t="n"/>
      <c r="R133" s="338" t="n"/>
      <c r="S133" s="446" t="n"/>
      <c r="T133" s="382" t="n"/>
      <c r="U133" s="338" t="n"/>
      <c r="V133" s="380" t="n"/>
      <c r="W133" s="382" t="n"/>
      <c r="X133" s="338" t="n"/>
      <c r="Y133" s="338" t="n"/>
      <c r="Z133" s="338" t="n"/>
      <c r="AA133" s="338" t="n"/>
      <c r="AB133" s="338" t="n"/>
      <c r="AC133" s="338" t="n"/>
      <c r="AD133" s="338" t="n"/>
      <c r="AE133" s="338" t="n"/>
      <c r="AF133" s="338" t="n"/>
      <c r="AG133" s="338" t="n"/>
      <c r="AH133" s="338" t="n"/>
      <c r="AI133" s="338" t="n"/>
      <c r="AJ133" s="338" t="n"/>
      <c r="AK133" s="338" t="n"/>
      <c r="AL133" s="338" t="n"/>
      <c r="AM133" s="338" t="n"/>
      <c r="AN133" s="338" t="n"/>
      <c r="AO133" s="338" t="n"/>
      <c r="AP133" s="338" t="n"/>
      <c r="AQ133" s="338" t="n"/>
      <c r="AR133" s="338" t="n"/>
      <c r="AS133" s="338" t="n"/>
      <c r="AT133" s="338" t="n"/>
      <c r="AU133" s="338" t="n"/>
      <c r="AV133" s="338" t="n"/>
      <c r="AW133" s="338" t="n"/>
      <c r="AX133" s="338" t="n"/>
      <c r="AY133" s="338" t="n"/>
      <c r="AZ133" s="338" t="n"/>
      <c r="BA133" s="338" t="n"/>
      <c r="BB133" s="338" t="n"/>
      <c r="BC133" s="338" t="n"/>
      <c r="BD133" s="338" t="n"/>
      <c r="BE133" s="338" t="n"/>
      <c r="BF133" s="338" t="n"/>
      <c r="BG133" s="338" t="n"/>
      <c r="BH133" s="338" t="n"/>
      <c r="BI133" s="338" t="n"/>
      <c r="BJ133" s="338" t="n"/>
      <c r="BK133" s="338" t="n"/>
      <c r="BL133" s="338" t="n"/>
      <c r="BM133" s="338" t="n"/>
      <c r="BN133" s="338" t="n"/>
      <c r="BO133" s="338" t="n"/>
      <c r="BP133" s="338" t="n"/>
      <c r="BQ133" s="338" t="n"/>
      <c r="BR133" s="338" t="n"/>
      <c r="BS133" s="338" t="n"/>
      <c r="BT133" s="338" t="n"/>
      <c r="BU133" s="338" t="n"/>
      <c r="BV133" s="338" t="n"/>
      <c r="BW133" s="338" t="n"/>
      <c r="BX133" s="338" t="n"/>
      <c r="BY133" s="338" t="n"/>
      <c r="BZ133" s="338" t="n"/>
      <c r="CA133" s="338" t="n"/>
      <c r="CB133" s="338" t="n"/>
      <c r="CC133" s="383" t="n"/>
      <c r="CF133" s="253" t="inlineStr">
        <is>
          <t>時間外</t>
        </is>
      </c>
      <c r="CG133" s="384" t="n"/>
      <c r="CH133" s="384" t="n"/>
      <c r="CI133" s="385" t="n"/>
      <c r="CJ133" s="386">
        <f>IF(Q131="作業者1",K134-K131,0)</f>
        <v/>
      </c>
      <c r="CK133" s="387" t="n"/>
      <c r="CL133" s="387" t="n"/>
      <c r="CM133" s="387" t="n"/>
      <c r="CN133" s="388" t="n"/>
      <c r="CP133" s="253" t="inlineStr">
        <is>
          <t>時間外</t>
        </is>
      </c>
      <c r="CQ133" s="384" t="n"/>
      <c r="CR133" s="384" t="n"/>
      <c r="CS133" s="385" t="n"/>
      <c r="CT133" s="386">
        <f>IF(Q131="作業者2",K134-K131,0)</f>
        <v/>
      </c>
      <c r="CU133" s="387" t="n"/>
      <c r="CV133" s="387" t="n"/>
      <c r="CW133" s="387" t="n"/>
      <c r="CX133" s="388" t="n"/>
      <c r="CZ133" s="253" t="inlineStr">
        <is>
          <t>時間外</t>
        </is>
      </c>
      <c r="DA133" s="384" t="n"/>
      <c r="DB133" s="384" t="n"/>
      <c r="DC133" s="385" t="n"/>
      <c r="DD133" s="386">
        <f>IF(Q131="作業者3",K134-K131,0)</f>
        <v/>
      </c>
      <c r="DE133" s="387" t="n"/>
      <c r="DF133" s="387" t="n"/>
      <c r="DG133" s="387" t="n"/>
      <c r="DH133" s="388" t="n"/>
      <c r="DJ133" s="253" t="inlineStr">
        <is>
          <t>時間外</t>
        </is>
      </c>
      <c r="DK133" s="384" t="n"/>
      <c r="DL133" s="384" t="n"/>
      <c r="DM133" s="385" t="n"/>
      <c r="DN133" s="386">
        <f>IF(Q131="作業者4",K134-K131,0)</f>
        <v/>
      </c>
      <c r="DO133" s="387" t="n"/>
      <c r="DP133" s="387" t="n"/>
      <c r="DQ133" s="387" t="n"/>
      <c r="DR133" s="388" t="n"/>
      <c r="DT133" s="253" t="inlineStr">
        <is>
          <t>時間外</t>
        </is>
      </c>
      <c r="DU133" s="384" t="n"/>
      <c r="DV133" s="384" t="n"/>
      <c r="DW133" s="385" t="n"/>
      <c r="DX133" s="386">
        <f>IF(Q131="作業者5",K134-K131,0)</f>
        <v/>
      </c>
      <c r="DY133" s="387" t="n"/>
      <c r="DZ133" s="387" t="n"/>
      <c r="EA133" s="387" t="n"/>
      <c r="EB133" s="388" t="n"/>
    </row>
    <row r="134" ht="9" customHeight="1" s="337">
      <c r="B134" s="353" t="n"/>
      <c r="C134" s="339" t="n"/>
      <c r="D134" s="364" t="n"/>
      <c r="E134" s="412" t="n"/>
      <c r="F134" s="339" t="n"/>
      <c r="G134" s="364" t="n"/>
      <c r="H134" s="412" t="n"/>
      <c r="I134" s="339" t="n"/>
      <c r="J134" s="364" t="n"/>
      <c r="K134" s="412" t="n"/>
      <c r="L134" s="339" t="n"/>
      <c r="M134" s="364" t="n"/>
      <c r="N134" s="412" t="n"/>
      <c r="O134" s="339" t="n"/>
      <c r="P134" s="364" t="n"/>
      <c r="Q134" s="393" t="n"/>
      <c r="R134" s="390" t="n"/>
      <c r="S134" s="447" t="n"/>
      <c r="T134" s="365" t="n"/>
      <c r="U134" s="339" t="n"/>
      <c r="V134" s="364" t="n"/>
      <c r="W134" s="393" t="n"/>
      <c r="X134" s="390" t="n"/>
      <c r="Y134" s="390" t="n"/>
      <c r="Z134" s="390" t="n"/>
      <c r="AA134" s="390" t="n"/>
      <c r="AB134" s="390" t="n"/>
      <c r="AC134" s="390" t="n"/>
      <c r="AD134" s="390" t="n"/>
      <c r="AE134" s="390" t="n"/>
      <c r="AF134" s="390" t="n"/>
      <c r="AG134" s="390" t="n"/>
      <c r="AH134" s="390" t="n"/>
      <c r="AI134" s="390" t="n"/>
      <c r="AJ134" s="390" t="n"/>
      <c r="AK134" s="390" t="n"/>
      <c r="AL134" s="390" t="n"/>
      <c r="AM134" s="390" t="n"/>
      <c r="AN134" s="390" t="n"/>
      <c r="AO134" s="390" t="n"/>
      <c r="AP134" s="390" t="n"/>
      <c r="AQ134" s="390" t="n"/>
      <c r="AR134" s="390" t="n"/>
      <c r="AS134" s="390" t="n"/>
      <c r="AT134" s="390" t="n"/>
      <c r="AU134" s="390" t="n"/>
      <c r="AV134" s="390" t="n"/>
      <c r="AW134" s="390" t="n"/>
      <c r="AX134" s="390" t="n"/>
      <c r="AY134" s="390" t="n"/>
      <c r="AZ134" s="390" t="n"/>
      <c r="BA134" s="390" t="n"/>
      <c r="BB134" s="390" t="n"/>
      <c r="BC134" s="390" t="n"/>
      <c r="BD134" s="390" t="n"/>
      <c r="BE134" s="390" t="n"/>
      <c r="BF134" s="390" t="n"/>
      <c r="BG134" s="390" t="n"/>
      <c r="BH134" s="390" t="n"/>
      <c r="BI134" s="390" t="n"/>
      <c r="BJ134" s="390" t="n"/>
      <c r="BK134" s="390" t="n"/>
      <c r="BL134" s="390" t="n"/>
      <c r="BM134" s="390" t="n"/>
      <c r="BN134" s="390" t="n"/>
      <c r="BO134" s="390" t="n"/>
      <c r="BP134" s="390" t="n"/>
      <c r="BQ134" s="390" t="n"/>
      <c r="BR134" s="390" t="n"/>
      <c r="BS134" s="390" t="n"/>
      <c r="BT134" s="390" t="n"/>
      <c r="BU134" s="390" t="n"/>
      <c r="BV134" s="390" t="n"/>
      <c r="BW134" s="390" t="n"/>
      <c r="BX134" s="390" t="n"/>
      <c r="BY134" s="390" t="n"/>
      <c r="BZ134" s="390" t="n"/>
      <c r="CA134" s="390" t="n"/>
      <c r="CB134" s="390" t="n"/>
      <c r="CC134" s="394" t="n"/>
      <c r="CF134" s="254" t="inlineStr">
        <is>
          <t>休日</t>
        </is>
      </c>
      <c r="CG134" s="395" t="n"/>
      <c r="CH134" s="395" t="n"/>
      <c r="CI134" s="396" t="n"/>
      <c r="CJ134" s="397">
        <f>IF(Q131="作業者1",N134-N131,0)</f>
        <v/>
      </c>
      <c r="CK134" s="395" t="n"/>
      <c r="CL134" s="395" t="n"/>
      <c r="CM134" s="395" t="n"/>
      <c r="CN134" s="396" t="n"/>
      <c r="CP134" s="254" t="inlineStr">
        <is>
          <t>休日</t>
        </is>
      </c>
      <c r="CQ134" s="395" t="n"/>
      <c r="CR134" s="395" t="n"/>
      <c r="CS134" s="396" t="n"/>
      <c r="CT134" s="397">
        <f>IF(Q131="作業者2",N134-N131,0)</f>
        <v/>
      </c>
      <c r="CU134" s="395" t="n"/>
      <c r="CV134" s="395" t="n"/>
      <c r="CW134" s="395" t="n"/>
      <c r="CX134" s="396" t="n"/>
      <c r="CZ134" s="254" t="inlineStr">
        <is>
          <t>休日</t>
        </is>
      </c>
      <c r="DA134" s="395" t="n"/>
      <c r="DB134" s="395" t="n"/>
      <c r="DC134" s="396" t="n"/>
      <c r="DD134" s="397">
        <f>IF(Q131="作業者3",N134-N131,0)</f>
        <v/>
      </c>
      <c r="DE134" s="395" t="n"/>
      <c r="DF134" s="395" t="n"/>
      <c r="DG134" s="395" t="n"/>
      <c r="DH134" s="396" t="n"/>
      <c r="DJ134" s="254" t="inlineStr">
        <is>
          <t>休日</t>
        </is>
      </c>
      <c r="DK134" s="395" t="n"/>
      <c r="DL134" s="395" t="n"/>
      <c r="DM134" s="396" t="n"/>
      <c r="DN134" s="397">
        <f>IF(Q131="作業者4",N134-N131,0)</f>
        <v/>
      </c>
      <c r="DO134" s="395" t="n"/>
      <c r="DP134" s="395" t="n"/>
      <c r="DQ134" s="395" t="n"/>
      <c r="DR134" s="396" t="n"/>
      <c r="DT134" s="254" t="inlineStr">
        <is>
          <t>休日</t>
        </is>
      </c>
      <c r="DU134" s="395" t="n"/>
      <c r="DV134" s="395" t="n"/>
      <c r="DW134" s="396" t="n"/>
      <c r="DX134" s="397">
        <f>IF(Q131="作業者5",N134-N131,0)</f>
        <v/>
      </c>
      <c r="DY134" s="395" t="n"/>
      <c r="DZ134" s="395" t="n"/>
      <c r="EA134" s="395" t="n"/>
      <c r="EB134" s="396" t="n"/>
    </row>
    <row r="135" ht="9" customHeight="1" s="337">
      <c r="B135" s="424" t="n"/>
      <c r="C135" s="424" t="n"/>
      <c r="D135" s="424" t="n"/>
      <c r="E135" s="425" t="n"/>
      <c r="F135" s="11" t="n"/>
      <c r="G135" s="11" t="n"/>
      <c r="H135" s="425" t="n"/>
      <c r="I135" s="11" t="n"/>
      <c r="J135" s="11" t="n"/>
      <c r="K135" s="425" t="n"/>
      <c r="L135" s="11" t="n"/>
      <c r="M135" s="11" t="n"/>
      <c r="N135" s="425" t="n"/>
      <c r="O135" s="11" t="n"/>
      <c r="P135" s="11" t="n"/>
      <c r="Q135" s="8" t="n"/>
      <c r="R135" s="8" t="n"/>
      <c r="S135" s="8" t="n"/>
      <c r="T135" s="12" t="n"/>
      <c r="U135" s="12" t="n"/>
      <c r="V135" s="12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  <c r="BP135" s="14" t="n"/>
      <c r="BQ135" s="14" t="n"/>
      <c r="BR135" s="14" t="n"/>
      <c r="BS135" s="14" t="n"/>
      <c r="BT135" s="14" t="n"/>
      <c r="BU135" s="14" t="n"/>
      <c r="BV135" s="14" t="n"/>
      <c r="BW135" s="14" t="n"/>
      <c r="BX135" s="14" t="n"/>
      <c r="BY135" s="14" t="n"/>
      <c r="BZ135" s="14" t="n"/>
      <c r="CA135" s="415" t="n"/>
      <c r="CB135" s="87" t="n"/>
      <c r="CC135" s="87" t="n"/>
      <c r="CD135" s="87" t="n"/>
      <c r="CE135" s="416" t="n"/>
      <c r="CF135" s="34" t="n"/>
      <c r="CG135" s="34" t="n"/>
    </row>
    <row r="136" ht="14.45" customHeight="1" s="337">
      <c r="G136" s="312" t="inlineStr">
        <is>
          <t>早出(始)</t>
        </is>
      </c>
      <c r="H136" s="377" t="n"/>
      <c r="I136" s="377" t="n"/>
      <c r="J136" s="378" t="n"/>
      <c r="K136" s="303" t="n">
        <v>0.0006944444444444445</v>
      </c>
      <c r="L136" s="377" t="n"/>
      <c r="M136" s="378" t="n"/>
      <c r="Q136" s="426" t="inlineStr">
        <is>
          <t>作業者</t>
        </is>
      </c>
      <c r="R136" s="427" t="n"/>
      <c r="S136" s="428" t="n"/>
      <c r="BP136" s="16" t="n"/>
      <c r="BQ136" s="87" t="n"/>
      <c r="BR136" s="87" t="n"/>
      <c r="BS136" s="87" t="n"/>
      <c r="BT136" s="87" t="n"/>
      <c r="BU136" s="87" t="n"/>
      <c r="BV136" s="87" t="n"/>
      <c r="BW136" s="449" t="inlineStr">
        <is>
          <t>合計</t>
        </is>
      </c>
      <c r="BX136" s="362" t="n"/>
      <c r="BY136" s="362" t="n"/>
      <c r="BZ136" s="362" t="n"/>
      <c r="CA136" s="362" t="n"/>
      <c r="CB136" s="362" t="n"/>
      <c r="CC136" s="363" t="n"/>
      <c r="CD136" s="450" t="n"/>
      <c r="CE136" s="451" t="n"/>
      <c r="CF136" s="431" t="inlineStr">
        <is>
          <t>合計（作業者1）</t>
        </is>
      </c>
      <c r="CG136" s="362" t="n"/>
      <c r="CH136" s="362" t="n"/>
      <c r="CI136" s="362" t="n"/>
      <c r="CJ136" s="362" t="n"/>
      <c r="CK136" s="362" t="n"/>
      <c r="CL136" s="362" t="n"/>
      <c r="CM136" s="362" t="n"/>
      <c r="CN136" s="363" t="n"/>
      <c r="CP136" s="431" t="inlineStr">
        <is>
          <t>合計（作業者2）</t>
        </is>
      </c>
      <c r="CQ136" s="362" t="n"/>
      <c r="CR136" s="362" t="n"/>
      <c r="CS136" s="362" t="n"/>
      <c r="CT136" s="362" t="n"/>
      <c r="CU136" s="362" t="n"/>
      <c r="CV136" s="362" t="n"/>
      <c r="CW136" s="362" t="n"/>
      <c r="CX136" s="363" t="n"/>
      <c r="CZ136" s="431" t="inlineStr">
        <is>
          <t>合計（作業者3）</t>
        </is>
      </c>
      <c r="DA136" s="362" t="n"/>
      <c r="DB136" s="362" t="n"/>
      <c r="DC136" s="362" t="n"/>
      <c r="DD136" s="362" t="n"/>
      <c r="DE136" s="362" t="n"/>
      <c r="DF136" s="362" t="n"/>
      <c r="DG136" s="362" t="n"/>
      <c r="DH136" s="363" t="n"/>
      <c r="DJ136" s="431" t="inlineStr">
        <is>
          <t>合計（作業者4）</t>
        </is>
      </c>
      <c r="DK136" s="362" t="n"/>
      <c r="DL136" s="362" t="n"/>
      <c r="DM136" s="362" t="n"/>
      <c r="DN136" s="362" t="n"/>
      <c r="DO136" s="362" t="n"/>
      <c r="DP136" s="362" t="n"/>
      <c r="DQ136" s="362" t="n"/>
      <c r="DR136" s="363" t="n"/>
      <c r="DT136" s="431" t="inlineStr">
        <is>
          <t>合計（作業者5）</t>
        </is>
      </c>
      <c r="DU136" s="362" t="n"/>
      <c r="DV136" s="362" t="n"/>
      <c r="DW136" s="362" t="n"/>
      <c r="DX136" s="362" t="n"/>
      <c r="DY136" s="362" t="n"/>
      <c r="DZ136" s="362" t="n"/>
      <c r="EA136" s="362" t="n"/>
      <c r="EB136" s="363" t="n"/>
    </row>
    <row r="137" ht="13.5" customHeight="1" s="337">
      <c r="C137" s="13" t="n"/>
      <c r="G137" s="313" t="inlineStr">
        <is>
          <t>早出(終)</t>
        </is>
      </c>
      <c r="H137" s="384" t="n"/>
      <c r="I137" s="384" t="n"/>
      <c r="J137" s="385" t="n"/>
      <c r="K137" s="306" t="n">
        <v>0.3333333333333333</v>
      </c>
      <c r="L137" s="387" t="n"/>
      <c r="M137" s="388" t="n"/>
      <c r="Q137" s="36" t="inlineStr">
        <is>
          <t>作業者1</t>
        </is>
      </c>
      <c r="R137" s="99" t="n"/>
      <c r="S137" s="100" t="n"/>
      <c r="BP137" s="16" t="n"/>
      <c r="BQ137" s="87" t="n"/>
      <c r="BR137" s="87" t="n"/>
      <c r="BS137" s="87" t="n"/>
      <c r="BT137" s="87" t="n"/>
      <c r="BU137" s="87" t="n"/>
      <c r="BV137" s="87" t="n"/>
      <c r="BW137" s="366" t="n"/>
      <c r="BX137" s="367" t="n"/>
      <c r="BY137" s="367" t="n"/>
      <c r="BZ137" s="367" t="n"/>
      <c r="CA137" s="367" t="n"/>
      <c r="CB137" s="367" t="n"/>
      <c r="CC137" s="368" t="n"/>
      <c r="CD137" s="450" t="n"/>
      <c r="CE137" s="451" t="n"/>
      <c r="CF137" s="366" t="n"/>
      <c r="CG137" s="367" t="n"/>
      <c r="CH137" s="367" t="n"/>
      <c r="CI137" s="367" t="n"/>
      <c r="CJ137" s="367" t="n"/>
      <c r="CK137" s="367" t="n"/>
      <c r="CL137" s="367" t="n"/>
      <c r="CM137" s="367" t="n"/>
      <c r="CN137" s="368" t="n"/>
      <c r="CP137" s="366" t="n"/>
      <c r="CQ137" s="367" t="n"/>
      <c r="CR137" s="367" t="n"/>
      <c r="CS137" s="367" t="n"/>
      <c r="CT137" s="367" t="n"/>
      <c r="CU137" s="367" t="n"/>
      <c r="CV137" s="367" t="n"/>
      <c r="CW137" s="367" t="n"/>
      <c r="CX137" s="368" t="n"/>
      <c r="CZ137" s="366" t="n"/>
      <c r="DA137" s="367" t="n"/>
      <c r="DB137" s="367" t="n"/>
      <c r="DC137" s="367" t="n"/>
      <c r="DD137" s="367" t="n"/>
      <c r="DE137" s="367" t="n"/>
      <c r="DF137" s="367" t="n"/>
      <c r="DG137" s="367" t="n"/>
      <c r="DH137" s="368" t="n"/>
      <c r="DJ137" s="366" t="n"/>
      <c r="DK137" s="367" t="n"/>
      <c r="DL137" s="367" t="n"/>
      <c r="DM137" s="367" t="n"/>
      <c r="DN137" s="367" t="n"/>
      <c r="DO137" s="367" t="n"/>
      <c r="DP137" s="367" t="n"/>
      <c r="DQ137" s="367" t="n"/>
      <c r="DR137" s="368" t="n"/>
      <c r="DT137" s="366" t="n"/>
      <c r="DU137" s="367" t="n"/>
      <c r="DV137" s="367" t="n"/>
      <c r="DW137" s="367" t="n"/>
      <c r="DX137" s="367" t="n"/>
      <c r="DY137" s="367" t="n"/>
      <c r="DZ137" s="367" t="n"/>
      <c r="EA137" s="367" t="n"/>
      <c r="EB137" s="368" t="n"/>
    </row>
    <row r="138" ht="12" customHeight="1" s="337">
      <c r="C138" s="13" t="n"/>
      <c r="G138" s="313" t="inlineStr">
        <is>
          <t>時間外(始)</t>
        </is>
      </c>
      <c r="H138" s="384" t="n"/>
      <c r="I138" s="384" t="n"/>
      <c r="J138" s="385" t="n"/>
      <c r="K138" s="306" t="n">
        <v>0.7083333333333334</v>
      </c>
      <c r="L138" s="387" t="n"/>
      <c r="M138" s="388" t="n"/>
      <c r="Q138" s="38" t="inlineStr">
        <is>
          <t>作業者2</t>
        </is>
      </c>
      <c r="R138" s="78" t="n"/>
      <c r="S138" s="79" t="n"/>
      <c r="BP138" s="16" t="n"/>
      <c r="BQ138" s="87" t="n"/>
      <c r="BR138" s="87" t="n"/>
      <c r="BS138" s="87" t="n"/>
      <c r="BT138" s="87" t="n"/>
      <c r="BU138" s="87" t="n"/>
      <c r="BV138" s="87" t="n"/>
      <c r="BW138" s="452" t="inlineStr">
        <is>
          <t>移動</t>
        </is>
      </c>
      <c r="BX138" s="453" t="n"/>
      <c r="BY138" s="453" t="n"/>
      <c r="BZ138" s="454">
        <f>CJ138+CT138+DD138+DN138+DX138</f>
        <v/>
      </c>
      <c r="CA138" s="453" t="n"/>
      <c r="CB138" s="453" t="n"/>
      <c r="CC138" s="455" t="n"/>
      <c r="CD138" s="456" t="n"/>
      <c r="CE138" s="451" t="n"/>
      <c r="CF138" s="259" t="inlineStr">
        <is>
          <t>移動</t>
        </is>
      </c>
      <c r="CG138" s="403" t="n"/>
      <c r="CH138" s="403" t="n"/>
      <c r="CI138" s="404" t="n"/>
      <c r="CJ138" s="405">
        <f>CJ4+CJ8+CJ12+CJ16+CJ20+CJ24+CJ28+CJ32+CJ36+CJ40+CJ44+CJ48+CJ52+CJ56+CJ60+CJ64+CJ71+CJ75+CJ79+CJ83+CJ87+CJ91+CJ95+CJ99+CJ103+CJ107+CJ111+CJ115+CJ119+CJ123+CJ127+CJ131</f>
        <v/>
      </c>
      <c r="CK138" s="406" t="n"/>
      <c r="CL138" s="406" t="n"/>
      <c r="CM138" s="406" t="n"/>
      <c r="CN138" s="407" t="n"/>
      <c r="CP138" s="259" t="inlineStr">
        <is>
          <t>移動</t>
        </is>
      </c>
      <c r="CQ138" s="403" t="n"/>
      <c r="CR138" s="403" t="n"/>
      <c r="CS138" s="404" t="n"/>
      <c r="CT138" s="405">
        <f>CT4+CT8+CT12+CT16+CT20+CT24+CT28+CT32+CT36+CT40+CT44+CT48+CT52+CT56+CT60+CT64+CT71+CT75+CT79+CT83+CT87+CT91+CT95+CT99+CT103+CT107+CT111+CT115+CT119+CT123+CT127+CT131</f>
        <v/>
      </c>
      <c r="CU138" s="406" t="n"/>
      <c r="CV138" s="406" t="n"/>
      <c r="CW138" s="406" t="n"/>
      <c r="CX138" s="407" t="n"/>
      <c r="CZ138" s="259" t="inlineStr">
        <is>
          <t>移動</t>
        </is>
      </c>
      <c r="DA138" s="403" t="n"/>
      <c r="DB138" s="403" t="n"/>
      <c r="DC138" s="404" t="n"/>
      <c r="DD138" s="405">
        <f>DD4+DD8+DD12+DD16+DD20+DD24+DD28+DD32+DD36+DD40+DD44+DD48+DD52+DD56+DD60+DD64+DD71+DD75+DD79+DD83+DD87+DD91+DD95+DD99+DD103+DD107+DD111+DD115+DD119+DD123+DD127+DD131</f>
        <v/>
      </c>
      <c r="DE138" s="406" t="n"/>
      <c r="DF138" s="406" t="n"/>
      <c r="DG138" s="406" t="n"/>
      <c r="DH138" s="407" t="n"/>
      <c r="DJ138" s="259" t="inlineStr">
        <is>
          <t>移動</t>
        </is>
      </c>
      <c r="DK138" s="403" t="n"/>
      <c r="DL138" s="403" t="n"/>
      <c r="DM138" s="404" t="n"/>
      <c r="DN138" s="405">
        <f>DN4+DN8+DN12+DN16+DN20+DN24+DN28+DN32+DN36+DN40+DN44+DN48+DN52+DN56+DN60+DN64+DN71+DN75+DN79+DN83+DN87+DN91+DN95+DN99+DN103+DN107+DN111+DN115+DN119+DN123+DN127+DN131</f>
        <v/>
      </c>
      <c r="DO138" s="406" t="n"/>
      <c r="DP138" s="406" t="n"/>
      <c r="DQ138" s="406" t="n"/>
      <c r="DR138" s="407" t="n"/>
      <c r="DT138" s="259" t="inlineStr">
        <is>
          <t>移動</t>
        </is>
      </c>
      <c r="DU138" s="403" t="n"/>
      <c r="DV138" s="403" t="n"/>
      <c r="DW138" s="404" t="n"/>
      <c r="DX138" s="405">
        <f>DX4+DX8+DX12+DX16+DX20+DX24+DX28+DX32+DX36+DX40+DX44+DX48+DX52+DX56+DX60+DX64+DX71+DX75+DX79+DX83+DX87+DX91+DX95+DX99+DX103+DX107+DX111+DX115+DX119+DX123+DX127+DX131</f>
        <v/>
      </c>
      <c r="DY138" s="406" t="n"/>
      <c r="DZ138" s="406" t="n"/>
      <c r="EA138" s="406" t="n"/>
      <c r="EB138" s="407" t="n"/>
    </row>
    <row r="139" ht="12" customHeight="1" s="337">
      <c r="C139" s="13" t="n"/>
      <c r="G139" s="42" t="inlineStr">
        <is>
          <t>時間外(終)</t>
        </is>
      </c>
      <c r="H139" s="43" t="n"/>
      <c r="I139" s="43" t="n"/>
      <c r="J139" s="43" t="n"/>
      <c r="K139" s="309" t="n">
        <v>0.9993055555555556</v>
      </c>
      <c r="L139" s="395" t="n"/>
      <c r="M139" s="396" t="n"/>
      <c r="Q139" s="52" t="inlineStr">
        <is>
          <t>作業者3</t>
        </is>
      </c>
      <c r="R139" s="53" t="n"/>
      <c r="S139" s="54" t="n"/>
      <c r="BP139" s="16" t="n"/>
      <c r="BQ139" s="87" t="n"/>
      <c r="BR139" s="87" t="n"/>
      <c r="BS139" s="87" t="n"/>
      <c r="BT139" s="87" t="n"/>
      <c r="BU139" s="87" t="n"/>
      <c r="BV139" s="87" t="n"/>
      <c r="BW139" s="457" t="inlineStr">
        <is>
          <t>時間内</t>
        </is>
      </c>
      <c r="BX139" s="384" t="n"/>
      <c r="BY139" s="384" t="n"/>
      <c r="BZ139" s="458">
        <f>CJ139+CT139+DD139+DN139+DX139</f>
        <v/>
      </c>
      <c r="CA139" s="384" t="n"/>
      <c r="CB139" s="384" t="n"/>
      <c r="CC139" s="459" t="n"/>
      <c r="CD139" s="456" t="n"/>
      <c r="CE139" s="451" t="n"/>
      <c r="CF139" s="253" t="inlineStr">
        <is>
          <t>時間内</t>
        </is>
      </c>
      <c r="CG139" s="384" t="n"/>
      <c r="CH139" s="384" t="n"/>
      <c r="CI139" s="385" t="n"/>
      <c r="CJ139" s="386">
        <f>CJ5+CJ9+CJ13+CJ17+CJ21+CJ25+CJ29+CJ33+CJ37+CJ41+CJ45+CJ49+CJ53+CJ57+CJ61+CJ65+CJ72+CJ76+CJ80+CJ84+CJ88+CJ92+CJ96+CJ100+CJ104+CJ108+CJ112+CJ116+CJ120+CJ124+CJ128+CJ132</f>
        <v/>
      </c>
      <c r="CK139" s="387" t="n"/>
      <c r="CL139" s="387" t="n"/>
      <c r="CM139" s="387" t="n"/>
      <c r="CN139" s="388" t="n"/>
      <c r="CP139" s="253" t="inlineStr">
        <is>
          <t>時間内</t>
        </is>
      </c>
      <c r="CQ139" s="384" t="n"/>
      <c r="CR139" s="384" t="n"/>
      <c r="CS139" s="385" t="n"/>
      <c r="CT139" s="386">
        <f>CT5+CT9+CT13+CT17+CT21+CT25+CT29+CT33+CT37+CT41+CT45+CT49+CT53+CT57+CT61+CT65+CT72+CT76+CT80+CT84+CT88+CT92+CT96+CT100+CT104+CT108+CT112+CT116+CT120+CT124+CT128+CT132</f>
        <v/>
      </c>
      <c r="CU139" s="387" t="n"/>
      <c r="CV139" s="387" t="n"/>
      <c r="CW139" s="387" t="n"/>
      <c r="CX139" s="388" t="n"/>
      <c r="CZ139" s="253" t="inlineStr">
        <is>
          <t>時間内</t>
        </is>
      </c>
      <c r="DA139" s="384" t="n"/>
      <c r="DB139" s="384" t="n"/>
      <c r="DC139" s="385" t="n"/>
      <c r="DD139" s="386">
        <f>DD5+DD9+DD13+DD17+DD21+DD25+DD29+DD33+DD37+DD41+DD45+DD49+DD53+DD57+DD61+DD65+DD72+DD76+DD80+DD84+DD88+DD92+DD96+DD100+DD104+DD108+DD112+DD116+DD120+DD124+DD128+DD132</f>
        <v/>
      </c>
      <c r="DE139" s="387" t="n"/>
      <c r="DF139" s="387" t="n"/>
      <c r="DG139" s="387" t="n"/>
      <c r="DH139" s="388" t="n"/>
      <c r="DJ139" s="253" t="inlineStr">
        <is>
          <t>時間内</t>
        </is>
      </c>
      <c r="DK139" s="384" t="n"/>
      <c r="DL139" s="384" t="n"/>
      <c r="DM139" s="385" t="n"/>
      <c r="DN139" s="386">
        <f>DN5+DN9+DN13+DN17+DN21+DN25+DN29+DN33+DN37+DN41+DN45+DN49+DN53+DN57+DN61+DN65+DN72+DN76+DN80+DN84+DN88+DN92+DN96+DN100+DN104+DN108+DN112+DN116+DN120+DN124+DN128+DN132</f>
        <v/>
      </c>
      <c r="DO139" s="387" t="n"/>
      <c r="DP139" s="387" t="n"/>
      <c r="DQ139" s="387" t="n"/>
      <c r="DR139" s="388" t="n"/>
      <c r="DT139" s="253" t="inlineStr">
        <is>
          <t>時間内</t>
        </is>
      </c>
      <c r="DU139" s="384" t="n"/>
      <c r="DV139" s="384" t="n"/>
      <c r="DW139" s="385" t="n"/>
      <c r="DX139" s="386">
        <f>DX5+DX9+DX13+DX17+DX21+DX25+DX29+DX33+DX37+DX41+DX45+DX49+DX53+DX57+DX61+DX65+DX72+DX76+DX80+DX84+DX88+DX92+DX96+DX100+DX104+DX108+DX112+DX116+DX120+DX124+DX128+DX132</f>
        <v/>
      </c>
      <c r="DY139" s="387" t="n"/>
      <c r="DZ139" s="387" t="n"/>
      <c r="EA139" s="387" t="n"/>
      <c r="EB139" s="388" t="n"/>
    </row>
    <row r="140" ht="12" customHeight="1" s="337">
      <c r="C140" s="13" t="n"/>
      <c r="Q140" s="38" t="inlineStr">
        <is>
          <t>作業者4</t>
        </is>
      </c>
      <c r="R140" s="78" t="n"/>
      <c r="S140" s="79" t="n"/>
      <c r="BP140" s="19" t="n"/>
      <c r="BW140" s="457" t="inlineStr">
        <is>
          <t>時間外</t>
        </is>
      </c>
      <c r="BX140" s="384" t="n"/>
      <c r="BY140" s="384" t="n"/>
      <c r="BZ140" s="458">
        <f>CJ140+CT140+DD140+DN140+DX140</f>
        <v/>
      </c>
      <c r="CA140" s="384" t="n"/>
      <c r="CB140" s="384" t="n"/>
      <c r="CC140" s="459" t="n"/>
      <c r="CD140" s="456" t="n"/>
      <c r="CE140" s="31" t="n"/>
      <c r="CF140" s="253" t="inlineStr">
        <is>
          <t>時間外</t>
        </is>
      </c>
      <c r="CG140" s="384" t="n"/>
      <c r="CH140" s="384" t="n"/>
      <c r="CI140" s="385" t="n"/>
      <c r="CJ140" s="386">
        <f>CJ6+CJ10+CJ14+CJ18+CJ22+CJ26+CJ30+CJ34+CJ38+CJ42+CJ46+CJ50+CJ54+CJ58+CJ62+CJ66+CJ73+CJ77+CJ81+CJ85+CJ89+CJ93+CJ97+CJ101+CJ105+CJ109+CJ113+CJ117+CJ121+CJ125+CJ129+CJ133</f>
        <v/>
      </c>
      <c r="CK140" s="387" t="n"/>
      <c r="CL140" s="387" t="n"/>
      <c r="CM140" s="387" t="n"/>
      <c r="CN140" s="388" t="n"/>
      <c r="CP140" s="253" t="inlineStr">
        <is>
          <t>時間外</t>
        </is>
      </c>
      <c r="CQ140" s="384" t="n"/>
      <c r="CR140" s="384" t="n"/>
      <c r="CS140" s="385" t="n"/>
      <c r="CT140" s="386">
        <f>CT6+CT10+CT14+CT18+CT22+CT26+CT30+CT34+CT38+CT42+CT46+CT50+CT54+CT58+CT62+CT66+CT73+CT77+CT81+CT85+CT89+CT93+CT97+CT101+CT105+CT109+CT113+CT117+CT121+CT125+CT129+CT133</f>
        <v/>
      </c>
      <c r="CU140" s="387" t="n"/>
      <c r="CV140" s="387" t="n"/>
      <c r="CW140" s="387" t="n"/>
      <c r="CX140" s="388" t="n"/>
      <c r="CZ140" s="253" t="inlineStr">
        <is>
          <t>時間外</t>
        </is>
      </c>
      <c r="DA140" s="384" t="n"/>
      <c r="DB140" s="384" t="n"/>
      <c r="DC140" s="385" t="n"/>
      <c r="DD140" s="386">
        <f>DD6+DD10+DD14+DD18+DD22+DD26+DD30+DD34+DD38+DD42+DD46+DD50+DD54+DD58+DD62+DD66+DD73+DD77+DD81+DD85+DD89+DD93+DD97+DD101+DD105+DD109+DD113+DD117+DD121+DD125+DD129+DD133</f>
        <v/>
      </c>
      <c r="DE140" s="387" t="n"/>
      <c r="DF140" s="387" t="n"/>
      <c r="DG140" s="387" t="n"/>
      <c r="DH140" s="388" t="n"/>
      <c r="DJ140" s="253" t="inlineStr">
        <is>
          <t>時間外</t>
        </is>
      </c>
      <c r="DK140" s="384" t="n"/>
      <c r="DL140" s="384" t="n"/>
      <c r="DM140" s="385" t="n"/>
      <c r="DN140" s="386">
        <f>DN6+DN10+DN14+DN18+DN22+DN26+DN30+DN34+DN38+DN42+DN46+DN50+DN54+DN58+DN62+DN66+DN73+DN77+DN81+DN85+DN89+DN93+DN97+DN101+DN105+DN109+DN113+DN117+DN121+DN125+DN129+DN133</f>
        <v/>
      </c>
      <c r="DO140" s="387" t="n"/>
      <c r="DP140" s="387" t="n"/>
      <c r="DQ140" s="387" t="n"/>
      <c r="DR140" s="388" t="n"/>
      <c r="DT140" s="253" t="inlineStr">
        <is>
          <t>時間外</t>
        </is>
      </c>
      <c r="DU140" s="384" t="n"/>
      <c r="DV140" s="384" t="n"/>
      <c r="DW140" s="385" t="n"/>
      <c r="DX140" s="386">
        <f>DX6+DX10+DX14+DX18+DX22+DX26+DX30+DX34+DX38+DX42+DX46+DX50+DX54+DX58+DX62+DX66+DX73+DX77+DX81+DX85+DX89+DX93+DX97+DX101+DX105+DX109+DX113+DX117+DX121+DX125+DX129+DX133</f>
        <v/>
      </c>
      <c r="DY140" s="387" t="n"/>
      <c r="DZ140" s="387" t="n"/>
      <c r="EA140" s="387" t="n"/>
      <c r="EB140" s="388" t="n"/>
    </row>
    <row r="141" ht="12" customHeight="1" s="337">
      <c r="C141" s="13" t="n"/>
      <c r="Q141" s="40" t="inlineStr">
        <is>
          <t>作業者5</t>
        </is>
      </c>
      <c r="R141" s="82" t="n"/>
      <c r="S141" s="83" t="n"/>
      <c r="BW141" s="460" t="inlineStr">
        <is>
          <t>休日</t>
        </is>
      </c>
      <c r="BX141" s="395" t="n"/>
      <c r="BY141" s="395" t="n"/>
      <c r="BZ141" s="461">
        <f>CJ141+CT141+DD141+DN141+DX141</f>
        <v/>
      </c>
      <c r="CA141" s="395" t="n"/>
      <c r="CB141" s="395" t="n"/>
      <c r="CC141" s="462" t="n"/>
      <c r="CD141" s="456" t="n"/>
      <c r="CE141" s="31" t="n"/>
      <c r="CF141" s="254" t="inlineStr">
        <is>
          <t>休日</t>
        </is>
      </c>
      <c r="CG141" s="395" t="n"/>
      <c r="CH141" s="395" t="n"/>
      <c r="CI141" s="396" t="n"/>
      <c r="CJ141" s="397">
        <f>CJ7+CJ11+CJ15+CJ19+CJ23+CJ27+CJ31+CJ35+CJ39+CJ43+CJ47+CJ51+CJ55+CJ59+CJ63+CJ67+CJ74+CJ78+CJ82+CJ86+CJ90+CJ94+CJ98+CJ102+CJ106+CJ110+CJ114+CJ118+CJ122+CJ126+CJ130+CJ134</f>
        <v/>
      </c>
      <c r="CK141" s="395" t="n"/>
      <c r="CL141" s="395" t="n"/>
      <c r="CM141" s="395" t="n"/>
      <c r="CN141" s="396" t="n"/>
      <c r="CP141" s="254" t="inlineStr">
        <is>
          <t>休日</t>
        </is>
      </c>
      <c r="CQ141" s="395" t="n"/>
      <c r="CR141" s="395" t="n"/>
      <c r="CS141" s="396" t="n"/>
      <c r="CT141" s="397">
        <f>CT7+CT11+CT15+CT19+CT23+CT27+CT31+CT35+CT39+CT43+CT47+CT51+CT55+CT59+CT63+CT67+CT74+CT78+CT82+CT86+CT90+CT94+CT98+CT102+CT106+CT110+CT114+CT118+CT122+CT126+CT130+CT134</f>
        <v/>
      </c>
      <c r="CU141" s="395" t="n"/>
      <c r="CV141" s="395" t="n"/>
      <c r="CW141" s="395" t="n"/>
      <c r="CX141" s="396" t="n"/>
      <c r="CZ141" s="254" t="inlineStr">
        <is>
          <t>休日</t>
        </is>
      </c>
      <c r="DA141" s="395" t="n"/>
      <c r="DB141" s="395" t="n"/>
      <c r="DC141" s="396" t="n"/>
      <c r="DD141" s="397">
        <f>DD7+DD11+DD15+DD19+DD23+DD27+DD31+DD35+DD39+DD43+DD47+DD51+DD55+DD59+DD63+DD67+DD74+DD78+DD82+DD86+DD90+DD94+DD98+DD102+DD106+DD110+DD114+DD118+DD122+DD126+DD130+DD134</f>
        <v/>
      </c>
      <c r="DE141" s="395" t="n"/>
      <c r="DF141" s="395" t="n"/>
      <c r="DG141" s="395" t="n"/>
      <c r="DH141" s="396" t="n"/>
      <c r="DJ141" s="254" t="inlineStr">
        <is>
          <t>休日</t>
        </is>
      </c>
      <c r="DK141" s="395" t="n"/>
      <c r="DL141" s="395" t="n"/>
      <c r="DM141" s="396" t="n"/>
      <c r="DN141" s="397">
        <f>DN7+DN11+DN15+DN19+DN23+DN27+DN31+DN35+DN39+DN43+DN47+DN51+DN55+DN59+DN63+DN67+DN74+DN78+DN82+DN86+DN90+DN94+DN98+DN102+DN106+DN110+DN114+DN118+DN122+DN126+DN130+DN134</f>
        <v/>
      </c>
      <c r="DO141" s="395" t="n"/>
      <c r="DP141" s="395" t="n"/>
      <c r="DQ141" s="395" t="n"/>
      <c r="DR141" s="396" t="n"/>
      <c r="DT141" s="254" t="inlineStr">
        <is>
          <t>休日</t>
        </is>
      </c>
      <c r="DU141" s="395" t="n"/>
      <c r="DV141" s="395" t="n"/>
      <c r="DW141" s="396" t="n"/>
      <c r="DX141" s="397">
        <f>DX7+DX11+DX15+DX19+DX23+DX27+DX31+DX35+DX39+DX43+DX47+DX51+DX55+DX59+DX63+DX67+DX74+DX78+DX82+DX86+DX90+DX94+DX98+DX102+DX106+DX110+DX114+DX118+DX122+DX126+DX130+DX134</f>
        <v/>
      </c>
      <c r="DY141" s="395" t="n"/>
      <c r="DZ141" s="395" t="n"/>
      <c r="EA141" s="395" t="n"/>
      <c r="EB141" s="396" t="n"/>
    </row>
    <row r="142" ht="12" customHeight="1" s="337"/>
    <row r="143" ht="12" customHeight="1" s="337"/>
    <row r="144" ht="12" customHeight="1" s="337"/>
    <row r="145" ht="12" customHeight="1" s="337"/>
  </sheetData>
  <mergeCells count="1880">
    <mergeCell ref="DJ78:DM78"/>
    <mergeCell ref="CJ47:CN47"/>
    <mergeCell ref="DD95:DH95"/>
    <mergeCell ref="CT96:CX96"/>
    <mergeCell ref="DD87:DH87"/>
    <mergeCell ref="CF91:CI91"/>
    <mergeCell ref="CP88:CS88"/>
    <mergeCell ref="CT37:CX37"/>
    <mergeCell ref="CP82:CS82"/>
    <mergeCell ref="I57:I58"/>
    <mergeCell ref="DD97:DH97"/>
    <mergeCell ref="DN119:DR119"/>
    <mergeCell ref="CT98:CX98"/>
    <mergeCell ref="DD89:DH89"/>
    <mergeCell ref="CZ114:DC114"/>
    <mergeCell ref="CF93:CI93"/>
    <mergeCell ref="H75:J75"/>
    <mergeCell ref="DX109:EB109"/>
    <mergeCell ref="H111:J111"/>
    <mergeCell ref="CJ63:CN63"/>
    <mergeCell ref="DJ104:DM104"/>
    <mergeCell ref="CP83:CS83"/>
    <mergeCell ref="F13:F14"/>
    <mergeCell ref="DN114:DR114"/>
    <mergeCell ref="B52:D55"/>
    <mergeCell ref="DD113:DH113"/>
    <mergeCell ref="DJ106:DM106"/>
    <mergeCell ref="CP85:CS85"/>
    <mergeCell ref="T127:V130"/>
    <mergeCell ref="CF109:CI109"/>
    <mergeCell ref="CT124:CX124"/>
    <mergeCell ref="DD115:DH115"/>
    <mergeCell ref="W8:CC11"/>
    <mergeCell ref="N32:P32"/>
    <mergeCell ref="CP141:CS141"/>
    <mergeCell ref="CF75:CI75"/>
    <mergeCell ref="CT126:CX126"/>
    <mergeCell ref="DD108:DH108"/>
    <mergeCell ref="DN130:DR130"/>
    <mergeCell ref="CP12:CS12"/>
    <mergeCell ref="CZ125:DC125"/>
    <mergeCell ref="DD141:DH141"/>
    <mergeCell ref="K44:M44"/>
    <mergeCell ref="DN132:DR132"/>
    <mergeCell ref="CP14:CS14"/>
    <mergeCell ref="CZ133:DC133"/>
    <mergeCell ref="CZ127:DC127"/>
    <mergeCell ref="DJ28:DM28"/>
    <mergeCell ref="CP7:CS7"/>
    <mergeCell ref="H7:J7"/>
    <mergeCell ref="DT25:DW25"/>
    <mergeCell ref="T28:V31"/>
    <mergeCell ref="CZ39:DC39"/>
    <mergeCell ref="CJ117:CN117"/>
    <mergeCell ref="DJ30:DM30"/>
    <mergeCell ref="CT108:CX108"/>
    <mergeCell ref="CZ128:DC128"/>
    <mergeCell ref="Q12:S15"/>
    <mergeCell ref="DD38:DH38"/>
    <mergeCell ref="CT139:CX139"/>
    <mergeCell ref="E24:G24"/>
    <mergeCell ref="DD40:DH40"/>
    <mergeCell ref="N47:P47"/>
    <mergeCell ref="F88:F89"/>
    <mergeCell ref="CP35:CS35"/>
    <mergeCell ref="CZ57:DC57"/>
    <mergeCell ref="CF36:CI36"/>
    <mergeCell ref="CT51:CX51"/>
    <mergeCell ref="DT105:DW105"/>
    <mergeCell ref="I124:I125"/>
    <mergeCell ref="BZ138:CC138"/>
    <mergeCell ref="DT107:DW107"/>
    <mergeCell ref="E19:G19"/>
    <mergeCell ref="Q40:S43"/>
    <mergeCell ref="DJ69:DR70"/>
    <mergeCell ref="DT73:DW73"/>
    <mergeCell ref="CJ130:CN130"/>
    <mergeCell ref="CJ132:CN132"/>
    <mergeCell ref="CF35:CI35"/>
    <mergeCell ref="CF62:CI62"/>
    <mergeCell ref="CT33:CX33"/>
    <mergeCell ref="CF64:CI64"/>
    <mergeCell ref="H71:J71"/>
    <mergeCell ref="CT35:CX35"/>
    <mergeCell ref="H107:J107"/>
    <mergeCell ref="CF69:CN70"/>
    <mergeCell ref="CF30:CI30"/>
    <mergeCell ref="DJ100:DM100"/>
    <mergeCell ref="CP79:CS79"/>
    <mergeCell ref="K118:M118"/>
    <mergeCell ref="DN85:DR85"/>
    <mergeCell ref="CT64:CX64"/>
    <mergeCell ref="CZ80:DC80"/>
    <mergeCell ref="DJ102:DM102"/>
    <mergeCell ref="CP81:CS81"/>
    <mergeCell ref="DJ129:DM129"/>
    <mergeCell ref="H102:J102"/>
    <mergeCell ref="T123:V126"/>
    <mergeCell ref="DT120:DW120"/>
    <mergeCell ref="DJ131:DM131"/>
    <mergeCell ref="CJ62:CN62"/>
    <mergeCell ref="K134:M134"/>
    <mergeCell ref="CJ56:CN56"/>
    <mergeCell ref="CP105:CS105"/>
    <mergeCell ref="DD112:DH112"/>
    <mergeCell ref="W95:CC98"/>
    <mergeCell ref="E90:G90"/>
    <mergeCell ref="DD106:DH106"/>
    <mergeCell ref="CP107:CS107"/>
    <mergeCell ref="CP99:CS99"/>
    <mergeCell ref="E119:G119"/>
    <mergeCell ref="DJ113:DM113"/>
    <mergeCell ref="E91:G91"/>
    <mergeCell ref="CJ82:CN82"/>
    <mergeCell ref="CJ118:CN118"/>
    <mergeCell ref="CZ124:DC124"/>
    <mergeCell ref="DJ115:DM115"/>
    <mergeCell ref="CZ126:DC126"/>
    <mergeCell ref="N16:P16"/>
    <mergeCell ref="CP125:CS125"/>
    <mergeCell ref="CJ119:CN119"/>
    <mergeCell ref="N51:P51"/>
    <mergeCell ref="N43:P43"/>
    <mergeCell ref="F84:F85"/>
    <mergeCell ref="DD125:DH125"/>
    <mergeCell ref="DX6:EB6"/>
    <mergeCell ref="CF129:CI129"/>
    <mergeCell ref="CP120:CS120"/>
    <mergeCell ref="W20:CC23"/>
    <mergeCell ref="CF131:CI131"/>
    <mergeCell ref="E15:G15"/>
    <mergeCell ref="Q36:S39"/>
    <mergeCell ref="N67:P67"/>
    <mergeCell ref="CZ23:DC23"/>
    <mergeCell ref="Q127:S130"/>
    <mergeCell ref="DN27:DR27"/>
    <mergeCell ref="L96:L97"/>
    <mergeCell ref="CF60:CI60"/>
    <mergeCell ref="DX17:EB17"/>
    <mergeCell ref="H78:J78"/>
    <mergeCell ref="DT34:DW34"/>
    <mergeCell ref="CP50:CS50"/>
    <mergeCell ref="W48:CC51"/>
    <mergeCell ref="DN22:DR22"/>
    <mergeCell ref="H44:J44"/>
    <mergeCell ref="W4:CC7"/>
    <mergeCell ref="DX19:EB19"/>
    <mergeCell ref="E35:G35"/>
    <mergeCell ref="I108:I109"/>
    <mergeCell ref="O5:O6"/>
    <mergeCell ref="E28:G28"/>
    <mergeCell ref="CJ25:CN25"/>
    <mergeCell ref="DD23:DH23"/>
    <mergeCell ref="F5:F6"/>
    <mergeCell ref="E59:G59"/>
    <mergeCell ref="N82:P82"/>
    <mergeCell ref="O29:O30"/>
    <mergeCell ref="CF71:CI71"/>
    <mergeCell ref="O65:O66"/>
    <mergeCell ref="CP103:CS103"/>
    <mergeCell ref="Q52:S55"/>
    <mergeCell ref="DX72:EB72"/>
    <mergeCell ref="CZ94:DC94"/>
    <mergeCell ref="CF73:CI73"/>
    <mergeCell ref="H126:J126"/>
    <mergeCell ref="E56:G56"/>
    <mergeCell ref="CT16:CX16"/>
    <mergeCell ref="CJ27:CN27"/>
    <mergeCell ref="CT18:CX18"/>
    <mergeCell ref="CT104:CX104"/>
    <mergeCell ref="N12:P12"/>
    <mergeCell ref="W119:CC122"/>
    <mergeCell ref="O49:O50"/>
    <mergeCell ref="CT106:CX106"/>
    <mergeCell ref="CF101:CI101"/>
    <mergeCell ref="DX83:EB83"/>
    <mergeCell ref="CP116:CS116"/>
    <mergeCell ref="F21:F22"/>
    <mergeCell ref="B32:D35"/>
    <mergeCell ref="CT101:CX101"/>
    <mergeCell ref="DX84:EB84"/>
    <mergeCell ref="CP118:CS118"/>
    <mergeCell ref="E102:G102"/>
    <mergeCell ref="CJ99:CN99"/>
    <mergeCell ref="K24:M24"/>
    <mergeCell ref="CJ128:CN128"/>
    <mergeCell ref="E127:G127"/>
    <mergeCell ref="L61:L62"/>
    <mergeCell ref="DX13:EB13"/>
    <mergeCell ref="E4:G4"/>
    <mergeCell ref="DJ8:DM8"/>
    <mergeCell ref="T8:V11"/>
    <mergeCell ref="K51:M51"/>
    <mergeCell ref="DX15:EB15"/>
    <mergeCell ref="W127:CC130"/>
    <mergeCell ref="DJ10:DM10"/>
    <mergeCell ref="DN138:DR138"/>
    <mergeCell ref="DN9:DR9"/>
    <mergeCell ref="N78:P78"/>
    <mergeCell ref="DX41:EB41"/>
    <mergeCell ref="DD20:DH20"/>
    <mergeCell ref="DN11:DR11"/>
    <mergeCell ref="DX43:EB43"/>
    <mergeCell ref="DD22:DH22"/>
    <mergeCell ref="N79:P79"/>
    <mergeCell ref="DJ21:DM21"/>
    <mergeCell ref="E52:G52"/>
    <mergeCell ref="CZ32:DC32"/>
    <mergeCell ref="CF13:CI13"/>
    <mergeCell ref="F116:F117"/>
    <mergeCell ref="CT14:CX14"/>
    <mergeCell ref="T16:V19"/>
    <mergeCell ref="CT13:CX13"/>
    <mergeCell ref="DD4:DH4"/>
    <mergeCell ref="DN64:DR64"/>
    <mergeCell ref="CT43:CX43"/>
    <mergeCell ref="CT15:CX15"/>
    <mergeCell ref="DX54:EB54"/>
    <mergeCell ref="DD33:DH33"/>
    <mergeCell ref="K98:M98"/>
    <mergeCell ref="BZ140:CC140"/>
    <mergeCell ref="DT71:DW71"/>
    <mergeCell ref="DN65:DR65"/>
    <mergeCell ref="DX81:EB81"/>
    <mergeCell ref="DX56:EB56"/>
    <mergeCell ref="O76:O77"/>
    <mergeCell ref="T103:V106"/>
    <mergeCell ref="CJ51:CN51"/>
    <mergeCell ref="DT100:DW100"/>
    <mergeCell ref="DT66:DW66"/>
    <mergeCell ref="G137:J137"/>
    <mergeCell ref="DJ77:DM77"/>
    <mergeCell ref="CF28:CI28"/>
    <mergeCell ref="DX107:EB107"/>
    <mergeCell ref="DD86:DH86"/>
    <mergeCell ref="CF108:CI108"/>
    <mergeCell ref="K20:M20"/>
    <mergeCell ref="Q123:S126"/>
    <mergeCell ref="L57:L58"/>
    <mergeCell ref="CZ103:DC103"/>
    <mergeCell ref="K111:M111"/>
    <mergeCell ref="DN78:DR78"/>
    <mergeCell ref="W123:CC126"/>
    <mergeCell ref="DJ6:DM6"/>
    <mergeCell ref="B16:D19"/>
    <mergeCell ref="DX110:EB110"/>
    <mergeCell ref="CJ64:CN64"/>
    <mergeCell ref="K4:M4"/>
    <mergeCell ref="F61:F62"/>
    <mergeCell ref="CZ131:DC131"/>
    <mergeCell ref="CF110:CI110"/>
    <mergeCell ref="DN7:DR7"/>
    <mergeCell ref="DN129:DR129"/>
    <mergeCell ref="DD105:DH105"/>
    <mergeCell ref="DX120:EB120"/>
    <mergeCell ref="DT23:DW23"/>
    <mergeCell ref="T69:V70"/>
    <mergeCell ref="DX39:EB39"/>
    <mergeCell ref="DN131:DR131"/>
    <mergeCell ref="DJ17:DM17"/>
    <mergeCell ref="K35:M35"/>
    <mergeCell ref="DX121:EB121"/>
    <mergeCell ref="DT18:DW18"/>
    <mergeCell ref="CJ75:CN75"/>
    <mergeCell ref="CT141:CX141"/>
    <mergeCell ref="DJ19:DM19"/>
    <mergeCell ref="DX123:EB123"/>
    <mergeCell ref="DT26:DW26"/>
    <mergeCell ref="B64:D67"/>
    <mergeCell ref="DT9:DW9"/>
    <mergeCell ref="K59:M59"/>
    <mergeCell ref="CP29:CS29"/>
    <mergeCell ref="DN35:DR35"/>
    <mergeCell ref="DJ20:DM20"/>
    <mergeCell ref="L104:L105"/>
    <mergeCell ref="DN28:DR28"/>
    <mergeCell ref="DX50:EB50"/>
    <mergeCell ref="DD29:DH29"/>
    <mergeCell ref="DJ45:DM45"/>
    <mergeCell ref="H24:J24"/>
    <mergeCell ref="CP24:CS24"/>
    <mergeCell ref="DD39:DH39"/>
    <mergeCell ref="CZ21:DC21"/>
    <mergeCell ref="DN30:DR30"/>
    <mergeCell ref="DX52:EB52"/>
    <mergeCell ref="DD31:DH31"/>
    <mergeCell ref="I88:I89"/>
    <mergeCell ref="DJ53:DM53"/>
    <mergeCell ref="DJ47:DM47"/>
    <mergeCell ref="CP26:CS26"/>
    <mergeCell ref="L124:L125"/>
    <mergeCell ref="DT96:DW96"/>
    <mergeCell ref="DJ46:DM46"/>
    <mergeCell ref="T40:V43"/>
    <mergeCell ref="DT62:DW62"/>
    <mergeCell ref="DT37:DW37"/>
    <mergeCell ref="CZ16:DC16"/>
    <mergeCell ref="H55:J55"/>
    <mergeCell ref="DT98:DW98"/>
    <mergeCell ref="CJ7:CN7"/>
    <mergeCell ref="DJ48:DM48"/>
    <mergeCell ref="N69:P70"/>
    <mergeCell ref="B83:D86"/>
    <mergeCell ref="N115:P115"/>
    <mergeCell ref="CF24:CI24"/>
    <mergeCell ref="DJ63:DM63"/>
    <mergeCell ref="CP42:CS42"/>
    <mergeCell ref="DD57:DH57"/>
    <mergeCell ref="W40:CC43"/>
    <mergeCell ref="CF17:CI17"/>
    <mergeCell ref="Q32:S35"/>
    <mergeCell ref="CZ74:DC74"/>
    <mergeCell ref="CF53:CI53"/>
    <mergeCell ref="CT24:CX24"/>
    <mergeCell ref="DX63:EB63"/>
    <mergeCell ref="CF19:CI19"/>
    <mergeCell ref="CZ67:DC67"/>
    <mergeCell ref="DT88:DW88"/>
    <mergeCell ref="K107:M107"/>
    <mergeCell ref="DT124:DW124"/>
    <mergeCell ref="DN74:DR74"/>
    <mergeCell ref="B12:D15"/>
    <mergeCell ref="DT117:DW117"/>
    <mergeCell ref="CF50:CI50"/>
    <mergeCell ref="T87:V90"/>
    <mergeCell ref="CJ60:CN60"/>
    <mergeCell ref="DN76:DR76"/>
    <mergeCell ref="CT84:CX84"/>
    <mergeCell ref="I13:I14"/>
    <mergeCell ref="DT119:DW119"/>
    <mergeCell ref="CF79:CI79"/>
    <mergeCell ref="CT50:CX50"/>
    <mergeCell ref="DN101:DR101"/>
    <mergeCell ref="CT80:CX80"/>
    <mergeCell ref="N134:P134"/>
    <mergeCell ref="CF81:CI81"/>
    <mergeCell ref="CT52:CX52"/>
    <mergeCell ref="CP97:CS97"/>
    <mergeCell ref="CT79:CX79"/>
    <mergeCell ref="DN100:DR100"/>
    <mergeCell ref="DJ117:DM117"/>
    <mergeCell ref="CP96:CS96"/>
    <mergeCell ref="DT108:DW108"/>
    <mergeCell ref="CZ87:DC87"/>
    <mergeCell ref="DN102:DR102"/>
    <mergeCell ref="CT81:CX81"/>
    <mergeCell ref="DD103:DH103"/>
    <mergeCell ref="CP98:CS98"/>
    <mergeCell ref="H119:J119"/>
    <mergeCell ref="CF63:CI63"/>
    <mergeCell ref="DX119:EB119"/>
    <mergeCell ref="DT139:DW139"/>
    <mergeCell ref="CJ79:CN79"/>
    <mergeCell ref="CJ73:CN73"/>
    <mergeCell ref="DT2:EB3"/>
    <mergeCell ref="CZ113:DC113"/>
    <mergeCell ref="CF92:CI92"/>
    <mergeCell ref="DT51:DW51"/>
    <mergeCell ref="CT63:CX63"/>
    <mergeCell ref="DD129:DH129"/>
    <mergeCell ref="DD123:DH123"/>
    <mergeCell ref="DN120:DR120"/>
    <mergeCell ref="CF5:CI5"/>
    <mergeCell ref="CT99:CX99"/>
    <mergeCell ref="L100:L101"/>
    <mergeCell ref="CJ74:CN74"/>
    <mergeCell ref="CZ115:DC115"/>
    <mergeCell ref="DD131:DH131"/>
    <mergeCell ref="DN113:DR113"/>
    <mergeCell ref="CZ17:DC17"/>
    <mergeCell ref="DN26:DR26"/>
    <mergeCell ref="DJ130:DM130"/>
    <mergeCell ref="I84:I85"/>
    <mergeCell ref="DD124:DH124"/>
    <mergeCell ref="CF6:CI6"/>
    <mergeCell ref="DN140:DR140"/>
    <mergeCell ref="DN115:DR115"/>
    <mergeCell ref="CP22:CS22"/>
    <mergeCell ref="CZ19:DC19"/>
    <mergeCell ref="CZ141:DC141"/>
    <mergeCell ref="DJ132:DM132"/>
    <mergeCell ref="CP2:CX3"/>
    <mergeCell ref="DD126:DH126"/>
    <mergeCell ref="K60:M60"/>
    <mergeCell ref="CJ107:CN107"/>
    <mergeCell ref="CJ101:CN101"/>
    <mergeCell ref="DT33:DW33"/>
    <mergeCell ref="CZ12:DC12"/>
    <mergeCell ref="H51:J51"/>
    <mergeCell ref="DX18:EB18"/>
    <mergeCell ref="DT35:DW35"/>
    <mergeCell ref="CZ14:DC14"/>
    <mergeCell ref="B79:D82"/>
    <mergeCell ref="CJ92:CN92"/>
    <mergeCell ref="DD53:DH53"/>
    <mergeCell ref="W36:CC39"/>
    <mergeCell ref="CP48:CS48"/>
    <mergeCell ref="DT64:DW64"/>
    <mergeCell ref="DD55:DH55"/>
    <mergeCell ref="I112:I113"/>
    <mergeCell ref="CF2:CN3"/>
    <mergeCell ref="CZ38:DC38"/>
    <mergeCell ref="E32:G32"/>
    <mergeCell ref="CP33:CS33"/>
    <mergeCell ref="F96:F97"/>
    <mergeCell ref="CZ65:DC65"/>
    <mergeCell ref="CZ40:DC40"/>
    <mergeCell ref="DJ62:DM62"/>
    <mergeCell ref="DJ56:DM56"/>
    <mergeCell ref="H35:J35"/>
    <mergeCell ref="L108:L109"/>
    <mergeCell ref="T83:V86"/>
    <mergeCell ref="N86:P86"/>
    <mergeCell ref="CP51:CS51"/>
    <mergeCell ref="B107:D110"/>
    <mergeCell ref="CJ120:CN120"/>
    <mergeCell ref="CP66:CS66"/>
    <mergeCell ref="CF77:CI77"/>
    <mergeCell ref="H59:J59"/>
    <mergeCell ref="DX87:EB87"/>
    <mergeCell ref="DD66:DH66"/>
    <mergeCell ref="K131:M131"/>
    <mergeCell ref="CP67:CS67"/>
    <mergeCell ref="DJ82:DM82"/>
    <mergeCell ref="CP61:CS61"/>
    <mergeCell ref="DN98:DR98"/>
    <mergeCell ref="CT77:CX77"/>
    <mergeCell ref="DX89:EB89"/>
    <mergeCell ref="CZ93:DC93"/>
    <mergeCell ref="CF72:CI72"/>
    <mergeCell ref="H90:J90"/>
    <mergeCell ref="DX88:EB88"/>
    <mergeCell ref="T111:V114"/>
    <mergeCell ref="CJ42:CN42"/>
    <mergeCell ref="CZ84:DC84"/>
    <mergeCell ref="DJ119:DM119"/>
    <mergeCell ref="CF59:CI59"/>
    <mergeCell ref="CJ44:CN44"/>
    <mergeCell ref="DJ85:DM85"/>
    <mergeCell ref="CP64:CS64"/>
    <mergeCell ref="CZ109:DC109"/>
    <mergeCell ref="CF88:CI88"/>
    <mergeCell ref="Q103:S106"/>
    <mergeCell ref="DD94:DH94"/>
    <mergeCell ref="CF54:CI54"/>
    <mergeCell ref="CZ111:DC111"/>
    <mergeCell ref="CF90:CI90"/>
    <mergeCell ref="CT61:CX61"/>
    <mergeCell ref="DN109:DR109"/>
    <mergeCell ref="CP122:CS122"/>
    <mergeCell ref="CJ72:CN72"/>
    <mergeCell ref="I49:I50"/>
    <mergeCell ref="DN111:DR111"/>
    <mergeCell ref="CT90:CX90"/>
    <mergeCell ref="CZ112:DC112"/>
    <mergeCell ref="CZ106:DC106"/>
    <mergeCell ref="CF85:CI85"/>
    <mergeCell ref="DD122:DH122"/>
    <mergeCell ref="CT121:CX121"/>
    <mergeCell ref="CF116:CI116"/>
    <mergeCell ref="CT87:CX87"/>
    <mergeCell ref="Q87:S90"/>
    <mergeCell ref="CJ126:CN126"/>
    <mergeCell ref="CT123:CX123"/>
    <mergeCell ref="CF118:CI118"/>
    <mergeCell ref="N31:P31"/>
    <mergeCell ref="CT116:CX116"/>
    <mergeCell ref="N24:P24"/>
    <mergeCell ref="CP133:CS133"/>
    <mergeCell ref="W131:CC134"/>
    <mergeCell ref="O61:O62"/>
    <mergeCell ref="CT118:CX118"/>
    <mergeCell ref="DD140:DH140"/>
    <mergeCell ref="DJ25:DM25"/>
    <mergeCell ref="CZ36:DC36"/>
    <mergeCell ref="CJ116:CN116"/>
    <mergeCell ref="CT134:CX134"/>
    <mergeCell ref="T56:V59"/>
    <mergeCell ref="CJ139:CN139"/>
    <mergeCell ref="CJ111:CN111"/>
    <mergeCell ref="N44:P44"/>
    <mergeCell ref="DT16:DW16"/>
    <mergeCell ref="DX32:EB32"/>
    <mergeCell ref="CT48:CX48"/>
    <mergeCell ref="DJ27:DM27"/>
    <mergeCell ref="CF43:CI43"/>
    <mergeCell ref="CP65:CS65"/>
    <mergeCell ref="H86:J86"/>
    <mergeCell ref="T107:V110"/>
    <mergeCell ref="CZ69:DH70"/>
    <mergeCell ref="DT104:DW104"/>
    <mergeCell ref="E16:G16"/>
    <mergeCell ref="DX27:EB27"/>
    <mergeCell ref="CZ49:DC49"/>
    <mergeCell ref="DT106:DW106"/>
    <mergeCell ref="N95:P95"/>
    <mergeCell ref="CP60:CS60"/>
    <mergeCell ref="DT99:DW99"/>
    <mergeCell ref="DX58:EB58"/>
    <mergeCell ref="O9:O10"/>
    <mergeCell ref="CF25:CI25"/>
    <mergeCell ref="DT101:DW101"/>
    <mergeCell ref="CJ41:CN41"/>
    <mergeCell ref="CF61:CI61"/>
    <mergeCell ref="K69:M70"/>
    <mergeCell ref="N98:P98"/>
    <mergeCell ref="CF56:CI56"/>
    <mergeCell ref="DJ99:DM99"/>
    <mergeCell ref="CP78:CS78"/>
    <mergeCell ref="H99:J99"/>
    <mergeCell ref="N123:P123"/>
    <mergeCell ref="CF112:CI112"/>
    <mergeCell ref="DD21:DH21"/>
    <mergeCell ref="Q83:S86"/>
    <mergeCell ref="CT32:CX32"/>
    <mergeCell ref="CF114:CI114"/>
    <mergeCell ref="CT112:CX112"/>
    <mergeCell ref="L21:L22"/>
    <mergeCell ref="CF107:CI107"/>
    <mergeCell ref="N20:P20"/>
    <mergeCell ref="CP104:CS104"/>
    <mergeCell ref="O57:O58"/>
    <mergeCell ref="CT114:CX114"/>
    <mergeCell ref="CP106:CS106"/>
    <mergeCell ref="H127:J127"/>
    <mergeCell ref="W87:CC90"/>
    <mergeCell ref="E82:G82"/>
    <mergeCell ref="Q2:S3"/>
    <mergeCell ref="CF100:CI100"/>
    <mergeCell ref="CZ121:DC121"/>
    <mergeCell ref="F65:F66"/>
    <mergeCell ref="CP101:CS101"/>
    <mergeCell ref="CF125:CI125"/>
    <mergeCell ref="CF127:CI127"/>
    <mergeCell ref="K39:M39"/>
    <mergeCell ref="N40:P40"/>
    <mergeCell ref="DN6:DR6"/>
    <mergeCell ref="L76:L77"/>
    <mergeCell ref="CT127:CX127"/>
    <mergeCell ref="CP30:CS30"/>
    <mergeCell ref="CF128:CI128"/>
    <mergeCell ref="E12:G12"/>
    <mergeCell ref="N35:P35"/>
    <mergeCell ref="DT13:DW13"/>
    <mergeCell ref="F49:F50"/>
    <mergeCell ref="CZ134:DC134"/>
    <mergeCell ref="DT15:DW15"/>
    <mergeCell ref="W44:CC47"/>
    <mergeCell ref="F80:F81"/>
    <mergeCell ref="O132:O133"/>
    <mergeCell ref="DN17:DR17"/>
    <mergeCell ref="DX139:EB139"/>
    <mergeCell ref="K52:M52"/>
    <mergeCell ref="DN19:DR19"/>
    <mergeCell ref="DX16:EB16"/>
    <mergeCell ref="F104:F105"/>
    <mergeCell ref="DX51:EB51"/>
    <mergeCell ref="L88:L89"/>
    <mergeCell ref="CF52:CI52"/>
    <mergeCell ref="DX9:EB9"/>
    <mergeCell ref="DX11:EB11"/>
    <mergeCell ref="DD17:DH17"/>
    <mergeCell ref="Q69:S70"/>
    <mergeCell ref="DX67:EB67"/>
    <mergeCell ref="DD46:DH46"/>
    <mergeCell ref="DT136:EB137"/>
    <mergeCell ref="L17:L18"/>
    <mergeCell ref="CP41:CS41"/>
    <mergeCell ref="DD12:DH12"/>
    <mergeCell ref="N122:P122"/>
    <mergeCell ref="DJ64:DM64"/>
    <mergeCell ref="DX62:EB62"/>
    <mergeCell ref="B99:D102"/>
    <mergeCell ref="H123:J123"/>
    <mergeCell ref="N107:P107"/>
    <mergeCell ref="DX64:EB64"/>
    <mergeCell ref="CJ24:CN24"/>
    <mergeCell ref="DN63:DR63"/>
    <mergeCell ref="CJ26:CN26"/>
    <mergeCell ref="DD74:DH74"/>
    <mergeCell ref="CF34:CI34"/>
    <mergeCell ref="L45:L46"/>
    <mergeCell ref="DD76:DH76"/>
    <mergeCell ref="DJ75:DM75"/>
    <mergeCell ref="I29:I30"/>
    <mergeCell ref="Q131:S134"/>
    <mergeCell ref="N4:P4"/>
    <mergeCell ref="DN91:DR91"/>
    <mergeCell ref="W111:CC114"/>
    <mergeCell ref="E106:G106"/>
    <mergeCell ref="DX82:EB82"/>
    <mergeCell ref="H134:J134"/>
    <mergeCell ref="CZ86:DC86"/>
    <mergeCell ref="CF124:CI124"/>
    <mergeCell ref="DN93:DR93"/>
    <mergeCell ref="CP115:CS115"/>
    <mergeCell ref="E107:G107"/>
    <mergeCell ref="CT67:CX67"/>
    <mergeCell ref="CP136:CX137"/>
    <mergeCell ref="B24:D27"/>
    <mergeCell ref="DN117:DR117"/>
    <mergeCell ref="DX108:EB108"/>
    <mergeCell ref="O92:O93"/>
    <mergeCell ref="O128:O129"/>
    <mergeCell ref="Q115:S118"/>
    <mergeCell ref="K23:M23"/>
    <mergeCell ref="DX12:EB12"/>
    <mergeCell ref="F100:F101"/>
    <mergeCell ref="DJ7:DM7"/>
    <mergeCell ref="L84:L85"/>
    <mergeCell ref="DX7:EB7"/>
    <mergeCell ref="DT24:DW24"/>
    <mergeCell ref="H4:J4"/>
    <mergeCell ref="DX38:EB38"/>
    <mergeCell ref="CJ91:CN91"/>
    <mergeCell ref="CT82:CX82"/>
    <mergeCell ref="DN43:DR43"/>
    <mergeCell ref="CT22:CX22"/>
    <mergeCell ref="DD19:DH19"/>
    <mergeCell ref="DJ35:DM35"/>
    <mergeCell ref="CP39:CS39"/>
    <mergeCell ref="K67:M67"/>
    <mergeCell ref="L112:L113"/>
    <mergeCell ref="DN51:DR51"/>
    <mergeCell ref="CZ30:DC30"/>
    <mergeCell ref="DX33:EB33"/>
    <mergeCell ref="DN34:DR34"/>
    <mergeCell ref="CT9:CX9"/>
    <mergeCell ref="DX25:EB25"/>
    <mergeCell ref="H32:J32"/>
    <mergeCell ref="DT50:DW50"/>
    <mergeCell ref="CZ29:DC29"/>
    <mergeCell ref="DX60:EB60"/>
    <mergeCell ref="DX35:EB35"/>
    <mergeCell ref="DD14:DH14"/>
    <mergeCell ref="DT80:DW80"/>
    <mergeCell ref="CJ20:CN20"/>
    <mergeCell ref="DT52:DW52"/>
    <mergeCell ref="CZ31:DC31"/>
    <mergeCell ref="DT79:DW79"/>
    <mergeCell ref="CJ22:CN22"/>
    <mergeCell ref="CT4:CX4"/>
    <mergeCell ref="L41:L42"/>
    <mergeCell ref="DT81:DW81"/>
    <mergeCell ref="CJ15:CN15"/>
    <mergeCell ref="K87:M87"/>
    <mergeCell ref="CT12:CX12"/>
    <mergeCell ref="DD72:DH72"/>
    <mergeCell ref="CF7:CI7"/>
    <mergeCell ref="K95:M95"/>
    <mergeCell ref="T71:V74"/>
    <mergeCell ref="DD65:DH65"/>
    <mergeCell ref="DX86:EB86"/>
    <mergeCell ref="DN62:DR62"/>
    <mergeCell ref="DX122:EB122"/>
    <mergeCell ref="DN56:DR56"/>
    <mergeCell ref="N131:P131"/>
    <mergeCell ref="DJ79:DM79"/>
    <mergeCell ref="DJ73:DM73"/>
    <mergeCell ref="E51:G51"/>
    <mergeCell ref="BZ139:CC139"/>
    <mergeCell ref="CF89:CI89"/>
    <mergeCell ref="CJ48:CN48"/>
    <mergeCell ref="K90:M90"/>
    <mergeCell ref="DT63:DW63"/>
    <mergeCell ref="CT38:CX38"/>
    <mergeCell ref="B20:D23"/>
    <mergeCell ref="CJ33:CN33"/>
    <mergeCell ref="DJ74:DM74"/>
    <mergeCell ref="T95:V98"/>
    <mergeCell ref="DJ110:DM110"/>
    <mergeCell ref="CJ43:CN43"/>
    <mergeCell ref="K115:M115"/>
    <mergeCell ref="CT40:CX40"/>
    <mergeCell ref="DX104:EB104"/>
    <mergeCell ref="DD83:DH83"/>
    <mergeCell ref="DJ76:DM76"/>
    <mergeCell ref="CP84:CS84"/>
    <mergeCell ref="CJ34:CN34"/>
    <mergeCell ref="CZ100:DC100"/>
    <mergeCell ref="DX106:EB106"/>
    <mergeCell ref="DD85:DH85"/>
    <mergeCell ref="K19:M19"/>
    <mergeCell ref="CZ110:DC110"/>
    <mergeCell ref="DJ101:DM101"/>
    <mergeCell ref="CP80:CS80"/>
    <mergeCell ref="DX105:EB105"/>
    <mergeCell ref="DD84:DH84"/>
    <mergeCell ref="DX99:EB99"/>
    <mergeCell ref="CJ59:CN59"/>
    <mergeCell ref="DN75:DR75"/>
    <mergeCell ref="L49:L50"/>
    <mergeCell ref="DJ92:DM92"/>
    <mergeCell ref="DX101:EB101"/>
    <mergeCell ref="DD80:DH80"/>
    <mergeCell ref="B48:D51"/>
    <mergeCell ref="CJ61:CN61"/>
    <mergeCell ref="DD109:DH109"/>
    <mergeCell ref="CF105:CI105"/>
    <mergeCell ref="DD111:DH111"/>
    <mergeCell ref="CT122:CX122"/>
    <mergeCell ref="E118:G118"/>
    <mergeCell ref="CT105:CX105"/>
    <mergeCell ref="CP8:CS8"/>
    <mergeCell ref="DN128:DR128"/>
    <mergeCell ref="CP10:CS10"/>
    <mergeCell ref="CZ129:DC129"/>
    <mergeCell ref="DX29:EB29"/>
    <mergeCell ref="DD8:DH8"/>
    <mergeCell ref="CZ123:DC123"/>
    <mergeCell ref="DX31:EB31"/>
    <mergeCell ref="DD10:DH10"/>
    <mergeCell ref="DJ26:DM26"/>
    <mergeCell ref="CP5:CS5"/>
    <mergeCell ref="CJ105:CN105"/>
    <mergeCell ref="Q8:S11"/>
    <mergeCell ref="CT133:CX133"/>
    <mergeCell ref="DT77:DW77"/>
    <mergeCell ref="F112:F113"/>
    <mergeCell ref="DJ42:DM42"/>
    <mergeCell ref="E20:G20"/>
    <mergeCell ref="CP21:CS21"/>
    <mergeCell ref="DD36:DH36"/>
    <mergeCell ref="DD28:DH28"/>
    <mergeCell ref="CZ53:DC53"/>
    <mergeCell ref="CF32:CI32"/>
    <mergeCell ref="DJ44:DM44"/>
    <mergeCell ref="CP23:CS23"/>
    <mergeCell ref="DN60:DR60"/>
    <mergeCell ref="K86:M86"/>
    <mergeCell ref="CZ55:DC55"/>
    <mergeCell ref="H16:J16"/>
    <mergeCell ref="CT5:CX5"/>
    <mergeCell ref="Q28:S31"/>
    <mergeCell ref="DX44:EB44"/>
    <mergeCell ref="CJ4:CN4"/>
    <mergeCell ref="N59:P59"/>
    <mergeCell ref="T91:V94"/>
    <mergeCell ref="CJ39:CN39"/>
    <mergeCell ref="DN55:DR55"/>
    <mergeCell ref="CT36:CX36"/>
    <mergeCell ref="CT30:CX30"/>
    <mergeCell ref="DD54:DH54"/>
    <mergeCell ref="DJ72:DM72"/>
    <mergeCell ref="CF58:CI58"/>
    <mergeCell ref="DT90:DW90"/>
    <mergeCell ref="CP49:CS49"/>
    <mergeCell ref="CT65:CX65"/>
    <mergeCell ref="DD56:DH56"/>
    <mergeCell ref="H67:J67"/>
    <mergeCell ref="CF16:CI16"/>
    <mergeCell ref="CT31:CX31"/>
    <mergeCell ref="CP76:CS76"/>
    <mergeCell ref="H103:J103"/>
    <mergeCell ref="I9:I10"/>
    <mergeCell ref="DD49:DH49"/>
    <mergeCell ref="DN71:DR71"/>
    <mergeCell ref="DJ96:DM96"/>
    <mergeCell ref="K114:M114"/>
    <mergeCell ref="CF18:CI18"/>
    <mergeCell ref="CZ66:DC66"/>
    <mergeCell ref="DT87:DW87"/>
    <mergeCell ref="DX103:EB103"/>
    <mergeCell ref="DX97:EB97"/>
    <mergeCell ref="CJ57:CN57"/>
    <mergeCell ref="DJ98:DM98"/>
    <mergeCell ref="CP77:CS77"/>
    <mergeCell ref="H98:J98"/>
    <mergeCell ref="K99:M99"/>
    <mergeCell ref="DT116:DW116"/>
    <mergeCell ref="T119:V122"/>
    <mergeCell ref="DD107:DH107"/>
    <mergeCell ref="B4:D7"/>
    <mergeCell ref="DJ83:DM83"/>
    <mergeCell ref="CF42:CI42"/>
    <mergeCell ref="DT118:DW118"/>
    <mergeCell ref="CJ58:CN58"/>
    <mergeCell ref="CF103:CI103"/>
    <mergeCell ref="K130:M130"/>
    <mergeCell ref="CJ52:CN52"/>
    <mergeCell ref="CT49:CX49"/>
    <mergeCell ref="CF44:CI44"/>
    <mergeCell ref="H131:J131"/>
    <mergeCell ref="W91:CC94"/>
    <mergeCell ref="H87:J87"/>
    <mergeCell ref="I37:I38"/>
    <mergeCell ref="DD102:DH102"/>
    <mergeCell ref="O21:O22"/>
    <mergeCell ref="CT78:CX78"/>
    <mergeCell ref="DN99:DR99"/>
    <mergeCell ref="CF98:CI98"/>
    <mergeCell ref="DJ116:DM116"/>
    <mergeCell ref="CP95:CS95"/>
    <mergeCell ref="DD110:DH110"/>
    <mergeCell ref="DT134:DW134"/>
    <mergeCell ref="DJ109:DM109"/>
    <mergeCell ref="K127:M127"/>
    <mergeCell ref="H82:J82"/>
    <mergeCell ref="DJ139:DM139"/>
    <mergeCell ref="DX116:EB116"/>
    <mergeCell ref="N11:P11"/>
    <mergeCell ref="F29:F30"/>
    <mergeCell ref="T2:V3"/>
    <mergeCell ref="CJ114:CN114"/>
    <mergeCell ref="DJ111:DM111"/>
    <mergeCell ref="DJ2:DR3"/>
    <mergeCell ref="I65:I66"/>
    <mergeCell ref="CP90:CS90"/>
    <mergeCell ref="CT129:CX129"/>
    <mergeCell ref="CZ122:DC122"/>
    <mergeCell ref="DT48:DW48"/>
    <mergeCell ref="DD120:DH120"/>
    <mergeCell ref="DJ140:DM140"/>
    <mergeCell ref="CP121:CS121"/>
    <mergeCell ref="DT14:DW14"/>
    <mergeCell ref="CJ71:CN71"/>
    <mergeCell ref="CT131:CX131"/>
    <mergeCell ref="CF126:CI126"/>
    <mergeCell ref="N39:P39"/>
    <mergeCell ref="DD121:DH121"/>
    <mergeCell ref="E99:G99"/>
    <mergeCell ref="L92:L93"/>
    <mergeCell ref="CZ138:DC138"/>
    <mergeCell ref="CZ132:DC132"/>
    <mergeCell ref="H12:J12"/>
    <mergeCell ref="CZ9:DC9"/>
    <mergeCell ref="H48:J48"/>
    <mergeCell ref="CZ140:DC140"/>
    <mergeCell ref="DJ41:DM41"/>
    <mergeCell ref="CT113:CX113"/>
    <mergeCell ref="H43:J43"/>
    <mergeCell ref="T64:V67"/>
    <mergeCell ref="CP45:CS45"/>
    <mergeCell ref="CP134:CS134"/>
    <mergeCell ref="CP47:CS47"/>
    <mergeCell ref="H74:J74"/>
    <mergeCell ref="W28:CC31"/>
    <mergeCell ref="CF139:CI139"/>
    <mergeCell ref="CP46:CS46"/>
    <mergeCell ref="DD134:DH134"/>
    <mergeCell ref="CZ37:DC37"/>
    <mergeCell ref="E31:G31"/>
    <mergeCell ref="DD47:DH47"/>
    <mergeCell ref="I104:I105"/>
    <mergeCell ref="DT32:DW32"/>
    <mergeCell ref="DT112:DW112"/>
    <mergeCell ref="CF38:CI38"/>
    <mergeCell ref="DT114:DW114"/>
    <mergeCell ref="CF40:CI40"/>
    <mergeCell ref="CF67:CI67"/>
    <mergeCell ref="DN36:DR36"/>
    <mergeCell ref="W56:CC59"/>
    <mergeCell ref="O17:O18"/>
    <mergeCell ref="CT76:CX76"/>
    <mergeCell ref="H122:J122"/>
    <mergeCell ref="CP59:CS59"/>
    <mergeCell ref="K123:M123"/>
    <mergeCell ref="E44:G44"/>
    <mergeCell ref="CP86:CS86"/>
    <mergeCell ref="DT125:DW125"/>
    <mergeCell ref="N8:P8"/>
    <mergeCell ref="CP117:CS117"/>
    <mergeCell ref="DT127:DW127"/>
    <mergeCell ref="O45:O46"/>
    <mergeCell ref="CF87:CI87"/>
    <mergeCell ref="CP119:CS119"/>
    <mergeCell ref="DX79:EB79"/>
    <mergeCell ref="DD117:DH117"/>
    <mergeCell ref="W75:CC78"/>
    <mergeCell ref="L29:L30"/>
    <mergeCell ref="CP112:CS112"/>
    <mergeCell ref="CF82:CI82"/>
    <mergeCell ref="DD119:DH119"/>
    <mergeCell ref="F9:F10"/>
    <mergeCell ref="CJ94:CN94"/>
    <mergeCell ref="CP114:CS114"/>
    <mergeCell ref="CF113:CI113"/>
    <mergeCell ref="B69:D70"/>
    <mergeCell ref="CJ129:CN129"/>
    <mergeCell ref="CJ123:CN123"/>
    <mergeCell ref="DJ120:DM120"/>
    <mergeCell ref="E98:G98"/>
    <mergeCell ref="CJ95:CN95"/>
    <mergeCell ref="CJ89:CN89"/>
    <mergeCell ref="CJ97:CN97"/>
    <mergeCell ref="CP130:CS130"/>
    <mergeCell ref="CJ124:CN124"/>
    <mergeCell ref="CT115:CX115"/>
    <mergeCell ref="CF141:CI141"/>
    <mergeCell ref="N23:P23"/>
    <mergeCell ref="CP132:CS132"/>
    <mergeCell ref="DD130:DH130"/>
    <mergeCell ref="I100:I101"/>
    <mergeCell ref="CZ35:DC35"/>
    <mergeCell ref="CJ113:CN113"/>
    <mergeCell ref="CP127:CS127"/>
    <mergeCell ref="N74:P74"/>
    <mergeCell ref="CJ108:CN108"/>
    <mergeCell ref="W52:CC55"/>
    <mergeCell ref="W60:CC63"/>
    <mergeCell ref="I120:I121"/>
    <mergeCell ref="DX24:EB24"/>
    <mergeCell ref="CP57:CS57"/>
    <mergeCell ref="CT10:CX10"/>
    <mergeCell ref="T99:V102"/>
    <mergeCell ref="CT39:CX39"/>
    <mergeCell ref="Q56:S59"/>
    <mergeCell ref="O41:O42"/>
    <mergeCell ref="DD30:DH30"/>
    <mergeCell ref="N87:P87"/>
    <mergeCell ref="W71:CC74"/>
    <mergeCell ref="DT67:DW67"/>
    <mergeCell ref="DX77:EB77"/>
    <mergeCell ref="O72:O73"/>
    <mergeCell ref="F132:F133"/>
    <mergeCell ref="E67:G67"/>
    <mergeCell ref="CJ32:CN32"/>
    <mergeCell ref="CT29:CX29"/>
    <mergeCell ref="CT23:CX23"/>
    <mergeCell ref="K106:M106"/>
    <mergeCell ref="CF104:CI104"/>
    <mergeCell ref="Q119:S122"/>
    <mergeCell ref="DN79:DR79"/>
    <mergeCell ref="Q75:S78"/>
    <mergeCell ref="DN73:DR73"/>
    <mergeCell ref="DX95:EB95"/>
    <mergeCell ref="L53:L54"/>
    <mergeCell ref="CF106:CI106"/>
    <mergeCell ref="N19:P19"/>
    <mergeCell ref="CJ122:CN122"/>
    <mergeCell ref="DX96:EB96"/>
    <mergeCell ref="DJ91:DM91"/>
    <mergeCell ref="DD100:DH100"/>
    <mergeCell ref="F57:F58"/>
    <mergeCell ref="K36:M36"/>
    <mergeCell ref="DN92:DR92"/>
    <mergeCell ref="DN5:DR5"/>
    <mergeCell ref="DX124:EB124"/>
    <mergeCell ref="DX118:EB118"/>
    <mergeCell ref="K31:M31"/>
    <mergeCell ref="DJ15:DM15"/>
    <mergeCell ref="DT12:DW12"/>
    <mergeCell ref="DX22:EB22"/>
    <mergeCell ref="DX134:EB134"/>
    <mergeCell ref="DT7:DW7"/>
    <mergeCell ref="DX46:EB46"/>
    <mergeCell ref="DN16:DR16"/>
    <mergeCell ref="H20:J20"/>
    <mergeCell ref="CP20:CS20"/>
    <mergeCell ref="DT38:DW38"/>
    <mergeCell ref="CZ11:DC11"/>
    <mergeCell ref="DJ33:DM33"/>
    <mergeCell ref="DX48:EB48"/>
    <mergeCell ref="DD27:DH27"/>
    <mergeCell ref="DN18:DR18"/>
    <mergeCell ref="DJ43:DM43"/>
    <mergeCell ref="DJ34:DM34"/>
    <mergeCell ref="CP9:CS9"/>
    <mergeCell ref="K75:M75"/>
    <mergeCell ref="W64:CC67"/>
    <mergeCell ref="DJ136:DR137"/>
    <mergeCell ref="DN42:DR42"/>
    <mergeCell ref="N111:P111"/>
    <mergeCell ref="CF20:CI20"/>
    <mergeCell ref="DJ59:DM59"/>
    <mergeCell ref="CJ5:CN5"/>
    <mergeCell ref="CP38:CS38"/>
    <mergeCell ref="DD9:DH9"/>
    <mergeCell ref="DN44:DR44"/>
    <mergeCell ref="N119:P119"/>
    <mergeCell ref="DD45:DH45"/>
    <mergeCell ref="O25:O26"/>
    <mergeCell ref="CP4:CS4"/>
    <mergeCell ref="CT20:CX20"/>
    <mergeCell ref="CP40:CS40"/>
    <mergeCell ref="DD11:DH11"/>
    <mergeCell ref="DX59:EB59"/>
    <mergeCell ref="CF15:CI15"/>
    <mergeCell ref="K103:M103"/>
    <mergeCell ref="CZ72:DC72"/>
    <mergeCell ref="CF51:CI51"/>
    <mergeCell ref="DJ54:DM54"/>
    <mergeCell ref="L9:L10"/>
    <mergeCell ref="CP92:CS92"/>
    <mergeCell ref="N114:P114"/>
    <mergeCell ref="DX61:EB61"/>
    <mergeCell ref="B8:D11"/>
    <mergeCell ref="DT122:DW122"/>
    <mergeCell ref="DT78:DW78"/>
    <mergeCell ref="H69:J70"/>
    <mergeCell ref="DN72:DR72"/>
    <mergeCell ref="CP94:CS94"/>
    <mergeCell ref="CT46:CX46"/>
    <mergeCell ref="DD37:DH37"/>
    <mergeCell ref="CJ16:CN16"/>
    <mergeCell ref="Q99:S102"/>
    <mergeCell ref="DD98:DH98"/>
    <mergeCell ref="N130:P130"/>
    <mergeCell ref="CF33:CI33"/>
    <mergeCell ref="CJ18:CN18"/>
    <mergeCell ref="DN88:DR88"/>
    <mergeCell ref="L37:L38"/>
    <mergeCell ref="CZ83:DC83"/>
    <mergeCell ref="DX114:EB114"/>
    <mergeCell ref="DD93:DH93"/>
    <mergeCell ref="DN90:DR90"/>
    <mergeCell ref="CZ85:DC85"/>
    <mergeCell ref="DT133:DW133"/>
    <mergeCell ref="I21:I22"/>
    <mergeCell ref="DN83:DR83"/>
    <mergeCell ref="CJ103:CN103"/>
    <mergeCell ref="W2:CC3"/>
    <mergeCell ref="CT66:CX66"/>
    <mergeCell ref="L65:L66"/>
    <mergeCell ref="CJ77:CN77"/>
    <mergeCell ref="CT59:CX59"/>
    <mergeCell ref="CJ98:CN98"/>
    <mergeCell ref="DN141:DR141"/>
    <mergeCell ref="DN116:DR116"/>
    <mergeCell ref="CT95:CX95"/>
    <mergeCell ref="DT39:DW39"/>
    <mergeCell ref="CT89:CX89"/>
    <mergeCell ref="DX132:EB132"/>
    <mergeCell ref="DT5:DW5"/>
    <mergeCell ref="K55:M55"/>
    <mergeCell ref="N56:P56"/>
    <mergeCell ref="CT97:CX97"/>
    <mergeCell ref="CZ13:DC13"/>
    <mergeCell ref="DJ4:DM4"/>
    <mergeCell ref="O120:O121"/>
    <mergeCell ref="DJ39:DM39"/>
    <mergeCell ref="DX133:EB133"/>
    <mergeCell ref="DX127:EB127"/>
    <mergeCell ref="CZ15:DC15"/>
    <mergeCell ref="DT30:DW30"/>
    <mergeCell ref="K40:M40"/>
    <mergeCell ref="CJ87:CN87"/>
    <mergeCell ref="DN13:DR13"/>
    <mergeCell ref="DJ128:DM128"/>
    <mergeCell ref="DX4:EB4"/>
    <mergeCell ref="DT29:DW29"/>
    <mergeCell ref="CZ8:DC8"/>
    <mergeCell ref="DT65:DW65"/>
    <mergeCell ref="K71:M71"/>
    <mergeCell ref="DN38:DR38"/>
    <mergeCell ref="DT31:DW31"/>
    <mergeCell ref="CZ10:DC10"/>
    <mergeCell ref="DT58:DW58"/>
    <mergeCell ref="CJ88:CN88"/>
    <mergeCell ref="CZ25:DC25"/>
    <mergeCell ref="DN40:DR40"/>
    <mergeCell ref="CJ90:CN90"/>
    <mergeCell ref="DT60:DW60"/>
    <mergeCell ref="DD138:DH138"/>
    <mergeCell ref="DD132:DH132"/>
    <mergeCell ref="DJ57:DM57"/>
    <mergeCell ref="CP36:CS36"/>
    <mergeCell ref="DD51:DH51"/>
    <mergeCell ref="K74:M74"/>
    <mergeCell ref="CF22:CI22"/>
    <mergeCell ref="DN41:DR41"/>
    <mergeCell ref="N110:P110"/>
    <mergeCell ref="E2:G3"/>
    <mergeCell ref="DJ58:DM58"/>
    <mergeCell ref="DJ52:DM52"/>
    <mergeCell ref="CP31:CS31"/>
    <mergeCell ref="H31:J31"/>
    <mergeCell ref="DT49:DW49"/>
    <mergeCell ref="CZ28:DC28"/>
    <mergeCell ref="T79:V82"/>
    <mergeCell ref="B87:D90"/>
    <mergeCell ref="DD67:DH67"/>
    <mergeCell ref="DJ60:DM60"/>
    <mergeCell ref="DT42:DW42"/>
    <mergeCell ref="H60:J60"/>
    <mergeCell ref="B95:D98"/>
    <mergeCell ref="CJ12:CN12"/>
    <mergeCell ref="DT44:DW44"/>
    <mergeCell ref="CF29:CI29"/>
    <mergeCell ref="CF4:CI4"/>
    <mergeCell ref="CJ14:CN14"/>
    <mergeCell ref="DD62:DH62"/>
    <mergeCell ref="DJ55:DM55"/>
    <mergeCell ref="DN59:DR59"/>
    <mergeCell ref="L33:L34"/>
    <mergeCell ref="CZ79:DC79"/>
    <mergeCell ref="CZ54:DC54"/>
    <mergeCell ref="DX85:EB85"/>
    <mergeCell ref="DD64:DH64"/>
    <mergeCell ref="DJ80:DM80"/>
    <mergeCell ref="CZ81:DC81"/>
    <mergeCell ref="CZ56:DC56"/>
    <mergeCell ref="DT129:DW129"/>
    <mergeCell ref="B115:D118"/>
    <mergeCell ref="CJ38:CN38"/>
    <mergeCell ref="DN54:DR54"/>
    <mergeCell ref="DJ71:DM71"/>
    <mergeCell ref="DT131:DW131"/>
    <mergeCell ref="E43:G43"/>
    <mergeCell ref="Q64:S67"/>
    <mergeCell ref="DN81:DR81"/>
    <mergeCell ref="CJ40:CN40"/>
    <mergeCell ref="CT62:CX62"/>
    <mergeCell ref="CZ76:DC76"/>
    <mergeCell ref="CF84:CI84"/>
    <mergeCell ref="CP75:CS75"/>
    <mergeCell ref="E131:G131"/>
    <mergeCell ref="DN112:DR112"/>
    <mergeCell ref="CT91:CX91"/>
    <mergeCell ref="DD82:DH82"/>
    <mergeCell ref="DT126:DW126"/>
    <mergeCell ref="K138:M138"/>
    <mergeCell ref="CZ107:DC107"/>
    <mergeCell ref="CF86:CI86"/>
    <mergeCell ref="CT57:CX57"/>
    <mergeCell ref="CT93:CX93"/>
    <mergeCell ref="DD75:DH75"/>
    <mergeCell ref="DT113:DW113"/>
    <mergeCell ref="CZ92:DC92"/>
    <mergeCell ref="DN107:DR107"/>
    <mergeCell ref="CT86:CX86"/>
    <mergeCell ref="CZ102:DC102"/>
    <mergeCell ref="I53:I54"/>
    <mergeCell ref="CT117:CX117"/>
    <mergeCell ref="E69:G70"/>
    <mergeCell ref="CZ6:DC6"/>
    <mergeCell ref="CJ84:CN84"/>
    <mergeCell ref="CT119:CX119"/>
    <mergeCell ref="E115:G115"/>
    <mergeCell ref="CT75:CX75"/>
    <mergeCell ref="N27:P27"/>
    <mergeCell ref="CJ86:CN86"/>
    <mergeCell ref="CJ80:CN80"/>
    <mergeCell ref="DN125:DR125"/>
    <mergeCell ref="CP129:CS129"/>
    <mergeCell ref="CZ120:DC120"/>
    <mergeCell ref="CF99:CI99"/>
    <mergeCell ref="DN127:DR127"/>
    <mergeCell ref="CP131:CS131"/>
    <mergeCell ref="DX28:EB28"/>
    <mergeCell ref="DJ23:DM23"/>
    <mergeCell ref="DN39:DR39"/>
    <mergeCell ref="CJ112:CN112"/>
    <mergeCell ref="CT130:CX130"/>
    <mergeCell ref="T52:V55"/>
    <mergeCell ref="CJ141:CN141"/>
    <mergeCell ref="DT40:DW40"/>
    <mergeCell ref="CT132:CX132"/>
    <mergeCell ref="DT76:DW76"/>
    <mergeCell ref="W16:CC19"/>
    <mergeCell ref="DJ51:DM51"/>
    <mergeCell ref="CZ50:DC50"/>
    <mergeCell ref="DD35:DH35"/>
    <mergeCell ref="CP55:CS55"/>
    <mergeCell ref="K83:M83"/>
    <mergeCell ref="CZ52:DC52"/>
    <mergeCell ref="CF31:CI31"/>
    <mergeCell ref="DN50:DR50"/>
    <mergeCell ref="L120:L121"/>
    <mergeCell ref="CT25:CX25"/>
    <mergeCell ref="CZ45:DC45"/>
    <mergeCell ref="B119:D122"/>
    <mergeCell ref="DT102:DW102"/>
    <mergeCell ref="E39:G39"/>
    <mergeCell ref="CJ36:CN36"/>
    <mergeCell ref="Q136:S136"/>
    <mergeCell ref="CZ47:DC47"/>
    <mergeCell ref="CF26:CI26"/>
    <mergeCell ref="DT95:DW95"/>
    <mergeCell ref="CJ125:CN125"/>
    <mergeCell ref="CJ127:CN127"/>
    <mergeCell ref="DT97:DW97"/>
    <mergeCell ref="CF57:CI57"/>
    <mergeCell ref="CT28:CX28"/>
    <mergeCell ref="CP73:CS73"/>
    <mergeCell ref="CF23:CI23"/>
    <mergeCell ref="CZ63:DC63"/>
    <mergeCell ref="DJ95:DM95"/>
    <mergeCell ref="CP74:CS74"/>
    <mergeCell ref="DJ89:DM89"/>
    <mergeCell ref="H95:J95"/>
    <mergeCell ref="I132:I133"/>
    <mergeCell ref="DD104:DH104"/>
    <mergeCell ref="DJ97:DM97"/>
    <mergeCell ref="DJ124:DM124"/>
    <mergeCell ref="Q79:S82"/>
    <mergeCell ref="DT115:DW115"/>
    <mergeCell ref="CJ49:CN49"/>
    <mergeCell ref="CZ91:DC91"/>
    <mergeCell ref="DJ126:DM126"/>
    <mergeCell ref="BW139:BY139"/>
    <mergeCell ref="E83:G83"/>
    <mergeCell ref="DD99:DH99"/>
    <mergeCell ref="N106:P106"/>
    <mergeCell ref="DT141:DW141"/>
    <mergeCell ref="B127:D130"/>
    <mergeCell ref="CZ116:DC116"/>
    <mergeCell ref="O53:O54"/>
    <mergeCell ref="CF95:CI95"/>
    <mergeCell ref="CT110:CX110"/>
    <mergeCell ref="DD101:DH101"/>
    <mergeCell ref="CP102:CS102"/>
    <mergeCell ref="CZ118:DC118"/>
    <mergeCell ref="CF97:CI97"/>
    <mergeCell ref="W83:CC86"/>
    <mergeCell ref="E78:G78"/>
    <mergeCell ref="E114:G114"/>
    <mergeCell ref="H115:J115"/>
    <mergeCell ref="CZ117:DC117"/>
    <mergeCell ref="CF96:CI96"/>
    <mergeCell ref="DJ108:DM108"/>
    <mergeCell ref="E86:G86"/>
    <mergeCell ref="CP87:CS87"/>
    <mergeCell ref="Q107:S110"/>
    <mergeCell ref="H27:J27"/>
    <mergeCell ref="T48:V51"/>
    <mergeCell ref="CZ119:DC119"/>
    <mergeCell ref="CT128:CX128"/>
    <mergeCell ref="W12:CC15"/>
    <mergeCell ref="CF123:CI123"/>
    <mergeCell ref="N36:P36"/>
    <mergeCell ref="L72:L73"/>
    <mergeCell ref="O100:O101"/>
    <mergeCell ref="CP138:CS138"/>
    <mergeCell ref="CP113:CS113"/>
    <mergeCell ref="K2:M3"/>
    <mergeCell ref="CF136:CN137"/>
    <mergeCell ref="E8:G8"/>
    <mergeCell ref="CZ139:DC139"/>
    <mergeCell ref="CP140:CS140"/>
    <mergeCell ref="CZ130:DC130"/>
    <mergeCell ref="CJ121:CN121"/>
    <mergeCell ref="DN20:DR20"/>
    <mergeCell ref="N64:P64"/>
    <mergeCell ref="F76:F77"/>
    <mergeCell ref="CF134:CI134"/>
    <mergeCell ref="DT93:DW93"/>
    <mergeCell ref="CP44:CS44"/>
    <mergeCell ref="K48:M48"/>
    <mergeCell ref="CF55:CI55"/>
    <mergeCell ref="DN15:DR15"/>
    <mergeCell ref="CP37:CS37"/>
    <mergeCell ref="CT53:CX53"/>
    <mergeCell ref="DD44:DH44"/>
    <mergeCell ref="CF48:CI48"/>
    <mergeCell ref="F92:F93"/>
    <mergeCell ref="CT55:CX55"/>
    <mergeCell ref="I128:I129"/>
    <mergeCell ref="E23:G23"/>
    <mergeCell ref="Q44:S47"/>
    <mergeCell ref="N75:P75"/>
    <mergeCell ref="CJ134:CN134"/>
    <mergeCell ref="CF37:CI37"/>
    <mergeCell ref="DN33:DR33"/>
    <mergeCell ref="N102:P102"/>
    <mergeCell ref="L13:L14"/>
    <mergeCell ref="B123:D126"/>
    <mergeCell ref="DX65:EB65"/>
    <mergeCell ref="CF66:CI66"/>
    <mergeCell ref="CZ89:DC89"/>
    <mergeCell ref="W79:CC82"/>
    <mergeCell ref="N103:P103"/>
    <mergeCell ref="I25:I26"/>
    <mergeCell ref="DN87:DR87"/>
    <mergeCell ref="E110:G110"/>
    <mergeCell ref="CZ82:DC82"/>
    <mergeCell ref="DN89:DR89"/>
    <mergeCell ref="H106:J106"/>
    <mergeCell ref="CF119:CI119"/>
    <mergeCell ref="N7:P7"/>
    <mergeCell ref="O96:O97"/>
    <mergeCell ref="CP109:CS109"/>
    <mergeCell ref="W107:CC110"/>
    <mergeCell ref="DX78:EB78"/>
    <mergeCell ref="H130:J130"/>
    <mergeCell ref="O37:O38"/>
    <mergeCell ref="CT94:CX94"/>
    <mergeCell ref="W99:CC102"/>
    <mergeCell ref="E94:G94"/>
    <mergeCell ref="K122:M122"/>
    <mergeCell ref="CP111:CS111"/>
    <mergeCell ref="DX80:EB80"/>
    <mergeCell ref="CF122:CI122"/>
    <mergeCell ref="E95:G95"/>
    <mergeCell ref="F45:F46"/>
    <mergeCell ref="N60:P60"/>
    <mergeCell ref="F72:F73"/>
    <mergeCell ref="DN105:DR105"/>
    <mergeCell ref="O124:O125"/>
    <mergeCell ref="Q111:S114"/>
    <mergeCell ref="CF138:CI138"/>
    <mergeCell ref="CF132:CI132"/>
    <mergeCell ref="DX8:EB8"/>
    <mergeCell ref="N55:P55"/>
    <mergeCell ref="DX10:EB10"/>
    <mergeCell ref="CF133:CI133"/>
    <mergeCell ref="E123:G123"/>
    <mergeCell ref="DJ5:DM5"/>
    <mergeCell ref="B40:D43"/>
    <mergeCell ref="H64:J64"/>
    <mergeCell ref="DT20:DW20"/>
    <mergeCell ref="N71:P71"/>
    <mergeCell ref="DX5:EB5"/>
    <mergeCell ref="O108:O109"/>
    <mergeCell ref="DD13:DH13"/>
    <mergeCell ref="DN29:DR29"/>
    <mergeCell ref="DN4:DR4"/>
    <mergeCell ref="DT22:DW22"/>
    <mergeCell ref="DD15:DH15"/>
    <mergeCell ref="DX30:EB30"/>
    <mergeCell ref="DN31:DR31"/>
    <mergeCell ref="DN24:DR24"/>
    <mergeCell ref="DX21:EB21"/>
    <mergeCell ref="DT46:DW46"/>
    <mergeCell ref="E134:G134"/>
    <mergeCell ref="DJ16:DM16"/>
    <mergeCell ref="H2:J3"/>
    <mergeCell ref="DN32:DR32"/>
    <mergeCell ref="E47:G47"/>
    <mergeCell ref="CT7:CX7"/>
    <mergeCell ref="DX23:EB23"/>
    <mergeCell ref="CZ27:DC27"/>
    <mergeCell ref="DJ18:DM18"/>
    <mergeCell ref="DN57:DR57"/>
    <mergeCell ref="CT8:CX8"/>
    <mergeCell ref="E63:G63"/>
    <mergeCell ref="K91:M91"/>
    <mergeCell ref="DN58:DR58"/>
    <mergeCell ref="W103:CC106"/>
    <mergeCell ref="DN52:DR52"/>
    <mergeCell ref="DX74:EB74"/>
    <mergeCell ref="DX49:EB49"/>
    <mergeCell ref="O33:O34"/>
    <mergeCell ref="BW136:CC137"/>
    <mergeCell ref="DX76:EB76"/>
    <mergeCell ref="DT59:DW59"/>
    <mergeCell ref="DT89:DW89"/>
    <mergeCell ref="CJ29:CN29"/>
    <mergeCell ref="F41:F42"/>
    <mergeCell ref="DT61:DW61"/>
    <mergeCell ref="CJ31:CN31"/>
    <mergeCell ref="DD79:DH79"/>
    <mergeCell ref="DX100:EB100"/>
    <mergeCell ref="CT21:CX21"/>
    <mergeCell ref="DX102:EB102"/>
    <mergeCell ref="DD81:DH81"/>
    <mergeCell ref="E122:G122"/>
    <mergeCell ref="K15:M15"/>
    <mergeCell ref="DN96:DR96"/>
    <mergeCell ref="DX131:EB131"/>
    <mergeCell ref="DJ88:DM88"/>
    <mergeCell ref="F25:F26"/>
    <mergeCell ref="B36:D39"/>
    <mergeCell ref="T75:V78"/>
    <mergeCell ref="DJ90:DM90"/>
    <mergeCell ref="DX113:EB113"/>
    <mergeCell ref="DD92:DH92"/>
    <mergeCell ref="DN124:DR124"/>
    <mergeCell ref="CT103:CX103"/>
    <mergeCell ref="CP6:CS6"/>
    <mergeCell ref="DX115:EB115"/>
    <mergeCell ref="K28:M28"/>
    <mergeCell ref="DN126:DR126"/>
    <mergeCell ref="E130:G130"/>
    <mergeCell ref="DJ12:DM12"/>
    <mergeCell ref="T12:V15"/>
    <mergeCell ref="DD6:DH6"/>
    <mergeCell ref="DJ14:DM14"/>
    <mergeCell ref="CT92:CX92"/>
    <mergeCell ref="DJ13:DM13"/>
    <mergeCell ref="DT4:DW4"/>
    <mergeCell ref="DX14:EB14"/>
    <mergeCell ref="CJ96:CN96"/>
    <mergeCell ref="T36:V39"/>
    <mergeCell ref="DJ38:DM38"/>
    <mergeCell ref="CP17:CS17"/>
    <mergeCell ref="K56:M56"/>
    <mergeCell ref="CT6:CX6"/>
    <mergeCell ref="H11:J11"/>
    <mergeCell ref="DX45:EB45"/>
    <mergeCell ref="DD24:DH24"/>
    <mergeCell ref="DD18:DH18"/>
    <mergeCell ref="DJ40:DM40"/>
    <mergeCell ref="CP19:CS19"/>
    <mergeCell ref="H19:J19"/>
    <mergeCell ref="CZ41:DC41"/>
    <mergeCell ref="B75:D78"/>
    <mergeCell ref="DX47:EB47"/>
    <mergeCell ref="DD26:DH26"/>
    <mergeCell ref="CZ51:DC51"/>
    <mergeCell ref="DN139:DR139"/>
    <mergeCell ref="CZ34:DC34"/>
    <mergeCell ref="DT91:DW91"/>
    <mergeCell ref="Q24:S27"/>
    <mergeCell ref="DX40:EB40"/>
    <mergeCell ref="CT60:CX60"/>
    <mergeCell ref="DT57:DW57"/>
    <mergeCell ref="DT84:DW84"/>
    <mergeCell ref="F120:F121"/>
    <mergeCell ref="DD50:DH50"/>
    <mergeCell ref="DN66:DR66"/>
    <mergeCell ref="B103:D106"/>
    <mergeCell ref="DT86:DW86"/>
    <mergeCell ref="CF46:CI46"/>
    <mergeCell ref="DD16:DH16"/>
    <mergeCell ref="CT17:CX17"/>
    <mergeCell ref="DX98:EB98"/>
    <mergeCell ref="DD77:DH77"/>
    <mergeCell ref="CT11:CX11"/>
    <mergeCell ref="DD52:DH52"/>
    <mergeCell ref="CF12:CI12"/>
    <mergeCell ref="K94:M94"/>
    <mergeCell ref="CT19:CX19"/>
    <mergeCell ref="DN67:DR67"/>
    <mergeCell ref="CF14:CI14"/>
    <mergeCell ref="CZ62:DC62"/>
    <mergeCell ref="CF41:CI41"/>
    <mergeCell ref="DJ84:DM84"/>
    <mergeCell ref="K102:M102"/>
    <mergeCell ref="DX93:EB93"/>
    <mergeCell ref="BW141:BY141"/>
    <mergeCell ref="DT75:DW75"/>
    <mergeCell ref="CJ53:CN53"/>
    <mergeCell ref="CT44:CX44"/>
    <mergeCell ref="CZ64:DC64"/>
    <mergeCell ref="DJ86:DM86"/>
    <mergeCell ref="L132:L133"/>
    <mergeCell ref="CJ55:CN55"/>
    <mergeCell ref="DN94:DR94"/>
    <mergeCell ref="CT73:CX73"/>
    <mergeCell ref="B131:D134"/>
    <mergeCell ref="CT45:CX45"/>
    <mergeCell ref="DD88:DH88"/>
    <mergeCell ref="DD63:DH63"/>
    <mergeCell ref="DJ81:DM81"/>
    <mergeCell ref="O104:O105"/>
    <mergeCell ref="CT47:CX47"/>
    <mergeCell ref="DN95:DR95"/>
    <mergeCell ref="CT74:CX74"/>
    <mergeCell ref="DX117:EB117"/>
    <mergeCell ref="DD96:DH96"/>
    <mergeCell ref="DX111:EB111"/>
    <mergeCell ref="DD90:DH90"/>
    <mergeCell ref="DJ112:DM112"/>
    <mergeCell ref="CP91:CS91"/>
    <mergeCell ref="DN122:DR122"/>
    <mergeCell ref="DN97:DR97"/>
    <mergeCell ref="DT130:DW130"/>
    <mergeCell ref="B60:D63"/>
    <mergeCell ref="DJ105:DM105"/>
    <mergeCell ref="DT43:DW43"/>
    <mergeCell ref="CP93:CS93"/>
    <mergeCell ref="DJ141:DM141"/>
    <mergeCell ref="CZ75:DC75"/>
    <mergeCell ref="H114:J114"/>
    <mergeCell ref="DD91:DH91"/>
    <mergeCell ref="DX112:EB112"/>
    <mergeCell ref="DT132:DW132"/>
    <mergeCell ref="CJ66:CN66"/>
    <mergeCell ref="DN82:DR82"/>
    <mergeCell ref="DJ107:DM107"/>
    <mergeCell ref="DX141:EB141"/>
    <mergeCell ref="DD116:DH116"/>
    <mergeCell ref="Q91:S94"/>
    <mergeCell ref="CJ67:CN67"/>
    <mergeCell ref="T32:V35"/>
    <mergeCell ref="DD118:DH118"/>
    <mergeCell ref="CP13:CS13"/>
    <mergeCell ref="CZ4:DC4"/>
    <mergeCell ref="DN133:DR133"/>
    <mergeCell ref="DN108:DR108"/>
    <mergeCell ref="DJ36:DM36"/>
    <mergeCell ref="CP15:CS15"/>
    <mergeCell ref="H15:J15"/>
    <mergeCell ref="DX130:EB130"/>
    <mergeCell ref="B71:D74"/>
    <mergeCell ref="N2:P3"/>
    <mergeCell ref="DJ125:DM125"/>
    <mergeCell ref="H8:J8"/>
    <mergeCell ref="Q20:S23"/>
    <mergeCell ref="DJ127:DM127"/>
    <mergeCell ref="DX125:EB125"/>
    <mergeCell ref="DT28:DW28"/>
    <mergeCell ref="CZ7:DC7"/>
    <mergeCell ref="CF140:CI140"/>
    <mergeCell ref="DT69:EB70"/>
    <mergeCell ref="DN37:DR37"/>
    <mergeCell ref="CT138:CX138"/>
    <mergeCell ref="H39:J39"/>
    <mergeCell ref="T60:V63"/>
    <mergeCell ref="K63:M63"/>
    <mergeCell ref="I76:I77"/>
    <mergeCell ref="DD48:DH48"/>
    <mergeCell ref="CF8:CI8"/>
    <mergeCell ref="CT140:CX140"/>
    <mergeCell ref="CP43:CS43"/>
    <mergeCell ref="W24:CC27"/>
    <mergeCell ref="N48:P48"/>
    <mergeCell ref="CZ58:DC58"/>
    <mergeCell ref="CP34:CS34"/>
    <mergeCell ref="W32:CC35"/>
    <mergeCell ref="DJ49:DM49"/>
    <mergeCell ref="E27:G27"/>
    <mergeCell ref="CP28:CS28"/>
    <mergeCell ref="H28:J28"/>
    <mergeCell ref="DD43:DH43"/>
    <mergeCell ref="Q48:S51"/>
    <mergeCell ref="I92:I93"/>
    <mergeCell ref="CZ60:DC60"/>
    <mergeCell ref="CF39:CI39"/>
    <mergeCell ref="CJ138:CN138"/>
    <mergeCell ref="I5:I6"/>
    <mergeCell ref="L128:L129"/>
    <mergeCell ref="CJ9:CN9"/>
    <mergeCell ref="BZ141:CC141"/>
    <mergeCell ref="DJ50:DM50"/>
    <mergeCell ref="DT110:DW110"/>
    <mergeCell ref="H23:J23"/>
    <mergeCell ref="T44:V47"/>
    <mergeCell ref="CP25:CS25"/>
    <mergeCell ref="CT41:CX41"/>
    <mergeCell ref="CJ11:CN11"/>
    <mergeCell ref="DD59:DH59"/>
    <mergeCell ref="CJ133:CN133"/>
    <mergeCell ref="CP54:CS54"/>
    <mergeCell ref="O13:O14"/>
    <mergeCell ref="DD61:DH61"/>
    <mergeCell ref="CF65:CI65"/>
    <mergeCell ref="K126:M126"/>
    <mergeCell ref="CF21:CI21"/>
    <mergeCell ref="CP62:CS62"/>
    <mergeCell ref="H56:J56"/>
    <mergeCell ref="CP56:CS56"/>
    <mergeCell ref="CZ78:DC78"/>
    <mergeCell ref="H83:J83"/>
    <mergeCell ref="CT72:CX72"/>
    <mergeCell ref="K119:M119"/>
    <mergeCell ref="DT92:DW92"/>
    <mergeCell ref="CZ71:DC71"/>
    <mergeCell ref="H110:J110"/>
    <mergeCell ref="T131:V134"/>
    <mergeCell ref="DT128:DW128"/>
    <mergeCell ref="E40:G40"/>
    <mergeCell ref="CP69:CX70"/>
    <mergeCell ref="CJ37:CN37"/>
    <mergeCell ref="DJ103:DM103"/>
    <mergeCell ref="CZ73:DC73"/>
    <mergeCell ref="DT121:DW121"/>
    <mergeCell ref="CT88:CX88"/>
    <mergeCell ref="I17:I18"/>
    <mergeCell ref="DT123:DW123"/>
    <mergeCell ref="CZ104:DC104"/>
    <mergeCell ref="CF83:CI83"/>
    <mergeCell ref="CT54:CX54"/>
    <mergeCell ref="DD114:DH114"/>
    <mergeCell ref="CJ93:CN93"/>
    <mergeCell ref="CF49:CI49"/>
    <mergeCell ref="CJ65:CN65"/>
    <mergeCell ref="K137:M137"/>
    <mergeCell ref="CT56:CX56"/>
    <mergeCell ref="DN104:DR104"/>
    <mergeCell ref="CT83:CX83"/>
    <mergeCell ref="CZ105:DC105"/>
    <mergeCell ref="CZ99:DC99"/>
    <mergeCell ref="CF78:CI78"/>
    <mergeCell ref="DJ121:DM121"/>
    <mergeCell ref="CP100:CS100"/>
    <mergeCell ref="K139:M139"/>
    <mergeCell ref="DN106:DR106"/>
    <mergeCell ref="CT85:CX85"/>
    <mergeCell ref="CP110:CS110"/>
    <mergeCell ref="L80:L81"/>
    <mergeCell ref="B44:D47"/>
    <mergeCell ref="CZ101:DC101"/>
    <mergeCell ref="CF80:CI80"/>
    <mergeCell ref="DJ123:DM123"/>
    <mergeCell ref="I45:I46"/>
    <mergeCell ref="CT109:CX109"/>
    <mergeCell ref="CJ83:CN83"/>
    <mergeCell ref="DT53:DW53"/>
    <mergeCell ref="DJ118:DM118"/>
    <mergeCell ref="I72:I73"/>
    <mergeCell ref="K8:M8"/>
    <mergeCell ref="CT111:CX111"/>
    <mergeCell ref="DT55:DW55"/>
    <mergeCell ref="DD133:DH133"/>
    <mergeCell ref="DD127:DH127"/>
    <mergeCell ref="CP128:CS128"/>
    <mergeCell ref="F33:F34"/>
    <mergeCell ref="CJ78:CN78"/>
    <mergeCell ref="I96:I97"/>
    <mergeCell ref="DJ134:DM134"/>
    <mergeCell ref="DD128:DH128"/>
    <mergeCell ref="CJ109:CN109"/>
    <mergeCell ref="CF10:CI10"/>
    <mergeCell ref="CP123:CS123"/>
    <mergeCell ref="Q4:S7"/>
    <mergeCell ref="CJ104:CN104"/>
    <mergeCell ref="CJ140:CN140"/>
    <mergeCell ref="CJ106:CN106"/>
    <mergeCell ref="CP58:CS58"/>
    <mergeCell ref="H52:J52"/>
    <mergeCell ref="CP52:CS52"/>
    <mergeCell ref="H79:J79"/>
    <mergeCell ref="I116:I117"/>
    <mergeCell ref="DX20:EB20"/>
    <mergeCell ref="CZ42:DC42"/>
    <mergeCell ref="E36:G36"/>
    <mergeCell ref="E11:G11"/>
    <mergeCell ref="CP53:CS53"/>
    <mergeCell ref="H47:J47"/>
    <mergeCell ref="CZ44:DC44"/>
    <mergeCell ref="CJ35:CN35"/>
    <mergeCell ref="B2:D3"/>
    <mergeCell ref="N90:P90"/>
    <mergeCell ref="B111:D114"/>
    <mergeCell ref="DT94:DW94"/>
    <mergeCell ref="N83:P83"/>
    <mergeCell ref="CF45:CI45"/>
    <mergeCell ref="Q60:S63"/>
    <mergeCell ref="CJ30:CN30"/>
    <mergeCell ref="CP63:CS63"/>
    <mergeCell ref="H63:J63"/>
    <mergeCell ref="N91:P91"/>
    <mergeCell ref="CZ95:DC95"/>
    <mergeCell ref="CF74:CI74"/>
    <mergeCell ref="CP71:CS71"/>
    <mergeCell ref="E64:G64"/>
    <mergeCell ref="F128:F129"/>
    <mergeCell ref="CZ97:DC97"/>
    <mergeCell ref="CF76:CI76"/>
    <mergeCell ref="H94:J94"/>
    <mergeCell ref="T115:V118"/>
    <mergeCell ref="DJ87:DM87"/>
    <mergeCell ref="I41:I42"/>
    <mergeCell ref="CZ98:DC98"/>
    <mergeCell ref="O84:O85"/>
    <mergeCell ref="Q71:S74"/>
    <mergeCell ref="DX91:EB91"/>
    <mergeCell ref="CT107:CX107"/>
    <mergeCell ref="O80:O81"/>
    <mergeCell ref="CF102:CI102"/>
    <mergeCell ref="N15:P15"/>
    <mergeCell ref="CP124:CS124"/>
    <mergeCell ref="CF94:CI94"/>
    <mergeCell ref="E75:G75"/>
    <mergeCell ref="CP126:CS126"/>
    <mergeCell ref="CZ108:DC108"/>
    <mergeCell ref="CZ136:DH137"/>
    <mergeCell ref="CJ46:CN46"/>
    <mergeCell ref="CT125:CX125"/>
    <mergeCell ref="E103:G103"/>
    <mergeCell ref="F53:F54"/>
    <mergeCell ref="CJ100:CN100"/>
    <mergeCell ref="CF120:CI120"/>
    <mergeCell ref="K32:M32"/>
    <mergeCell ref="CJ102:CN102"/>
    <mergeCell ref="CT120:CX120"/>
    <mergeCell ref="CF121:CI121"/>
    <mergeCell ref="CF115:CI115"/>
    <mergeCell ref="K27:M27"/>
    <mergeCell ref="N28:P28"/>
    <mergeCell ref="CJ131:CN131"/>
    <mergeCell ref="E7:G7"/>
    <mergeCell ref="CP139:CS139"/>
    <mergeCell ref="DT8:DW8"/>
    <mergeCell ref="F37:F38"/>
    <mergeCell ref="DT10:DW10"/>
    <mergeCell ref="K16:M16"/>
    <mergeCell ref="DN12:DR12"/>
    <mergeCell ref="DX34:EB34"/>
    <mergeCell ref="K11:M11"/>
    <mergeCell ref="CJ115:CN115"/>
    <mergeCell ref="DJ29:DM29"/>
    <mergeCell ref="K47:M47"/>
    <mergeCell ref="DN14:DR14"/>
    <mergeCell ref="E60:G60"/>
    <mergeCell ref="DX36:EB36"/>
    <mergeCell ref="F124:F125"/>
    <mergeCell ref="DJ31:DM31"/>
    <mergeCell ref="CF47:CI47"/>
    <mergeCell ref="DJ24:DM24"/>
    <mergeCell ref="T24:V27"/>
    <mergeCell ref="DT21:DW21"/>
    <mergeCell ref="DJ32:DM32"/>
    <mergeCell ref="N99:P99"/>
    <mergeCell ref="DD41:DH41"/>
    <mergeCell ref="DJ114:DM114"/>
    <mergeCell ref="DD7:DH7"/>
    <mergeCell ref="DD34:DH34"/>
    <mergeCell ref="CP89:CS89"/>
    <mergeCell ref="DN25:DR25"/>
    <mergeCell ref="E71:G71"/>
    <mergeCell ref="N94:P94"/>
    <mergeCell ref="DX57:EB57"/>
    <mergeCell ref="CJ17:CN17"/>
    <mergeCell ref="E79:G79"/>
    <mergeCell ref="H118:J118"/>
    <mergeCell ref="DT103:DW103"/>
    <mergeCell ref="N127:P127"/>
    <mergeCell ref="E74:G74"/>
    <mergeCell ref="Q95:S98"/>
    <mergeCell ref="CT34:CX34"/>
    <mergeCell ref="G138:J138"/>
    <mergeCell ref="DD25:DH25"/>
    <mergeCell ref="DN84:DR84"/>
    <mergeCell ref="DX75:EB75"/>
    <mergeCell ref="CF117:CI117"/>
    <mergeCell ref="L25:L26"/>
    <mergeCell ref="CF111:CI111"/>
    <mergeCell ref="DN86:DR86"/>
    <mergeCell ref="CP108:CS108"/>
    <mergeCell ref="DN80:DR80"/>
    <mergeCell ref="DT6:DW6"/>
    <mergeCell ref="I80:I81"/>
    <mergeCell ref="E87:G87"/>
    <mergeCell ref="DX128:EB128"/>
    <mergeCell ref="DN8:DR8"/>
    <mergeCell ref="N52:P52"/>
    <mergeCell ref="K43:M43"/>
    <mergeCell ref="O116:O117"/>
    <mergeCell ref="DN10:DR10"/>
    <mergeCell ref="DX129:EB129"/>
    <mergeCell ref="O88:O89"/>
    <mergeCell ref="CF130:CI130"/>
    <mergeCell ref="CZ5:DC5"/>
    <mergeCell ref="T20:V23"/>
    <mergeCell ref="CJ85:CN85"/>
    <mergeCell ref="DT17:DW17"/>
    <mergeCell ref="DT11:DW11"/>
    <mergeCell ref="DT27:DW27"/>
    <mergeCell ref="DJ22:DM22"/>
    <mergeCell ref="DT19:DW19"/>
    <mergeCell ref="N63:P63"/>
    <mergeCell ref="CP32:CS32"/>
    <mergeCell ref="W69:CC70"/>
    <mergeCell ref="DN21:DR21"/>
    <mergeCell ref="K64:M64"/>
    <mergeCell ref="DX53:EB53"/>
    <mergeCell ref="DD32:DH32"/>
    <mergeCell ref="CJ13:CN13"/>
    <mergeCell ref="DN23:DR23"/>
    <mergeCell ref="CP27:CS27"/>
    <mergeCell ref="DT45:DW45"/>
    <mergeCell ref="CZ24:DC24"/>
    <mergeCell ref="CZ18:DC18"/>
    <mergeCell ref="F108:F109"/>
    <mergeCell ref="DX55:EB55"/>
    <mergeCell ref="L5:L6"/>
    <mergeCell ref="DT47:DW47"/>
    <mergeCell ref="CZ26:DC26"/>
    <mergeCell ref="DT74:DW74"/>
    <mergeCell ref="B91:D94"/>
    <mergeCell ref="CJ8:CN8"/>
    <mergeCell ref="CJ10:CN10"/>
    <mergeCell ref="DD58:DH58"/>
    <mergeCell ref="K82:M82"/>
    <mergeCell ref="G136:J136"/>
    <mergeCell ref="DN49:DR49"/>
    <mergeCell ref="DX71:EB71"/>
    <mergeCell ref="N118:P118"/>
    <mergeCell ref="DJ66:DM66"/>
    <mergeCell ref="DD60:DH60"/>
    <mergeCell ref="N126:P126"/>
    <mergeCell ref="DX73:EB73"/>
    <mergeCell ref="CZ77:DC77"/>
    <mergeCell ref="DX66:EB66"/>
    <mergeCell ref="E126:G126"/>
    <mergeCell ref="DJ67:DM67"/>
    <mergeCell ref="K110:M110"/>
    <mergeCell ref="DJ61:DM61"/>
    <mergeCell ref="H40:J40"/>
    <mergeCell ref="DT83:DW83"/>
    <mergeCell ref="DN77:DR77"/>
    <mergeCell ref="CJ28:CN28"/>
    <mergeCell ref="DD42:DH42"/>
    <mergeCell ref="CJ21:CN21"/>
    <mergeCell ref="DD78:DH78"/>
    <mergeCell ref="K12:M12"/>
    <mergeCell ref="DJ94:DM94"/>
    <mergeCell ref="DN110:DR110"/>
    <mergeCell ref="CJ23:CN23"/>
    <mergeCell ref="DD71:DH71"/>
    <mergeCell ref="DX92:EB92"/>
    <mergeCell ref="O112:O113"/>
    <mergeCell ref="K136:M136"/>
    <mergeCell ref="CZ88:DC88"/>
    <mergeCell ref="DN103:DR103"/>
    <mergeCell ref="I33:I34"/>
    <mergeCell ref="DD73:DH73"/>
    <mergeCell ref="DX94:EB94"/>
    <mergeCell ref="K7:M7"/>
    <mergeCell ref="CJ54:CN54"/>
    <mergeCell ref="W115:CC118"/>
    <mergeCell ref="CZ96:DC96"/>
    <mergeCell ref="CZ90:DC90"/>
    <mergeCell ref="DT138:DW138"/>
    <mergeCell ref="CJ81:CN81"/>
    <mergeCell ref="DT140:DW140"/>
    <mergeCell ref="E111:G111"/>
    <mergeCell ref="CT71:CX71"/>
    <mergeCell ref="CJ110:CN110"/>
    <mergeCell ref="B28:D31"/>
    <mergeCell ref="CJ76:CN76"/>
    <mergeCell ref="DN121:DR121"/>
    <mergeCell ref="CT100:CX100"/>
    <mergeCell ref="DJ138:DM138"/>
    <mergeCell ref="I61:I62"/>
    <mergeCell ref="DN123:DR123"/>
    <mergeCell ref="CT102:CX102"/>
    <mergeCell ref="DJ9:DM9"/>
    <mergeCell ref="DX138:EB138"/>
    <mergeCell ref="DT41:DW41"/>
    <mergeCell ref="CZ20:DC20"/>
    <mergeCell ref="DJ11:DM11"/>
    <mergeCell ref="DX26:EB26"/>
    <mergeCell ref="DD5:DH5"/>
    <mergeCell ref="DJ133:DM133"/>
    <mergeCell ref="F17:F18"/>
    <mergeCell ref="DN118:DR118"/>
    <mergeCell ref="DX140:EB140"/>
    <mergeCell ref="CZ22:DC22"/>
    <mergeCell ref="T4:V7"/>
    <mergeCell ref="B56:D59"/>
    <mergeCell ref="CZ2:DH3"/>
    <mergeCell ref="DT36:DW36"/>
    <mergeCell ref="DT72:DW72"/>
    <mergeCell ref="CJ6:CN6"/>
    <mergeCell ref="K78:M78"/>
    <mergeCell ref="DN45:DR45"/>
    <mergeCell ref="DX42:EB42"/>
    <mergeCell ref="CZ46:DC46"/>
    <mergeCell ref="DN134:DR134"/>
    <mergeCell ref="DJ37:DM37"/>
    <mergeCell ref="CP16:CS16"/>
    <mergeCell ref="DN53:DR53"/>
    <mergeCell ref="DN47:DR47"/>
    <mergeCell ref="K79:M79"/>
    <mergeCell ref="CZ48:DC48"/>
    <mergeCell ref="CF27:CI27"/>
    <mergeCell ref="DD139:DH139"/>
    <mergeCell ref="DN46:DR46"/>
    <mergeCell ref="CP18:CS18"/>
    <mergeCell ref="L116:L117"/>
    <mergeCell ref="DX37:EB37"/>
    <mergeCell ref="H36:J36"/>
    <mergeCell ref="CP11:CS11"/>
    <mergeCell ref="DT54:DW54"/>
    <mergeCell ref="CZ33:DC33"/>
    <mergeCell ref="DN48:DR48"/>
    <mergeCell ref="CT27:CX27"/>
    <mergeCell ref="DJ93:DM93"/>
    <mergeCell ref="CZ43:DC43"/>
    <mergeCell ref="DJ65:DM65"/>
    <mergeCell ref="DT56:DW56"/>
    <mergeCell ref="Q16:S19"/>
    <mergeCell ref="CT58:CX58"/>
    <mergeCell ref="CF9:CI9"/>
    <mergeCell ref="DT85:DW85"/>
    <mergeCell ref="CJ19:CN19"/>
    <mergeCell ref="CF11:CI11"/>
    <mergeCell ref="CT26:CX26"/>
    <mergeCell ref="CZ59:DC59"/>
    <mergeCell ref="DX90:EB90"/>
    <mergeCell ref="BW138:BY138"/>
    <mergeCell ref="CJ50:CN50"/>
    <mergeCell ref="DX126:EB126"/>
    <mergeCell ref="DT82:DW82"/>
    <mergeCell ref="CZ61:DC61"/>
    <mergeCell ref="H91:J91"/>
    <mergeCell ref="DT109:DW109"/>
    <mergeCell ref="E55:G55"/>
    <mergeCell ref="BW140:BY140"/>
    <mergeCell ref="CP72:CS72"/>
    <mergeCell ref="DT111:DW111"/>
    <mergeCell ref="E48:G48"/>
    <mergeCell ref="CJ45:CN45"/>
    <mergeCell ref="DN61:DR61"/>
    <mergeCell ref="CT42:CX42"/>
    <mergeCell ref="DJ122:DM122"/>
  </mergeCells>
  <dataValidations count="7">
    <dataValidation sqref="Q4:S67 Q71:S134" showDropDown="0" showInputMessage="1" showErrorMessage="1" allowBlank="1" type="list">
      <formula1>$Q$137:$Q$141</formula1>
    </dataValidation>
    <dataValidation sqref="K4:M4" showDropDown="0" showInputMessage="1" showErrorMessage="1" allowBlank="1" type="custom">
      <formula1>AND(K4&gt;=$K$136,K4&lt;=$K$137)+AND(K4&gt;=$K$138,K4&lt;=$K$139)</formula1>
    </dataValidation>
    <dataValidation sqref="K7:M67 K71:M134" showDropDown="0" showInputMessage="1" showErrorMessage="1" allowBlank="1" error="時間外のみ記載してください。" type="custom">
      <formula1>AND(K7&gt;=$K$136,K7&lt;=$K$137)+AND(K7&gt;=$K$138,K7&lt;=$K$139)</formula1>
    </dataValidation>
    <dataValidation sqref="K5:M6" showDropDown="0" showInputMessage="1" showErrorMessage="1" allowBlank="1" type="custom">
      <formula1>AND(K1048514&gt;=$K$136,K1048514&lt;=$K$137)+AND(K1048514&gt;=$K$138,K1048514&lt;=$K$139)</formula1>
    </dataValidation>
    <dataValidation sqref="H4:J4 H8:J8 H12:J12 H16:J16 H20:J20 H24:J24 H28:J28 H32:J32 H36:J36 H40:J40 H44:J44 H48:J48 H52:J52 H56:J56 H60:J60 H64:J64 H71:J71 H75:J75 H79:J79 H83:J83 H87:J87 H91:J91 H95:J95 H99:J99 H103:J103 H107:J107 H111:J111 H115:J115 H119:J119 H123:J123 H127:J127 H131:J131" showDropDown="0" showInputMessage="1" showErrorMessage="1" allowBlank="1" error="8時以前は時間外に記入してください。" type="time">
      <formula1>0.333333333333333</formula1>
      <formula2>0.708333333333333</formula2>
    </dataValidation>
    <dataValidation sqref="H7:J7 H11:J11 H15:J15 H19:J19 H23:J23 H27:J27 H31:J31 H35:J35 H39:J39 H43:J43 H47:J47 H51:J51 H55:J55 H59:J59 H63:J63 H67:J68 H74:J74 H78:J78 H82:J82 H86:J86 H90:J90 H94:J94 H98:J98 H102:J102 H106:J106 H110:J110 H114:J114 H118:J118 H122:J122 H126:J126 H130:J130 H134:J135" showDropDown="0" showInputMessage="1" showErrorMessage="1" allowBlank="1" error="17時以降は時間外に記入してください。" type="time">
      <formula1>0.333333333333333</formula1>
      <formula2>0.708333333333333</formula2>
    </dataValidation>
    <dataValidation sqref="Q68:S68 Q135:S135" showDropDown="0" showInputMessage="1" showErrorMessage="1" allowBlank="1" type="list">
      <formula1>$Q$137:$Q$139</formula1>
    </dataValidation>
  </dataValidations>
  <pageMargins left="0.3149606299212598" right="0.1181102362204725" top="0.3149606299212598" bottom="0" header="0.1968503937007874" footer="0.1968503937007874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141"/>
  <sheetViews>
    <sheetView showZeros="0" zoomScaleNormal="100" workbookViewId="0">
      <pane xSplit="1" ySplit="3" topLeftCell="B4" activePane="bottomRight" state="frozen"/>
      <selection activeCell="E35" sqref="E35:G35 E32:G32"/>
      <selection pane="topRight" activeCell="E35" sqref="E35:G35 E32:G32"/>
      <selection pane="bottomLeft" activeCell="E35" sqref="E35:G35 E32:G32"/>
      <selection pane="bottomRight" activeCell="B2" sqref="B2:CC3"/>
    </sheetView>
  </sheetViews>
  <sheetFormatPr baseColWidth="8" defaultRowHeight="18.75"/>
  <cols>
    <col width="1.625" customWidth="1" style="1" min="1" max="1"/>
    <col width="3.375" customWidth="1" style="1" min="2" max="2"/>
    <col width="1.625" customWidth="1" style="1" min="3" max="5"/>
    <col width="2.375" customWidth="1" style="1" min="6" max="6"/>
    <col width="2.125" customWidth="1" style="1" min="7" max="7"/>
    <col width="1.625" customWidth="1" style="1" min="8" max="8"/>
    <col width="2.375" customWidth="1" style="1" min="9" max="9"/>
    <col width="2.125" customWidth="1" style="1" min="10" max="10"/>
    <col width="1.625" customWidth="1" style="1" min="11" max="11"/>
    <col width="2.375" customWidth="1" style="1" min="12" max="12"/>
    <col width="2.125" customWidth="1" style="1" min="13" max="13"/>
    <col width="1.625" customWidth="1" style="1" min="14" max="14"/>
    <col width="2.375" customWidth="1" style="1" min="15" max="15"/>
    <col width="2.125" customWidth="1" style="1" min="16" max="16"/>
    <col width="1.875" customWidth="1" style="1" min="17" max="18"/>
    <col width="2.375" customWidth="1" style="1" min="19" max="19"/>
    <col width="1.875" customWidth="1" style="1" min="20" max="21"/>
    <col width="2.375" customWidth="1" style="1" min="22" max="22"/>
    <col width="1.625" customWidth="1" style="1" min="23" max="24"/>
    <col width="3.375" customWidth="1" style="1" min="25" max="25"/>
    <col width="1.125" customWidth="1" style="1" min="26" max="30"/>
    <col width="1.625" customWidth="1" style="1" min="31" max="49"/>
    <col width="3.375" customWidth="1" style="1" min="50" max="50"/>
    <col width="1.625" customWidth="1" style="1" min="51" max="64"/>
    <col width="3.375" customWidth="1" style="1" min="65" max="65"/>
    <col width="1.625" customWidth="1" style="1" min="66" max="75"/>
    <col width="3.375" customWidth="1" style="1" min="76" max="76"/>
    <col width="1.625" customWidth="1" style="1" min="77" max="78"/>
    <col width="1.75" customWidth="1" style="1" min="79" max="85"/>
    <col width="1.625" customWidth="1" style="1" min="86" max="132"/>
    <col width="4.125" customWidth="1" style="1" min="133" max="184"/>
    <col width="9" customWidth="1" style="1" min="185" max="16384"/>
  </cols>
  <sheetData>
    <row r="1" ht="9.949999999999999" customHeight="1" s="337"/>
    <row r="2" ht="14.1" customHeight="1" s="337">
      <c r="B2" s="355" t="inlineStr">
        <is>
          <t>月／日</t>
        </is>
      </c>
      <c r="C2" s="342" t="n"/>
      <c r="D2" s="356" t="n"/>
      <c r="E2" s="357" t="inlineStr">
        <is>
          <t>移 動</t>
        </is>
      </c>
      <c r="F2" s="342" t="n"/>
      <c r="G2" s="356" t="n"/>
      <c r="H2" s="358" t="inlineStr">
        <is>
          <t>作業内　(平日)</t>
        </is>
      </c>
      <c r="I2" s="342" t="n"/>
      <c r="J2" s="356" t="n"/>
      <c r="K2" s="358" t="inlineStr">
        <is>
          <t>作業外　(平日)</t>
        </is>
      </c>
      <c r="L2" s="342" t="n"/>
      <c r="M2" s="356" t="n"/>
      <c r="N2" s="357" t="inlineStr">
        <is>
          <t>休日</t>
        </is>
      </c>
      <c r="O2" s="342" t="n"/>
      <c r="P2" s="356" t="n"/>
      <c r="Q2" s="359" t="inlineStr">
        <is>
          <t>作業者</t>
        </is>
      </c>
      <c r="R2" s="342" t="n"/>
      <c r="S2" s="356" t="n"/>
      <c r="T2" s="359" t="inlineStr">
        <is>
          <t>場  所</t>
        </is>
      </c>
      <c r="U2" s="342" t="n"/>
      <c r="V2" s="356" t="n"/>
      <c r="W2" s="360" t="inlineStr">
        <is>
          <t xml:space="preserve">   作　　　　    　　業　　　    　 　内　　　  　  　　容　</t>
        </is>
      </c>
      <c r="X2" s="342" t="n"/>
      <c r="Y2" s="342" t="n"/>
      <c r="Z2" s="342" t="n"/>
      <c r="AA2" s="342" t="n"/>
      <c r="AB2" s="342" t="n"/>
      <c r="AC2" s="342" t="n"/>
      <c r="AD2" s="342" t="n"/>
      <c r="AE2" s="342" t="n"/>
      <c r="AF2" s="342" t="n"/>
      <c r="AG2" s="342" t="n"/>
      <c r="AH2" s="342" t="n"/>
      <c r="AI2" s="342" t="n"/>
      <c r="AJ2" s="342" t="n"/>
      <c r="AK2" s="342" t="n"/>
      <c r="AL2" s="342" t="n"/>
      <c r="AM2" s="342" t="n"/>
      <c r="AN2" s="342" t="n"/>
      <c r="AO2" s="342" t="n"/>
      <c r="AP2" s="342" t="n"/>
      <c r="AQ2" s="342" t="n"/>
      <c r="AR2" s="342" t="n"/>
      <c r="AS2" s="342" t="n"/>
      <c r="AT2" s="342" t="n"/>
      <c r="AU2" s="342" t="n"/>
      <c r="AV2" s="342" t="n"/>
      <c r="AW2" s="342" t="n"/>
      <c r="AX2" s="342" t="n"/>
      <c r="AY2" s="342" t="n"/>
      <c r="AZ2" s="342" t="n"/>
      <c r="BA2" s="342" t="n"/>
      <c r="BB2" s="342" t="n"/>
      <c r="BC2" s="342" t="n"/>
      <c r="BD2" s="342" t="n"/>
      <c r="BE2" s="342" t="n"/>
      <c r="BF2" s="342" t="n"/>
      <c r="BG2" s="342" t="n"/>
      <c r="BH2" s="342" t="n"/>
      <c r="BI2" s="342" t="n"/>
      <c r="BJ2" s="342" t="n"/>
      <c r="BK2" s="342" t="n"/>
      <c r="BL2" s="342" t="n"/>
      <c r="BM2" s="342" t="n"/>
      <c r="BN2" s="342" t="n"/>
      <c r="BO2" s="342" t="n"/>
      <c r="BP2" s="342" t="n"/>
      <c r="BQ2" s="342" t="n"/>
      <c r="BR2" s="342" t="n"/>
      <c r="BS2" s="342" t="n"/>
      <c r="BT2" s="342" t="n"/>
      <c r="BU2" s="342" t="n"/>
      <c r="BV2" s="342" t="n"/>
      <c r="BW2" s="342" t="n"/>
      <c r="BX2" s="342" t="n"/>
      <c r="BY2" s="342" t="n"/>
      <c r="BZ2" s="342" t="n"/>
      <c r="CA2" s="342" t="n"/>
      <c r="CB2" s="342" t="n"/>
      <c r="CC2" s="343" t="n"/>
      <c r="CF2" s="361" t="inlineStr">
        <is>
          <t>所要時間　作業者1</t>
        </is>
      </c>
      <c r="CG2" s="362" t="n"/>
      <c r="CH2" s="362" t="n"/>
      <c r="CI2" s="362" t="n"/>
      <c r="CJ2" s="362" t="n"/>
      <c r="CK2" s="362" t="n"/>
      <c r="CL2" s="362" t="n"/>
      <c r="CM2" s="362" t="n"/>
      <c r="CN2" s="363" t="n"/>
      <c r="CP2" s="361" t="inlineStr">
        <is>
          <t>所要時間　作業者2</t>
        </is>
      </c>
      <c r="CQ2" s="362" t="n"/>
      <c r="CR2" s="362" t="n"/>
      <c r="CS2" s="362" t="n"/>
      <c r="CT2" s="362" t="n"/>
      <c r="CU2" s="362" t="n"/>
      <c r="CV2" s="362" t="n"/>
      <c r="CW2" s="362" t="n"/>
      <c r="CX2" s="363" t="n"/>
      <c r="CZ2" s="361" t="inlineStr">
        <is>
          <t>所要時間　作業者3</t>
        </is>
      </c>
      <c r="DA2" s="362" t="n"/>
      <c r="DB2" s="362" t="n"/>
      <c r="DC2" s="362" t="n"/>
      <c r="DD2" s="362" t="n"/>
      <c r="DE2" s="362" t="n"/>
      <c r="DF2" s="362" t="n"/>
      <c r="DG2" s="362" t="n"/>
      <c r="DH2" s="363" t="n"/>
      <c r="DJ2" s="361" t="inlineStr">
        <is>
          <t>所要時間　作業者4</t>
        </is>
      </c>
      <c r="DK2" s="362" t="n"/>
      <c r="DL2" s="362" t="n"/>
      <c r="DM2" s="362" t="n"/>
      <c r="DN2" s="362" t="n"/>
      <c r="DO2" s="362" t="n"/>
      <c r="DP2" s="362" t="n"/>
      <c r="DQ2" s="362" t="n"/>
      <c r="DR2" s="363" t="n"/>
      <c r="DT2" s="361" t="inlineStr">
        <is>
          <t>所要時間　作業者5</t>
        </is>
      </c>
      <c r="DU2" s="362" t="n"/>
      <c r="DV2" s="362" t="n"/>
      <c r="DW2" s="362" t="n"/>
      <c r="DX2" s="362" t="n"/>
      <c r="DY2" s="362" t="n"/>
      <c r="DZ2" s="362" t="n"/>
      <c r="EA2" s="362" t="n"/>
      <c r="EB2" s="363" t="n"/>
    </row>
    <row r="3" ht="14.1" customHeight="1" s="337">
      <c r="B3" s="353" t="n"/>
      <c r="C3" s="339" t="n"/>
      <c r="D3" s="364" t="n"/>
      <c r="E3" s="365" t="n"/>
      <c r="F3" s="339" t="n"/>
      <c r="G3" s="364" t="n"/>
      <c r="H3" s="365" t="n"/>
      <c r="I3" s="339" t="n"/>
      <c r="J3" s="364" t="n"/>
      <c r="K3" s="365" t="n"/>
      <c r="L3" s="339" t="n"/>
      <c r="M3" s="364" t="n"/>
      <c r="N3" s="365" t="n"/>
      <c r="O3" s="339" t="n"/>
      <c r="P3" s="364" t="n"/>
      <c r="Q3" s="365" t="n"/>
      <c r="R3" s="339" t="n"/>
      <c r="S3" s="364" t="n"/>
      <c r="T3" s="365" t="n"/>
      <c r="U3" s="339" t="n"/>
      <c r="V3" s="364" t="n"/>
      <c r="W3" s="365" t="n"/>
      <c r="X3" s="339" t="n"/>
      <c r="Y3" s="339" t="n"/>
      <c r="Z3" s="339" t="n"/>
      <c r="AA3" s="339" t="n"/>
      <c r="AB3" s="339" t="n"/>
      <c r="AC3" s="339" t="n"/>
      <c r="AD3" s="339" t="n"/>
      <c r="AE3" s="339" t="n"/>
      <c r="AF3" s="339" t="n"/>
      <c r="AG3" s="339" t="n"/>
      <c r="AH3" s="339" t="n"/>
      <c r="AI3" s="339" t="n"/>
      <c r="AJ3" s="339" t="n"/>
      <c r="AK3" s="339" t="n"/>
      <c r="AL3" s="339" t="n"/>
      <c r="AM3" s="339" t="n"/>
      <c r="AN3" s="339" t="n"/>
      <c r="AO3" s="339" t="n"/>
      <c r="AP3" s="339" t="n"/>
      <c r="AQ3" s="339" t="n"/>
      <c r="AR3" s="339" t="n"/>
      <c r="AS3" s="339" t="n"/>
      <c r="AT3" s="339" t="n"/>
      <c r="AU3" s="339" t="n"/>
      <c r="AV3" s="339" t="n"/>
      <c r="AW3" s="339" t="n"/>
      <c r="AX3" s="339" t="n"/>
      <c r="AY3" s="339" t="n"/>
      <c r="AZ3" s="339" t="n"/>
      <c r="BA3" s="339" t="n"/>
      <c r="BB3" s="339" t="n"/>
      <c r="BC3" s="339" t="n"/>
      <c r="BD3" s="339" t="n"/>
      <c r="BE3" s="339" t="n"/>
      <c r="BF3" s="339" t="n"/>
      <c r="BG3" s="339" t="n"/>
      <c r="BH3" s="339" t="n"/>
      <c r="BI3" s="339" t="n"/>
      <c r="BJ3" s="339" t="n"/>
      <c r="BK3" s="339" t="n"/>
      <c r="BL3" s="339" t="n"/>
      <c r="BM3" s="339" t="n"/>
      <c r="BN3" s="339" t="n"/>
      <c r="BO3" s="339" t="n"/>
      <c r="BP3" s="339" t="n"/>
      <c r="BQ3" s="339" t="n"/>
      <c r="BR3" s="339" t="n"/>
      <c r="BS3" s="339" t="n"/>
      <c r="BT3" s="339" t="n"/>
      <c r="BU3" s="339" t="n"/>
      <c r="BV3" s="339" t="n"/>
      <c r="BW3" s="339" t="n"/>
      <c r="BX3" s="339" t="n"/>
      <c r="BY3" s="339" t="n"/>
      <c r="BZ3" s="339" t="n"/>
      <c r="CA3" s="339" t="n"/>
      <c r="CB3" s="339" t="n"/>
      <c r="CC3" s="354" t="n"/>
      <c r="CF3" s="366" t="n"/>
      <c r="CG3" s="367" t="n"/>
      <c r="CH3" s="367" t="n"/>
      <c r="CI3" s="367" t="n"/>
      <c r="CJ3" s="367" t="n"/>
      <c r="CK3" s="367" t="n"/>
      <c r="CL3" s="367" t="n"/>
      <c r="CM3" s="367" t="n"/>
      <c r="CN3" s="368" t="n"/>
      <c r="CP3" s="366" t="n"/>
      <c r="CQ3" s="367" t="n"/>
      <c r="CR3" s="367" t="n"/>
      <c r="CS3" s="367" t="n"/>
      <c r="CT3" s="367" t="n"/>
      <c r="CU3" s="367" t="n"/>
      <c r="CV3" s="367" t="n"/>
      <c r="CW3" s="367" t="n"/>
      <c r="CX3" s="368" t="n"/>
      <c r="CZ3" s="366" t="n"/>
      <c r="DA3" s="367" t="n"/>
      <c r="DB3" s="367" t="n"/>
      <c r="DC3" s="367" t="n"/>
      <c r="DD3" s="367" t="n"/>
      <c r="DE3" s="367" t="n"/>
      <c r="DF3" s="367" t="n"/>
      <c r="DG3" s="367" t="n"/>
      <c r="DH3" s="368" t="n"/>
      <c r="DJ3" s="366" t="n"/>
      <c r="DK3" s="367" t="n"/>
      <c r="DL3" s="367" t="n"/>
      <c r="DM3" s="367" t="n"/>
      <c r="DN3" s="367" t="n"/>
      <c r="DO3" s="367" t="n"/>
      <c r="DP3" s="367" t="n"/>
      <c r="DQ3" s="367" t="n"/>
      <c r="DR3" s="368" t="n"/>
      <c r="DT3" s="366" t="n"/>
      <c r="DU3" s="367" t="n"/>
      <c r="DV3" s="367" t="n"/>
      <c r="DW3" s="367" t="n"/>
      <c r="DX3" s="367" t="n"/>
      <c r="DY3" s="367" t="n"/>
      <c r="DZ3" s="367" t="n"/>
      <c r="EA3" s="367" t="n"/>
      <c r="EB3" s="368" t="n"/>
    </row>
    <row r="4" ht="9" customHeight="1" s="337">
      <c r="B4" s="440" t="n"/>
      <c r="C4" s="338" t="n"/>
      <c r="D4" s="380" t="n"/>
      <c r="E4" s="421" t="n"/>
      <c r="F4" s="338" t="n"/>
      <c r="G4" s="380" t="n"/>
      <c r="H4" s="421" t="n"/>
      <c r="I4" s="338" t="n"/>
      <c r="J4" s="380" t="n"/>
      <c r="K4" s="421" t="n"/>
      <c r="L4" s="338" t="n"/>
      <c r="M4" s="380" t="n"/>
      <c r="N4" s="421" t="n"/>
      <c r="O4" s="338" t="n"/>
      <c r="P4" s="380" t="n"/>
      <c r="Q4" s="441" t="n"/>
      <c r="R4" s="338" t="n"/>
      <c r="S4" s="380" t="n"/>
      <c r="T4" s="422" t="n"/>
      <c r="U4" s="338" t="n"/>
      <c r="V4" s="380" t="n"/>
      <c r="W4" s="442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83" t="n"/>
      <c r="CD4" s="30" t="n"/>
      <c r="CE4" s="31" t="n"/>
      <c r="CF4" s="248" t="inlineStr">
        <is>
          <t>移動</t>
        </is>
      </c>
      <c r="CG4" s="377" t="n"/>
      <c r="CH4" s="377" t="n"/>
      <c r="CI4" s="378" t="n"/>
      <c r="CJ4" s="379">
        <f>IF(Q4="作業者1",E7-E4,0)</f>
        <v/>
      </c>
      <c r="CK4" s="377" t="n"/>
      <c r="CL4" s="377" t="n"/>
      <c r="CM4" s="377" t="n"/>
      <c r="CN4" s="378" t="n"/>
      <c r="CP4" s="248" t="inlineStr">
        <is>
          <t>移動</t>
        </is>
      </c>
      <c r="CQ4" s="377" t="n"/>
      <c r="CR4" s="377" t="n"/>
      <c r="CS4" s="378" t="n"/>
      <c r="CT4" s="379">
        <f>IF(Q4="作業者2",E7-E4,0)</f>
        <v/>
      </c>
      <c r="CU4" s="377" t="n"/>
      <c r="CV4" s="377" t="n"/>
      <c r="CW4" s="377" t="n"/>
      <c r="CX4" s="378" t="n"/>
      <c r="CZ4" s="248" t="inlineStr">
        <is>
          <t>移動</t>
        </is>
      </c>
      <c r="DA4" s="377" t="n"/>
      <c r="DB4" s="377" t="n"/>
      <c r="DC4" s="378" t="n"/>
      <c r="DD4" s="379">
        <f>IF(Q4="作業者3",E7-E4,0)</f>
        <v/>
      </c>
      <c r="DE4" s="377" t="n"/>
      <c r="DF4" s="377" t="n"/>
      <c r="DG4" s="377" t="n"/>
      <c r="DH4" s="378" t="n"/>
      <c r="DJ4" s="248" t="inlineStr">
        <is>
          <t>移動</t>
        </is>
      </c>
      <c r="DK4" s="377" t="n"/>
      <c r="DL4" s="377" t="n"/>
      <c r="DM4" s="378" t="n"/>
      <c r="DN4" s="379">
        <f>IF(Q4="作業者4",E7-E4,0)</f>
        <v/>
      </c>
      <c r="DO4" s="377" t="n"/>
      <c r="DP4" s="377" t="n"/>
      <c r="DQ4" s="377" t="n"/>
      <c r="DR4" s="378" t="n"/>
      <c r="DT4" s="248" t="inlineStr">
        <is>
          <t>移動</t>
        </is>
      </c>
      <c r="DU4" s="377" t="n"/>
      <c r="DV4" s="377" t="n"/>
      <c r="DW4" s="378" t="n"/>
      <c r="DX4" s="379">
        <f>IF(Q4="作業者5",E7-E4,0)</f>
        <v/>
      </c>
      <c r="DY4" s="377" t="n"/>
      <c r="DZ4" s="377" t="n"/>
      <c r="EA4" s="377" t="n"/>
      <c r="EB4" s="378" t="n"/>
    </row>
    <row r="5" ht="9" customHeight="1" s="337">
      <c r="B5" s="350" t="n"/>
      <c r="C5" s="338" t="n"/>
      <c r="D5" s="380" t="n"/>
      <c r="E5" s="381" t="n"/>
      <c r="F5" s="122" t="inlineStr">
        <is>
          <t>～</t>
        </is>
      </c>
      <c r="G5" s="22" t="n"/>
      <c r="H5" s="381" t="n"/>
      <c r="I5" s="122" t="inlineStr">
        <is>
          <t>～</t>
        </is>
      </c>
      <c r="J5" s="22" t="n"/>
      <c r="K5" s="381" t="n"/>
      <c r="L5" s="122" t="inlineStr">
        <is>
          <t>～</t>
        </is>
      </c>
      <c r="M5" s="22" t="n"/>
      <c r="N5" s="381" t="n"/>
      <c r="O5" s="122" t="inlineStr">
        <is>
          <t>～</t>
        </is>
      </c>
      <c r="P5" s="22" t="n"/>
      <c r="Q5" s="382" t="n"/>
      <c r="R5" s="338" t="n"/>
      <c r="S5" s="380" t="n"/>
      <c r="T5" s="382" t="n"/>
      <c r="U5" s="338" t="n"/>
      <c r="V5" s="380" t="n"/>
      <c r="W5" s="382" t="n"/>
      <c r="X5" s="338" t="n"/>
      <c r="Y5" s="338" t="n"/>
      <c r="Z5" s="338" t="n"/>
      <c r="AA5" s="338" t="n"/>
      <c r="AB5" s="338" t="n"/>
      <c r="AC5" s="338" t="n"/>
      <c r="AD5" s="338" t="n"/>
      <c r="AE5" s="338" t="n"/>
      <c r="AF5" s="338" t="n"/>
      <c r="AG5" s="338" t="n"/>
      <c r="AH5" s="338" t="n"/>
      <c r="AI5" s="338" t="n"/>
      <c r="AJ5" s="338" t="n"/>
      <c r="AK5" s="338" t="n"/>
      <c r="AL5" s="338" t="n"/>
      <c r="AM5" s="338" t="n"/>
      <c r="AN5" s="338" t="n"/>
      <c r="AO5" s="338" t="n"/>
      <c r="AP5" s="338" t="n"/>
      <c r="AQ5" s="338" t="n"/>
      <c r="AR5" s="338" t="n"/>
      <c r="AS5" s="338" t="n"/>
      <c r="AT5" s="338" t="n"/>
      <c r="AU5" s="338" t="n"/>
      <c r="AV5" s="338" t="n"/>
      <c r="AW5" s="338" t="n"/>
      <c r="AX5" s="338" t="n"/>
      <c r="AY5" s="338" t="n"/>
      <c r="AZ5" s="338" t="n"/>
      <c r="BA5" s="338" t="n"/>
      <c r="BB5" s="338" t="n"/>
      <c r="BC5" s="338" t="n"/>
      <c r="BD5" s="338" t="n"/>
      <c r="BE5" s="338" t="n"/>
      <c r="BF5" s="338" t="n"/>
      <c r="BG5" s="338" t="n"/>
      <c r="BH5" s="338" t="n"/>
      <c r="BI5" s="338" t="n"/>
      <c r="BJ5" s="338" t="n"/>
      <c r="BK5" s="338" t="n"/>
      <c r="BL5" s="338" t="n"/>
      <c r="BM5" s="338" t="n"/>
      <c r="BN5" s="338" t="n"/>
      <c r="BO5" s="338" t="n"/>
      <c r="BP5" s="338" t="n"/>
      <c r="BQ5" s="338" t="n"/>
      <c r="BR5" s="338" t="n"/>
      <c r="BS5" s="338" t="n"/>
      <c r="BT5" s="338" t="n"/>
      <c r="BU5" s="338" t="n"/>
      <c r="BV5" s="338" t="n"/>
      <c r="BW5" s="338" t="n"/>
      <c r="BX5" s="338" t="n"/>
      <c r="BY5" s="338" t="n"/>
      <c r="BZ5" s="338" t="n"/>
      <c r="CA5" s="338" t="n"/>
      <c r="CB5" s="338" t="n"/>
      <c r="CC5" s="383" t="n"/>
      <c r="CD5" s="30" t="n"/>
      <c r="CE5" s="31" t="n"/>
      <c r="CF5" s="253" t="inlineStr">
        <is>
          <t>時間内</t>
        </is>
      </c>
      <c r="CG5" s="384" t="n"/>
      <c r="CH5" s="384" t="n"/>
      <c r="CI5" s="385" t="n"/>
      <c r="CJ5" s="386">
        <f>IF(Q4="作業者1",H7-H4,0)</f>
        <v/>
      </c>
      <c r="CK5" s="387" t="n"/>
      <c r="CL5" s="387" t="n"/>
      <c r="CM5" s="387" t="n"/>
      <c r="CN5" s="388" t="n"/>
      <c r="CP5" s="253" t="inlineStr">
        <is>
          <t>時間内</t>
        </is>
      </c>
      <c r="CQ5" s="384" t="n"/>
      <c r="CR5" s="384" t="n"/>
      <c r="CS5" s="385" t="n"/>
      <c r="CT5" s="386">
        <f>IF(Q4="作業者2",H7-H4,0)</f>
        <v/>
      </c>
      <c r="CU5" s="387" t="n"/>
      <c r="CV5" s="387" t="n"/>
      <c r="CW5" s="387" t="n"/>
      <c r="CX5" s="388" t="n"/>
      <c r="CZ5" s="253" t="inlineStr">
        <is>
          <t>時間内</t>
        </is>
      </c>
      <c r="DA5" s="384" t="n"/>
      <c r="DB5" s="384" t="n"/>
      <c r="DC5" s="385" t="n"/>
      <c r="DD5" s="386">
        <f>IF(Q4="作業者3",H7-H4,0)</f>
        <v/>
      </c>
      <c r="DE5" s="387" t="n"/>
      <c r="DF5" s="387" t="n"/>
      <c r="DG5" s="387" t="n"/>
      <c r="DH5" s="388" t="n"/>
      <c r="DJ5" s="253" t="inlineStr">
        <is>
          <t>時間内</t>
        </is>
      </c>
      <c r="DK5" s="384" t="n"/>
      <c r="DL5" s="384" t="n"/>
      <c r="DM5" s="385" t="n"/>
      <c r="DN5" s="386">
        <f>IF(Q4="作業者4",H7-H4,0)</f>
        <v/>
      </c>
      <c r="DO5" s="387" t="n"/>
      <c r="DP5" s="387" t="n"/>
      <c r="DQ5" s="387" t="n"/>
      <c r="DR5" s="388" t="n"/>
      <c r="DT5" s="253" t="inlineStr">
        <is>
          <t>時間内</t>
        </is>
      </c>
      <c r="DU5" s="384" t="n"/>
      <c r="DV5" s="384" t="n"/>
      <c r="DW5" s="385" t="n"/>
      <c r="DX5" s="386">
        <f>IF(Q4="作業者5",H7-H4,0)</f>
        <v/>
      </c>
      <c r="DY5" s="387" t="n"/>
      <c r="DZ5" s="387" t="n"/>
      <c r="EA5" s="387" t="n"/>
      <c r="EB5" s="388" t="n"/>
    </row>
    <row r="6" ht="9" customHeight="1" s="337">
      <c r="B6" s="350" t="n"/>
      <c r="C6" s="338" t="n"/>
      <c r="D6" s="380" t="n"/>
      <c r="E6" s="23" t="n"/>
      <c r="F6" s="338" t="n"/>
      <c r="G6" s="24" t="n"/>
      <c r="H6" s="23" t="n"/>
      <c r="I6" s="338" t="n"/>
      <c r="J6" s="24" t="n"/>
      <c r="K6" s="23" t="n"/>
      <c r="L6" s="338" t="n"/>
      <c r="M6" s="24" t="n"/>
      <c r="N6" s="23" t="n"/>
      <c r="O6" s="338" t="n"/>
      <c r="P6" s="24" t="n"/>
      <c r="Q6" s="382" t="n"/>
      <c r="R6" s="338" t="n"/>
      <c r="S6" s="380" t="n"/>
      <c r="T6" s="382" t="n"/>
      <c r="U6" s="338" t="n"/>
      <c r="V6" s="380" t="n"/>
      <c r="W6" s="382" t="n"/>
      <c r="X6" s="338" t="n"/>
      <c r="Y6" s="338" t="n"/>
      <c r="Z6" s="338" t="n"/>
      <c r="AA6" s="338" t="n"/>
      <c r="AB6" s="338" t="n"/>
      <c r="AC6" s="338" t="n"/>
      <c r="AD6" s="338" t="n"/>
      <c r="AE6" s="338" t="n"/>
      <c r="AF6" s="338" t="n"/>
      <c r="AG6" s="338" t="n"/>
      <c r="AH6" s="338" t="n"/>
      <c r="AI6" s="338" t="n"/>
      <c r="AJ6" s="338" t="n"/>
      <c r="AK6" s="338" t="n"/>
      <c r="AL6" s="338" t="n"/>
      <c r="AM6" s="338" t="n"/>
      <c r="AN6" s="338" t="n"/>
      <c r="AO6" s="338" t="n"/>
      <c r="AP6" s="338" t="n"/>
      <c r="AQ6" s="338" t="n"/>
      <c r="AR6" s="338" t="n"/>
      <c r="AS6" s="338" t="n"/>
      <c r="AT6" s="338" t="n"/>
      <c r="AU6" s="338" t="n"/>
      <c r="AV6" s="338" t="n"/>
      <c r="AW6" s="338" t="n"/>
      <c r="AX6" s="338" t="n"/>
      <c r="AY6" s="338" t="n"/>
      <c r="AZ6" s="338" t="n"/>
      <c r="BA6" s="338" t="n"/>
      <c r="BB6" s="338" t="n"/>
      <c r="BC6" s="338" t="n"/>
      <c r="BD6" s="338" t="n"/>
      <c r="BE6" s="338" t="n"/>
      <c r="BF6" s="338" t="n"/>
      <c r="BG6" s="338" t="n"/>
      <c r="BH6" s="338" t="n"/>
      <c r="BI6" s="338" t="n"/>
      <c r="BJ6" s="338" t="n"/>
      <c r="BK6" s="338" t="n"/>
      <c r="BL6" s="338" t="n"/>
      <c r="BM6" s="338" t="n"/>
      <c r="BN6" s="338" t="n"/>
      <c r="BO6" s="338" t="n"/>
      <c r="BP6" s="338" t="n"/>
      <c r="BQ6" s="338" t="n"/>
      <c r="BR6" s="338" t="n"/>
      <c r="BS6" s="338" t="n"/>
      <c r="BT6" s="338" t="n"/>
      <c r="BU6" s="338" t="n"/>
      <c r="BV6" s="338" t="n"/>
      <c r="BW6" s="338" t="n"/>
      <c r="BX6" s="338" t="n"/>
      <c r="BY6" s="338" t="n"/>
      <c r="BZ6" s="338" t="n"/>
      <c r="CA6" s="338" t="n"/>
      <c r="CB6" s="338" t="n"/>
      <c r="CC6" s="383" t="n"/>
      <c r="CD6" s="30" t="n"/>
      <c r="CE6" s="31" t="n"/>
      <c r="CF6" s="253" t="inlineStr">
        <is>
          <t>時間外</t>
        </is>
      </c>
      <c r="CG6" s="384" t="n"/>
      <c r="CH6" s="384" t="n"/>
      <c r="CI6" s="385" t="n"/>
      <c r="CJ6" s="386">
        <f>IF(Q4="作業者1",K7-K4,0)</f>
        <v/>
      </c>
      <c r="CK6" s="387" t="n"/>
      <c r="CL6" s="387" t="n"/>
      <c r="CM6" s="387" t="n"/>
      <c r="CN6" s="388" t="n"/>
      <c r="CP6" s="253" t="inlineStr">
        <is>
          <t>時間外</t>
        </is>
      </c>
      <c r="CQ6" s="384" t="n"/>
      <c r="CR6" s="384" t="n"/>
      <c r="CS6" s="385" t="n"/>
      <c r="CT6" s="386">
        <f>IF(Q4="作業者2",K7-K4,0)</f>
        <v/>
      </c>
      <c r="CU6" s="387" t="n"/>
      <c r="CV6" s="387" t="n"/>
      <c r="CW6" s="387" t="n"/>
      <c r="CX6" s="388" t="n"/>
      <c r="CZ6" s="253" t="inlineStr">
        <is>
          <t>時間外</t>
        </is>
      </c>
      <c r="DA6" s="384" t="n"/>
      <c r="DB6" s="384" t="n"/>
      <c r="DC6" s="385" t="n"/>
      <c r="DD6" s="386">
        <f>IF(Q4="作業者3",K7-K4,0)</f>
        <v/>
      </c>
      <c r="DE6" s="387" t="n"/>
      <c r="DF6" s="387" t="n"/>
      <c r="DG6" s="387" t="n"/>
      <c r="DH6" s="388" t="n"/>
      <c r="DJ6" s="253" t="inlineStr">
        <is>
          <t>時間外</t>
        </is>
      </c>
      <c r="DK6" s="384" t="n"/>
      <c r="DL6" s="384" t="n"/>
      <c r="DM6" s="385" t="n"/>
      <c r="DN6" s="386">
        <f>IF(Q4="作業者4",K7-K4,0)</f>
        <v/>
      </c>
      <c r="DO6" s="387" t="n"/>
      <c r="DP6" s="387" t="n"/>
      <c r="DQ6" s="387" t="n"/>
      <c r="DR6" s="388" t="n"/>
      <c r="DT6" s="253" t="inlineStr">
        <is>
          <t>時間外</t>
        </is>
      </c>
      <c r="DU6" s="384" t="n"/>
      <c r="DV6" s="384" t="n"/>
      <c r="DW6" s="385" t="n"/>
      <c r="DX6" s="386">
        <f>IF(Q4="作業者5",K7-K4,0)</f>
        <v/>
      </c>
      <c r="DY6" s="387" t="n"/>
      <c r="DZ6" s="387" t="n"/>
      <c r="EA6" s="387" t="n"/>
      <c r="EB6" s="388" t="n"/>
    </row>
    <row r="7" ht="9" customHeight="1" s="337">
      <c r="B7" s="389" t="n"/>
      <c r="C7" s="390" t="n"/>
      <c r="D7" s="391" t="n"/>
      <c r="E7" s="392" t="n"/>
      <c r="F7" s="390" t="n"/>
      <c r="G7" s="391" t="n"/>
      <c r="H7" s="392" t="n"/>
      <c r="I7" s="390" t="n"/>
      <c r="J7" s="391" t="n"/>
      <c r="K7" s="392" t="n"/>
      <c r="L7" s="390" t="n"/>
      <c r="M7" s="391" t="n"/>
      <c r="N7" s="392" t="n"/>
      <c r="O7" s="390" t="n"/>
      <c r="P7" s="391" t="n"/>
      <c r="Q7" s="382" t="n"/>
      <c r="R7" s="338" t="n"/>
      <c r="S7" s="380" t="n"/>
      <c r="T7" s="393" t="n"/>
      <c r="U7" s="390" t="n"/>
      <c r="V7" s="391" t="n"/>
      <c r="W7" s="393" t="n"/>
      <c r="X7" s="390" t="n"/>
      <c r="Y7" s="390" t="n"/>
      <c r="Z7" s="390" t="n"/>
      <c r="AA7" s="390" t="n"/>
      <c r="AB7" s="390" t="n"/>
      <c r="AC7" s="390" t="n"/>
      <c r="AD7" s="390" t="n"/>
      <c r="AE7" s="390" t="n"/>
      <c r="AF7" s="390" t="n"/>
      <c r="AG7" s="390" t="n"/>
      <c r="AH7" s="390" t="n"/>
      <c r="AI7" s="390" t="n"/>
      <c r="AJ7" s="390" t="n"/>
      <c r="AK7" s="390" t="n"/>
      <c r="AL7" s="390" t="n"/>
      <c r="AM7" s="390" t="n"/>
      <c r="AN7" s="390" t="n"/>
      <c r="AO7" s="390" t="n"/>
      <c r="AP7" s="390" t="n"/>
      <c r="AQ7" s="390" t="n"/>
      <c r="AR7" s="390" t="n"/>
      <c r="AS7" s="390" t="n"/>
      <c r="AT7" s="390" t="n"/>
      <c r="AU7" s="390" t="n"/>
      <c r="AV7" s="390" t="n"/>
      <c r="AW7" s="390" t="n"/>
      <c r="AX7" s="390" t="n"/>
      <c r="AY7" s="390" t="n"/>
      <c r="AZ7" s="390" t="n"/>
      <c r="BA7" s="390" t="n"/>
      <c r="BB7" s="390" t="n"/>
      <c r="BC7" s="390" t="n"/>
      <c r="BD7" s="390" t="n"/>
      <c r="BE7" s="390" t="n"/>
      <c r="BF7" s="390" t="n"/>
      <c r="BG7" s="390" t="n"/>
      <c r="BH7" s="390" t="n"/>
      <c r="BI7" s="390" t="n"/>
      <c r="BJ7" s="390" t="n"/>
      <c r="BK7" s="390" t="n"/>
      <c r="BL7" s="390" t="n"/>
      <c r="BM7" s="390" t="n"/>
      <c r="BN7" s="390" t="n"/>
      <c r="BO7" s="390" t="n"/>
      <c r="BP7" s="390" t="n"/>
      <c r="BQ7" s="390" t="n"/>
      <c r="BR7" s="390" t="n"/>
      <c r="BS7" s="390" t="n"/>
      <c r="BT7" s="390" t="n"/>
      <c r="BU7" s="390" t="n"/>
      <c r="BV7" s="390" t="n"/>
      <c r="BW7" s="390" t="n"/>
      <c r="BX7" s="390" t="n"/>
      <c r="BY7" s="390" t="n"/>
      <c r="BZ7" s="390" t="n"/>
      <c r="CA7" s="390" t="n"/>
      <c r="CB7" s="390" t="n"/>
      <c r="CC7" s="394" t="n"/>
      <c r="CD7" s="30" t="n"/>
      <c r="CE7" s="31" t="n"/>
      <c r="CF7" s="254" t="inlineStr">
        <is>
          <t>休日</t>
        </is>
      </c>
      <c r="CG7" s="395" t="n"/>
      <c r="CH7" s="395" t="n"/>
      <c r="CI7" s="396" t="n"/>
      <c r="CJ7" s="386">
        <f>IF(Q4="作業者1",N7-N4,0)</f>
        <v/>
      </c>
      <c r="CK7" s="387" t="n"/>
      <c r="CL7" s="387" t="n"/>
      <c r="CM7" s="387" t="n"/>
      <c r="CN7" s="388" t="n"/>
      <c r="CP7" s="253" t="inlineStr">
        <is>
          <t>休日</t>
        </is>
      </c>
      <c r="CQ7" s="384" t="n"/>
      <c r="CR7" s="384" t="n"/>
      <c r="CS7" s="385" t="n"/>
      <c r="CT7" s="386">
        <f>IF(Q4="作業者2",N7-N4,0)</f>
        <v/>
      </c>
      <c r="CU7" s="387" t="n"/>
      <c r="CV7" s="387" t="n"/>
      <c r="CW7" s="387" t="n"/>
      <c r="CX7" s="388" t="n"/>
      <c r="CZ7" s="254" t="inlineStr">
        <is>
          <t>休日</t>
        </is>
      </c>
      <c r="DA7" s="395" t="n"/>
      <c r="DB7" s="395" t="n"/>
      <c r="DC7" s="396" t="n"/>
      <c r="DD7" s="397">
        <f>IF(Q4="作業者3",N7-N4,0)</f>
        <v/>
      </c>
      <c r="DE7" s="395" t="n"/>
      <c r="DF7" s="395" t="n"/>
      <c r="DG7" s="395" t="n"/>
      <c r="DH7" s="396" t="n"/>
      <c r="DJ7" s="254" t="inlineStr">
        <is>
          <t>休日</t>
        </is>
      </c>
      <c r="DK7" s="395" t="n"/>
      <c r="DL7" s="395" t="n"/>
      <c r="DM7" s="396" t="n"/>
      <c r="DN7" s="397">
        <f>IF(Q4="作業者4",N7-N4,0)</f>
        <v/>
      </c>
      <c r="DO7" s="395" t="n"/>
      <c r="DP7" s="395" t="n"/>
      <c r="DQ7" s="395" t="n"/>
      <c r="DR7" s="396" t="n"/>
      <c r="DT7" s="254" t="inlineStr">
        <is>
          <t>休日</t>
        </is>
      </c>
      <c r="DU7" s="395" t="n"/>
      <c r="DV7" s="395" t="n"/>
      <c r="DW7" s="396" t="n"/>
      <c r="DX7" s="397">
        <f>IF(Q4="作業者5",N7-N4,0)</f>
        <v/>
      </c>
      <c r="DY7" s="395" t="n"/>
      <c r="DZ7" s="395" t="n"/>
      <c r="EA7" s="395" t="n"/>
      <c r="EB7" s="396" t="n"/>
    </row>
    <row r="8" ht="9" customHeight="1" s="337">
      <c r="B8" s="398" t="n"/>
      <c r="C8" s="372" t="n"/>
      <c r="D8" s="373" t="n"/>
      <c r="E8" s="399" t="n"/>
      <c r="F8" s="372" t="n"/>
      <c r="G8" s="373" t="n"/>
      <c r="H8" s="399" t="n"/>
      <c r="I8" s="372" t="n"/>
      <c r="J8" s="373" t="n"/>
      <c r="K8" s="399" t="n"/>
      <c r="L8" s="372" t="n"/>
      <c r="M8" s="373" t="n"/>
      <c r="N8" s="399" t="n"/>
      <c r="O8" s="372" t="n"/>
      <c r="P8" s="373" t="n"/>
      <c r="Q8" s="371" t="n"/>
      <c r="R8" s="372" t="n"/>
      <c r="S8" s="373" t="n"/>
      <c r="T8" s="400" t="n"/>
      <c r="U8" s="372" t="n"/>
      <c r="V8" s="373" t="n"/>
      <c r="W8" s="443" t="n"/>
      <c r="X8" s="372" t="n"/>
      <c r="Y8" s="372" t="n"/>
      <c r="Z8" s="372" t="n"/>
      <c r="AA8" s="372" t="n"/>
      <c r="AB8" s="372" t="n"/>
      <c r="AC8" s="372" t="n"/>
      <c r="AD8" s="372" t="n"/>
      <c r="AE8" s="372" t="n"/>
      <c r="AF8" s="372" t="n"/>
      <c r="AG8" s="372" t="n"/>
      <c r="AH8" s="372" t="n"/>
      <c r="AI8" s="372" t="n"/>
      <c r="AJ8" s="372" t="n"/>
      <c r="AK8" s="372" t="n"/>
      <c r="AL8" s="372" t="n"/>
      <c r="AM8" s="372" t="n"/>
      <c r="AN8" s="372" t="n"/>
      <c r="AO8" s="372" t="n"/>
      <c r="AP8" s="372" t="n"/>
      <c r="AQ8" s="372" t="n"/>
      <c r="AR8" s="372" t="n"/>
      <c r="AS8" s="372" t="n"/>
      <c r="AT8" s="372" t="n"/>
      <c r="AU8" s="372" t="n"/>
      <c r="AV8" s="372" t="n"/>
      <c r="AW8" s="372" t="n"/>
      <c r="AX8" s="372" t="n"/>
      <c r="AY8" s="372" t="n"/>
      <c r="AZ8" s="372" t="n"/>
      <c r="BA8" s="372" t="n"/>
      <c r="BB8" s="372" t="n"/>
      <c r="BC8" s="372" t="n"/>
      <c r="BD8" s="372" t="n"/>
      <c r="BE8" s="372" t="n"/>
      <c r="BF8" s="372" t="n"/>
      <c r="BG8" s="372" t="n"/>
      <c r="BH8" s="372" t="n"/>
      <c r="BI8" s="372" t="n"/>
      <c r="BJ8" s="372" t="n"/>
      <c r="BK8" s="372" t="n"/>
      <c r="BL8" s="372" t="n"/>
      <c r="BM8" s="372" t="n"/>
      <c r="BN8" s="372" t="n"/>
      <c r="BO8" s="372" t="n"/>
      <c r="BP8" s="372" t="n"/>
      <c r="BQ8" s="372" t="n"/>
      <c r="BR8" s="372" t="n"/>
      <c r="BS8" s="372" t="n"/>
      <c r="BT8" s="372" t="n"/>
      <c r="BU8" s="372" t="n"/>
      <c r="BV8" s="372" t="n"/>
      <c r="BW8" s="372" t="n"/>
      <c r="BX8" s="372" t="n"/>
      <c r="BY8" s="372" t="n"/>
      <c r="BZ8" s="372" t="n"/>
      <c r="CA8" s="372" t="n"/>
      <c r="CB8" s="372" t="n"/>
      <c r="CC8" s="402" t="n"/>
      <c r="CD8" s="30" t="n"/>
      <c r="CE8" s="31" t="n"/>
      <c r="CF8" s="259" t="inlineStr">
        <is>
          <t>移動</t>
        </is>
      </c>
      <c r="CG8" s="403" t="n"/>
      <c r="CH8" s="403" t="n"/>
      <c r="CI8" s="404" t="n"/>
      <c r="CJ8" s="379">
        <f>IF(Q8="作業者1",E11-E8,0)</f>
        <v/>
      </c>
      <c r="CK8" s="377" t="n"/>
      <c r="CL8" s="377" t="n"/>
      <c r="CM8" s="377" t="n"/>
      <c r="CN8" s="378" t="n"/>
      <c r="CP8" s="248" t="inlineStr">
        <is>
          <t>移動</t>
        </is>
      </c>
      <c r="CQ8" s="377" t="n"/>
      <c r="CR8" s="377" t="n"/>
      <c r="CS8" s="378" t="n"/>
      <c r="CT8" s="379">
        <f>IF(Q8="作業者2",E11-E8,0)</f>
        <v/>
      </c>
      <c r="CU8" s="377" t="n"/>
      <c r="CV8" s="377" t="n"/>
      <c r="CW8" s="377" t="n"/>
      <c r="CX8" s="378" t="n"/>
      <c r="CZ8" s="259" t="inlineStr">
        <is>
          <t>移動</t>
        </is>
      </c>
      <c r="DA8" s="403" t="n"/>
      <c r="DB8" s="403" t="n"/>
      <c r="DC8" s="404" t="n"/>
      <c r="DD8" s="405">
        <f>IF(Q8="作業者3",E11-E8,0)</f>
        <v/>
      </c>
      <c r="DE8" s="406" t="n"/>
      <c r="DF8" s="406" t="n"/>
      <c r="DG8" s="406" t="n"/>
      <c r="DH8" s="407" t="n"/>
      <c r="DJ8" s="259" t="inlineStr">
        <is>
          <t>移動</t>
        </is>
      </c>
      <c r="DK8" s="403" t="n"/>
      <c r="DL8" s="403" t="n"/>
      <c r="DM8" s="404" t="n"/>
      <c r="DN8" s="379">
        <f>IF(Q8="作業者4",E11-E8,0)</f>
        <v/>
      </c>
      <c r="DO8" s="377" t="n"/>
      <c r="DP8" s="377" t="n"/>
      <c r="DQ8" s="377" t="n"/>
      <c r="DR8" s="378" t="n"/>
      <c r="DT8" s="259" t="inlineStr">
        <is>
          <t>移動</t>
        </is>
      </c>
      <c r="DU8" s="403" t="n"/>
      <c r="DV8" s="403" t="n"/>
      <c r="DW8" s="404" t="n"/>
      <c r="DX8" s="379">
        <f>IF(Q8="作業者5",E11-E8,0)</f>
        <v/>
      </c>
      <c r="DY8" s="377" t="n"/>
      <c r="DZ8" s="377" t="n"/>
      <c r="EA8" s="377" t="n"/>
      <c r="EB8" s="378" t="n"/>
    </row>
    <row r="9" ht="9" customHeight="1" s="337">
      <c r="B9" s="350" t="n"/>
      <c r="C9" s="338" t="n"/>
      <c r="D9" s="380" t="n"/>
      <c r="E9" s="381" t="n"/>
      <c r="F9" s="122" t="inlineStr">
        <is>
          <t>～</t>
        </is>
      </c>
      <c r="G9" s="22" t="n"/>
      <c r="H9" s="381" t="n"/>
      <c r="I9" s="122" t="inlineStr">
        <is>
          <t>～</t>
        </is>
      </c>
      <c r="J9" s="22" t="n"/>
      <c r="K9" s="381" t="n"/>
      <c r="L9" s="122" t="inlineStr">
        <is>
          <t>～</t>
        </is>
      </c>
      <c r="M9" s="22" t="n"/>
      <c r="N9" s="381" t="n"/>
      <c r="O9" s="122" t="inlineStr">
        <is>
          <t>～</t>
        </is>
      </c>
      <c r="P9" s="22" t="n"/>
      <c r="Q9" s="382" t="n"/>
      <c r="R9" s="338" t="n"/>
      <c r="S9" s="380" t="n"/>
      <c r="T9" s="382" t="n"/>
      <c r="U9" s="338" t="n"/>
      <c r="V9" s="380" t="n"/>
      <c r="W9" s="382" t="n"/>
      <c r="X9" s="338" t="n"/>
      <c r="Y9" s="338" t="n"/>
      <c r="Z9" s="338" t="n"/>
      <c r="AA9" s="338" t="n"/>
      <c r="AB9" s="338" t="n"/>
      <c r="AC9" s="338" t="n"/>
      <c r="AD9" s="338" t="n"/>
      <c r="AE9" s="338" t="n"/>
      <c r="AF9" s="338" t="n"/>
      <c r="AG9" s="338" t="n"/>
      <c r="AH9" s="338" t="n"/>
      <c r="AI9" s="338" t="n"/>
      <c r="AJ9" s="338" t="n"/>
      <c r="AK9" s="338" t="n"/>
      <c r="AL9" s="338" t="n"/>
      <c r="AM9" s="338" t="n"/>
      <c r="AN9" s="338" t="n"/>
      <c r="AO9" s="338" t="n"/>
      <c r="AP9" s="338" t="n"/>
      <c r="AQ9" s="338" t="n"/>
      <c r="AR9" s="338" t="n"/>
      <c r="AS9" s="338" t="n"/>
      <c r="AT9" s="338" t="n"/>
      <c r="AU9" s="338" t="n"/>
      <c r="AV9" s="338" t="n"/>
      <c r="AW9" s="338" t="n"/>
      <c r="AX9" s="338" t="n"/>
      <c r="AY9" s="338" t="n"/>
      <c r="AZ9" s="338" t="n"/>
      <c r="BA9" s="338" t="n"/>
      <c r="BB9" s="338" t="n"/>
      <c r="BC9" s="338" t="n"/>
      <c r="BD9" s="338" t="n"/>
      <c r="BE9" s="338" t="n"/>
      <c r="BF9" s="338" t="n"/>
      <c r="BG9" s="338" t="n"/>
      <c r="BH9" s="338" t="n"/>
      <c r="BI9" s="338" t="n"/>
      <c r="BJ9" s="338" t="n"/>
      <c r="BK9" s="338" t="n"/>
      <c r="BL9" s="338" t="n"/>
      <c r="BM9" s="338" t="n"/>
      <c r="BN9" s="338" t="n"/>
      <c r="BO9" s="338" t="n"/>
      <c r="BP9" s="338" t="n"/>
      <c r="BQ9" s="338" t="n"/>
      <c r="BR9" s="338" t="n"/>
      <c r="BS9" s="338" t="n"/>
      <c r="BT9" s="338" t="n"/>
      <c r="BU9" s="338" t="n"/>
      <c r="BV9" s="338" t="n"/>
      <c r="BW9" s="338" t="n"/>
      <c r="BX9" s="338" t="n"/>
      <c r="BY9" s="338" t="n"/>
      <c r="BZ9" s="338" t="n"/>
      <c r="CA9" s="338" t="n"/>
      <c r="CB9" s="338" t="n"/>
      <c r="CC9" s="383" t="n"/>
      <c r="CD9" s="30" t="n"/>
      <c r="CE9" s="31" t="n"/>
      <c r="CF9" s="253" t="inlineStr">
        <is>
          <t>時間内</t>
        </is>
      </c>
      <c r="CG9" s="384" t="n"/>
      <c r="CH9" s="384" t="n"/>
      <c r="CI9" s="385" t="n"/>
      <c r="CJ9" s="386">
        <f>IF(Q8="作業者1",H11-H8,0)</f>
        <v/>
      </c>
      <c r="CK9" s="387" t="n"/>
      <c r="CL9" s="387" t="n"/>
      <c r="CM9" s="387" t="n"/>
      <c r="CN9" s="388" t="n"/>
      <c r="CP9" s="253" t="inlineStr">
        <is>
          <t>時間内</t>
        </is>
      </c>
      <c r="CQ9" s="384" t="n"/>
      <c r="CR9" s="384" t="n"/>
      <c r="CS9" s="385" t="n"/>
      <c r="CT9" s="386">
        <f>IF(Q8="作業者2",H11-H8,0)</f>
        <v/>
      </c>
      <c r="CU9" s="387" t="n"/>
      <c r="CV9" s="387" t="n"/>
      <c r="CW9" s="387" t="n"/>
      <c r="CX9" s="388" t="n"/>
      <c r="CZ9" s="253" t="inlineStr">
        <is>
          <t>時間内</t>
        </is>
      </c>
      <c r="DA9" s="384" t="n"/>
      <c r="DB9" s="384" t="n"/>
      <c r="DC9" s="385" t="n"/>
      <c r="DD9" s="386">
        <f>IF(Q8="作業者3",H11-H8,0)</f>
        <v/>
      </c>
      <c r="DE9" s="387" t="n"/>
      <c r="DF9" s="387" t="n"/>
      <c r="DG9" s="387" t="n"/>
      <c r="DH9" s="388" t="n"/>
      <c r="DJ9" s="253" t="inlineStr">
        <is>
          <t>時間内</t>
        </is>
      </c>
      <c r="DK9" s="384" t="n"/>
      <c r="DL9" s="384" t="n"/>
      <c r="DM9" s="385" t="n"/>
      <c r="DN9" s="386">
        <f>IF(Q8="作業者4",H11-H8,0)</f>
        <v/>
      </c>
      <c r="DO9" s="387" t="n"/>
      <c r="DP9" s="387" t="n"/>
      <c r="DQ9" s="387" t="n"/>
      <c r="DR9" s="388" t="n"/>
      <c r="DT9" s="253" t="inlineStr">
        <is>
          <t>時間内</t>
        </is>
      </c>
      <c r="DU9" s="384" t="n"/>
      <c r="DV9" s="384" t="n"/>
      <c r="DW9" s="385" t="n"/>
      <c r="DX9" s="386">
        <f>IF(Q8="作業者5",H11-H8,0)</f>
        <v/>
      </c>
      <c r="DY9" s="387" t="n"/>
      <c r="DZ9" s="387" t="n"/>
      <c r="EA9" s="387" t="n"/>
      <c r="EB9" s="388" t="n"/>
    </row>
    <row r="10" ht="9" customHeight="1" s="337">
      <c r="B10" s="350" t="n"/>
      <c r="C10" s="338" t="n"/>
      <c r="D10" s="380" t="n"/>
      <c r="E10" s="23" t="n"/>
      <c r="F10" s="338" t="n"/>
      <c r="G10" s="24" t="n"/>
      <c r="H10" s="23" t="n"/>
      <c r="I10" s="338" t="n"/>
      <c r="J10" s="24" t="n"/>
      <c r="K10" s="23" t="n"/>
      <c r="L10" s="338" t="n"/>
      <c r="M10" s="24" t="n"/>
      <c r="N10" s="23" t="n"/>
      <c r="O10" s="338" t="n"/>
      <c r="P10" s="24" t="n"/>
      <c r="Q10" s="382" t="n"/>
      <c r="R10" s="338" t="n"/>
      <c r="S10" s="380" t="n"/>
      <c r="T10" s="382" t="n"/>
      <c r="U10" s="338" t="n"/>
      <c r="V10" s="380" t="n"/>
      <c r="W10" s="382" t="n"/>
      <c r="X10" s="338" t="n"/>
      <c r="Y10" s="338" t="n"/>
      <c r="Z10" s="338" t="n"/>
      <c r="AA10" s="338" t="n"/>
      <c r="AB10" s="338" t="n"/>
      <c r="AC10" s="338" t="n"/>
      <c r="AD10" s="338" t="n"/>
      <c r="AE10" s="338" t="n"/>
      <c r="AF10" s="338" t="n"/>
      <c r="AG10" s="338" t="n"/>
      <c r="AH10" s="338" t="n"/>
      <c r="AI10" s="338" t="n"/>
      <c r="AJ10" s="338" t="n"/>
      <c r="AK10" s="338" t="n"/>
      <c r="AL10" s="338" t="n"/>
      <c r="AM10" s="338" t="n"/>
      <c r="AN10" s="338" t="n"/>
      <c r="AO10" s="338" t="n"/>
      <c r="AP10" s="338" t="n"/>
      <c r="AQ10" s="338" t="n"/>
      <c r="AR10" s="338" t="n"/>
      <c r="AS10" s="338" t="n"/>
      <c r="AT10" s="338" t="n"/>
      <c r="AU10" s="338" t="n"/>
      <c r="AV10" s="338" t="n"/>
      <c r="AW10" s="338" t="n"/>
      <c r="AX10" s="338" t="n"/>
      <c r="AY10" s="338" t="n"/>
      <c r="AZ10" s="338" t="n"/>
      <c r="BA10" s="338" t="n"/>
      <c r="BB10" s="338" t="n"/>
      <c r="BC10" s="338" t="n"/>
      <c r="BD10" s="338" t="n"/>
      <c r="BE10" s="338" t="n"/>
      <c r="BF10" s="338" t="n"/>
      <c r="BG10" s="338" t="n"/>
      <c r="BH10" s="338" t="n"/>
      <c r="BI10" s="338" t="n"/>
      <c r="BJ10" s="338" t="n"/>
      <c r="BK10" s="338" t="n"/>
      <c r="BL10" s="338" t="n"/>
      <c r="BM10" s="338" t="n"/>
      <c r="BN10" s="338" t="n"/>
      <c r="BO10" s="338" t="n"/>
      <c r="BP10" s="338" t="n"/>
      <c r="BQ10" s="338" t="n"/>
      <c r="BR10" s="338" t="n"/>
      <c r="BS10" s="338" t="n"/>
      <c r="BT10" s="338" t="n"/>
      <c r="BU10" s="338" t="n"/>
      <c r="BV10" s="338" t="n"/>
      <c r="BW10" s="338" t="n"/>
      <c r="BX10" s="338" t="n"/>
      <c r="BY10" s="338" t="n"/>
      <c r="BZ10" s="338" t="n"/>
      <c r="CA10" s="338" t="n"/>
      <c r="CB10" s="338" t="n"/>
      <c r="CC10" s="383" t="n"/>
      <c r="CD10" s="30" t="n"/>
      <c r="CE10" s="31" t="n"/>
      <c r="CF10" s="253" t="inlineStr">
        <is>
          <t>時間外</t>
        </is>
      </c>
      <c r="CG10" s="384" t="n"/>
      <c r="CH10" s="384" t="n"/>
      <c r="CI10" s="385" t="n"/>
      <c r="CJ10" s="386">
        <f>IF(Q8="作業者1",K11-K8,0)</f>
        <v/>
      </c>
      <c r="CK10" s="387" t="n"/>
      <c r="CL10" s="387" t="n"/>
      <c r="CM10" s="387" t="n"/>
      <c r="CN10" s="388" t="n"/>
      <c r="CP10" s="253" t="inlineStr">
        <is>
          <t>時間外</t>
        </is>
      </c>
      <c r="CQ10" s="384" t="n"/>
      <c r="CR10" s="384" t="n"/>
      <c r="CS10" s="385" t="n"/>
      <c r="CT10" s="386">
        <f>IF(Q8="作業者2",K11-K8,0)</f>
        <v/>
      </c>
      <c r="CU10" s="387" t="n"/>
      <c r="CV10" s="387" t="n"/>
      <c r="CW10" s="387" t="n"/>
      <c r="CX10" s="388" t="n"/>
      <c r="CZ10" s="253" t="inlineStr">
        <is>
          <t>時間外</t>
        </is>
      </c>
      <c r="DA10" s="384" t="n"/>
      <c r="DB10" s="384" t="n"/>
      <c r="DC10" s="385" t="n"/>
      <c r="DD10" s="386">
        <f>IF(Q8="作業者3",K11-K8,0)</f>
        <v/>
      </c>
      <c r="DE10" s="387" t="n"/>
      <c r="DF10" s="387" t="n"/>
      <c r="DG10" s="387" t="n"/>
      <c r="DH10" s="388" t="n"/>
      <c r="DJ10" s="253" t="inlineStr">
        <is>
          <t>時間外</t>
        </is>
      </c>
      <c r="DK10" s="384" t="n"/>
      <c r="DL10" s="384" t="n"/>
      <c r="DM10" s="385" t="n"/>
      <c r="DN10" s="386">
        <f>IF(Q8="作業者4",K11-K8,0)</f>
        <v/>
      </c>
      <c r="DO10" s="387" t="n"/>
      <c r="DP10" s="387" t="n"/>
      <c r="DQ10" s="387" t="n"/>
      <c r="DR10" s="388" t="n"/>
      <c r="DT10" s="253" t="inlineStr">
        <is>
          <t>時間外</t>
        </is>
      </c>
      <c r="DU10" s="384" t="n"/>
      <c r="DV10" s="384" t="n"/>
      <c r="DW10" s="385" t="n"/>
      <c r="DX10" s="386">
        <f>IF(Q8="作業者5",K11-K8,0)</f>
        <v/>
      </c>
      <c r="DY10" s="387" t="n"/>
      <c r="DZ10" s="387" t="n"/>
      <c r="EA10" s="387" t="n"/>
      <c r="EB10" s="388" t="n"/>
    </row>
    <row r="11" ht="9" customHeight="1" s="337">
      <c r="B11" s="389" t="n"/>
      <c r="C11" s="390" t="n"/>
      <c r="D11" s="391" t="n"/>
      <c r="E11" s="392" t="n"/>
      <c r="F11" s="390" t="n"/>
      <c r="G11" s="391" t="n"/>
      <c r="H11" s="392" t="n"/>
      <c r="I11" s="390" t="n"/>
      <c r="J11" s="391" t="n"/>
      <c r="K11" s="392" t="n"/>
      <c r="L11" s="390" t="n"/>
      <c r="M11" s="391" t="n"/>
      <c r="N11" s="392" t="n"/>
      <c r="O11" s="390" t="n"/>
      <c r="P11" s="391" t="n"/>
      <c r="Q11" s="393" t="n"/>
      <c r="R11" s="390" t="n"/>
      <c r="S11" s="391" t="n"/>
      <c r="T11" s="393" t="n"/>
      <c r="U11" s="390" t="n"/>
      <c r="V11" s="391" t="n"/>
      <c r="W11" s="393" t="n"/>
      <c r="X11" s="390" t="n"/>
      <c r="Y11" s="390" t="n"/>
      <c r="Z11" s="390" t="n"/>
      <c r="AA11" s="390" t="n"/>
      <c r="AB11" s="390" t="n"/>
      <c r="AC11" s="390" t="n"/>
      <c r="AD11" s="390" t="n"/>
      <c r="AE11" s="390" t="n"/>
      <c r="AF11" s="390" t="n"/>
      <c r="AG11" s="390" t="n"/>
      <c r="AH11" s="390" t="n"/>
      <c r="AI11" s="390" t="n"/>
      <c r="AJ11" s="390" t="n"/>
      <c r="AK11" s="390" t="n"/>
      <c r="AL11" s="390" t="n"/>
      <c r="AM11" s="390" t="n"/>
      <c r="AN11" s="390" t="n"/>
      <c r="AO11" s="390" t="n"/>
      <c r="AP11" s="390" t="n"/>
      <c r="AQ11" s="390" t="n"/>
      <c r="AR11" s="390" t="n"/>
      <c r="AS11" s="390" t="n"/>
      <c r="AT11" s="390" t="n"/>
      <c r="AU11" s="390" t="n"/>
      <c r="AV11" s="390" t="n"/>
      <c r="AW11" s="390" t="n"/>
      <c r="AX11" s="390" t="n"/>
      <c r="AY11" s="390" t="n"/>
      <c r="AZ11" s="390" t="n"/>
      <c r="BA11" s="390" t="n"/>
      <c r="BB11" s="390" t="n"/>
      <c r="BC11" s="390" t="n"/>
      <c r="BD11" s="390" t="n"/>
      <c r="BE11" s="390" t="n"/>
      <c r="BF11" s="390" t="n"/>
      <c r="BG11" s="390" t="n"/>
      <c r="BH11" s="390" t="n"/>
      <c r="BI11" s="390" t="n"/>
      <c r="BJ11" s="390" t="n"/>
      <c r="BK11" s="390" t="n"/>
      <c r="BL11" s="390" t="n"/>
      <c r="BM11" s="390" t="n"/>
      <c r="BN11" s="390" t="n"/>
      <c r="BO11" s="390" t="n"/>
      <c r="BP11" s="390" t="n"/>
      <c r="BQ11" s="390" t="n"/>
      <c r="BR11" s="390" t="n"/>
      <c r="BS11" s="390" t="n"/>
      <c r="BT11" s="390" t="n"/>
      <c r="BU11" s="390" t="n"/>
      <c r="BV11" s="390" t="n"/>
      <c r="BW11" s="390" t="n"/>
      <c r="BX11" s="390" t="n"/>
      <c r="BY11" s="390" t="n"/>
      <c r="BZ11" s="390" t="n"/>
      <c r="CA11" s="390" t="n"/>
      <c r="CB11" s="390" t="n"/>
      <c r="CC11" s="394" t="n"/>
      <c r="CD11" s="30" t="n"/>
      <c r="CE11" s="31" t="n"/>
      <c r="CF11" s="249" t="inlineStr">
        <is>
          <t>休日</t>
        </is>
      </c>
      <c r="CG11" s="408" t="n"/>
      <c r="CH11" s="408" t="n"/>
      <c r="CI11" s="409" t="n"/>
      <c r="CJ11" s="386">
        <f>IF(Q8="作業者1",N11-N8,0)</f>
        <v/>
      </c>
      <c r="CK11" s="387" t="n"/>
      <c r="CL11" s="387" t="n"/>
      <c r="CM11" s="387" t="n"/>
      <c r="CN11" s="388" t="n"/>
      <c r="CP11" s="253" t="inlineStr">
        <is>
          <t>休日</t>
        </is>
      </c>
      <c r="CQ11" s="384" t="n"/>
      <c r="CR11" s="384" t="n"/>
      <c r="CS11" s="385" t="n"/>
      <c r="CT11" s="386">
        <f>IF(Q8="作業者2",N11-N8,0)</f>
        <v/>
      </c>
      <c r="CU11" s="387" t="n"/>
      <c r="CV11" s="387" t="n"/>
      <c r="CW11" s="387" t="n"/>
      <c r="CX11" s="388" t="n"/>
      <c r="CZ11" s="254" t="inlineStr">
        <is>
          <t>休日</t>
        </is>
      </c>
      <c r="DA11" s="395" t="n"/>
      <c r="DB11" s="395" t="n"/>
      <c r="DC11" s="396" t="n"/>
      <c r="DD11" s="397">
        <f>IF(Q8="作業者3",N11-N8,0)</f>
        <v/>
      </c>
      <c r="DE11" s="395" t="n"/>
      <c r="DF11" s="395" t="n"/>
      <c r="DG11" s="395" t="n"/>
      <c r="DH11" s="396" t="n"/>
      <c r="DJ11" s="254" t="inlineStr">
        <is>
          <t>休日</t>
        </is>
      </c>
      <c r="DK11" s="395" t="n"/>
      <c r="DL11" s="395" t="n"/>
      <c r="DM11" s="396" t="n"/>
      <c r="DN11" s="397">
        <f>IF(Q8="作業者4",N11-N8,0)</f>
        <v/>
      </c>
      <c r="DO11" s="395" t="n"/>
      <c r="DP11" s="395" t="n"/>
      <c r="DQ11" s="395" t="n"/>
      <c r="DR11" s="396" t="n"/>
      <c r="DT11" s="254" t="inlineStr">
        <is>
          <t>休日</t>
        </is>
      </c>
      <c r="DU11" s="395" t="n"/>
      <c r="DV11" s="395" t="n"/>
      <c r="DW11" s="396" t="n"/>
      <c r="DX11" s="397">
        <f>IF(Q8="作業者5",N11-N8,0)</f>
        <v/>
      </c>
      <c r="DY11" s="395" t="n"/>
      <c r="DZ11" s="395" t="n"/>
      <c r="EA11" s="395" t="n"/>
      <c r="EB11" s="396" t="n"/>
    </row>
    <row r="12" ht="9" customHeight="1" s="337">
      <c r="B12" s="398" t="n"/>
      <c r="C12" s="372" t="n"/>
      <c r="D12" s="373" t="n"/>
      <c r="E12" s="399" t="n"/>
      <c r="F12" s="372" t="n"/>
      <c r="G12" s="373" t="n"/>
      <c r="H12" s="399" t="n"/>
      <c r="I12" s="372" t="n"/>
      <c r="J12" s="373" t="n"/>
      <c r="K12" s="399" t="n"/>
      <c r="L12" s="372" t="n"/>
      <c r="M12" s="373" t="n"/>
      <c r="N12" s="399" t="n"/>
      <c r="O12" s="372" t="n"/>
      <c r="P12" s="373" t="n"/>
      <c r="Q12" s="371" t="n"/>
      <c r="R12" s="372" t="n"/>
      <c r="S12" s="373" t="n"/>
      <c r="T12" s="371" t="n"/>
      <c r="U12" s="372" t="n"/>
      <c r="V12" s="373" t="n"/>
      <c r="W12" s="443" t="n"/>
      <c r="X12" s="372" t="n"/>
      <c r="Y12" s="372" t="n"/>
      <c r="Z12" s="372" t="n"/>
      <c r="AA12" s="372" t="n"/>
      <c r="AB12" s="372" t="n"/>
      <c r="AC12" s="372" t="n"/>
      <c r="AD12" s="372" t="n"/>
      <c r="AE12" s="372" t="n"/>
      <c r="AF12" s="372" t="n"/>
      <c r="AG12" s="372" t="n"/>
      <c r="AH12" s="372" t="n"/>
      <c r="AI12" s="372" t="n"/>
      <c r="AJ12" s="372" t="n"/>
      <c r="AK12" s="372" t="n"/>
      <c r="AL12" s="372" t="n"/>
      <c r="AM12" s="372" t="n"/>
      <c r="AN12" s="372" t="n"/>
      <c r="AO12" s="372" t="n"/>
      <c r="AP12" s="372" t="n"/>
      <c r="AQ12" s="372" t="n"/>
      <c r="AR12" s="372" t="n"/>
      <c r="AS12" s="372" t="n"/>
      <c r="AT12" s="372" t="n"/>
      <c r="AU12" s="372" t="n"/>
      <c r="AV12" s="372" t="n"/>
      <c r="AW12" s="372" t="n"/>
      <c r="AX12" s="372" t="n"/>
      <c r="AY12" s="372" t="n"/>
      <c r="AZ12" s="372" t="n"/>
      <c r="BA12" s="372" t="n"/>
      <c r="BB12" s="372" t="n"/>
      <c r="BC12" s="372" t="n"/>
      <c r="BD12" s="372" t="n"/>
      <c r="BE12" s="372" t="n"/>
      <c r="BF12" s="372" t="n"/>
      <c r="BG12" s="372" t="n"/>
      <c r="BH12" s="372" t="n"/>
      <c r="BI12" s="372" t="n"/>
      <c r="BJ12" s="372" t="n"/>
      <c r="BK12" s="372" t="n"/>
      <c r="BL12" s="372" t="n"/>
      <c r="BM12" s="372" t="n"/>
      <c r="BN12" s="372" t="n"/>
      <c r="BO12" s="372" t="n"/>
      <c r="BP12" s="372" t="n"/>
      <c r="BQ12" s="372" t="n"/>
      <c r="BR12" s="372" t="n"/>
      <c r="BS12" s="372" t="n"/>
      <c r="BT12" s="372" t="n"/>
      <c r="BU12" s="372" t="n"/>
      <c r="BV12" s="372" t="n"/>
      <c r="BW12" s="372" t="n"/>
      <c r="BX12" s="372" t="n"/>
      <c r="BY12" s="372" t="n"/>
      <c r="BZ12" s="372" t="n"/>
      <c r="CA12" s="372" t="n"/>
      <c r="CB12" s="372" t="n"/>
      <c r="CC12" s="402" t="n"/>
      <c r="CF12" s="248" t="inlineStr">
        <is>
          <t>移動</t>
        </is>
      </c>
      <c r="CG12" s="377" t="n"/>
      <c r="CH12" s="377" t="n"/>
      <c r="CI12" s="378" t="n"/>
      <c r="CJ12" s="379">
        <f>IF(Q12="作業者1",E15-E12,0)</f>
        <v/>
      </c>
      <c r="CK12" s="377" t="n"/>
      <c r="CL12" s="377" t="n"/>
      <c r="CM12" s="377" t="n"/>
      <c r="CN12" s="378" t="n"/>
      <c r="CP12" s="248" t="inlineStr">
        <is>
          <t>移動</t>
        </is>
      </c>
      <c r="CQ12" s="377" t="n"/>
      <c r="CR12" s="377" t="n"/>
      <c r="CS12" s="378" t="n"/>
      <c r="CT12" s="379">
        <f>IF(Q12="作業者2",E15-E12,0)</f>
        <v/>
      </c>
      <c r="CU12" s="377" t="n"/>
      <c r="CV12" s="377" t="n"/>
      <c r="CW12" s="377" t="n"/>
      <c r="CX12" s="378" t="n"/>
      <c r="CZ12" s="259" t="inlineStr">
        <is>
          <t>移動</t>
        </is>
      </c>
      <c r="DA12" s="403" t="n"/>
      <c r="DB12" s="403" t="n"/>
      <c r="DC12" s="404" t="n"/>
      <c r="DD12" s="405">
        <f>IF(Q12="作業者3",E15-E12,0)</f>
        <v/>
      </c>
      <c r="DE12" s="406" t="n"/>
      <c r="DF12" s="406" t="n"/>
      <c r="DG12" s="406" t="n"/>
      <c r="DH12" s="407" t="n"/>
      <c r="DJ12" s="259" t="inlineStr">
        <is>
          <t>移動</t>
        </is>
      </c>
      <c r="DK12" s="403" t="n"/>
      <c r="DL12" s="403" t="n"/>
      <c r="DM12" s="404" t="n"/>
      <c r="DN12" s="379">
        <f>IF(Q12="作業者4",E15-E12,0)</f>
        <v/>
      </c>
      <c r="DO12" s="377" t="n"/>
      <c r="DP12" s="377" t="n"/>
      <c r="DQ12" s="377" t="n"/>
      <c r="DR12" s="378" t="n"/>
      <c r="DT12" s="259" t="inlineStr">
        <is>
          <t>移動</t>
        </is>
      </c>
      <c r="DU12" s="403" t="n"/>
      <c r="DV12" s="403" t="n"/>
      <c r="DW12" s="404" t="n"/>
      <c r="DX12" s="379">
        <f>IF(Q12="作業者5",E15-E12,0)</f>
        <v/>
      </c>
      <c r="DY12" s="377" t="n"/>
      <c r="DZ12" s="377" t="n"/>
      <c r="EA12" s="377" t="n"/>
      <c r="EB12" s="378" t="n"/>
    </row>
    <row r="13" ht="9" customHeight="1" s="337">
      <c r="B13" s="350" t="n"/>
      <c r="C13" s="338" t="n"/>
      <c r="D13" s="380" t="n"/>
      <c r="E13" s="381" t="n"/>
      <c r="F13" s="122" t="inlineStr">
        <is>
          <t>～</t>
        </is>
      </c>
      <c r="G13" s="22" t="n"/>
      <c r="H13" s="381" t="n"/>
      <c r="I13" s="122" t="inlineStr">
        <is>
          <t>～</t>
        </is>
      </c>
      <c r="J13" s="22" t="n"/>
      <c r="K13" s="381" t="n"/>
      <c r="L13" s="122" t="inlineStr">
        <is>
          <t>～</t>
        </is>
      </c>
      <c r="M13" s="22" t="n"/>
      <c r="N13" s="381" t="n"/>
      <c r="O13" s="122" t="inlineStr">
        <is>
          <t>～</t>
        </is>
      </c>
      <c r="P13" s="22" t="n"/>
      <c r="Q13" s="382" t="n"/>
      <c r="R13" s="338" t="n"/>
      <c r="S13" s="380" t="n"/>
      <c r="T13" s="382" t="n"/>
      <c r="U13" s="338" t="n"/>
      <c r="V13" s="380" t="n"/>
      <c r="W13" s="382" t="n"/>
      <c r="X13" s="338" t="n"/>
      <c r="Y13" s="338" t="n"/>
      <c r="Z13" s="338" t="n"/>
      <c r="AA13" s="338" t="n"/>
      <c r="AB13" s="338" t="n"/>
      <c r="AC13" s="338" t="n"/>
      <c r="AD13" s="338" t="n"/>
      <c r="AE13" s="338" t="n"/>
      <c r="AF13" s="338" t="n"/>
      <c r="AG13" s="338" t="n"/>
      <c r="AH13" s="338" t="n"/>
      <c r="AI13" s="338" t="n"/>
      <c r="AJ13" s="338" t="n"/>
      <c r="AK13" s="338" t="n"/>
      <c r="AL13" s="338" t="n"/>
      <c r="AM13" s="338" t="n"/>
      <c r="AN13" s="338" t="n"/>
      <c r="AO13" s="338" t="n"/>
      <c r="AP13" s="338" t="n"/>
      <c r="AQ13" s="338" t="n"/>
      <c r="AR13" s="338" t="n"/>
      <c r="AS13" s="338" t="n"/>
      <c r="AT13" s="338" t="n"/>
      <c r="AU13" s="338" t="n"/>
      <c r="AV13" s="338" t="n"/>
      <c r="AW13" s="338" t="n"/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8" t="n"/>
      <c r="BH13" s="338" t="n"/>
      <c r="BI13" s="338" t="n"/>
      <c r="BJ13" s="338" t="n"/>
      <c r="BK13" s="338" t="n"/>
      <c r="BL13" s="338" t="n"/>
      <c r="BM13" s="338" t="n"/>
      <c r="BN13" s="338" t="n"/>
      <c r="BO13" s="338" t="n"/>
      <c r="BP13" s="338" t="n"/>
      <c r="BQ13" s="338" t="n"/>
      <c r="BR13" s="338" t="n"/>
      <c r="BS13" s="338" t="n"/>
      <c r="BT13" s="338" t="n"/>
      <c r="BU13" s="338" t="n"/>
      <c r="BV13" s="338" t="n"/>
      <c r="BW13" s="338" t="n"/>
      <c r="BX13" s="338" t="n"/>
      <c r="BY13" s="338" t="n"/>
      <c r="BZ13" s="338" t="n"/>
      <c r="CA13" s="338" t="n"/>
      <c r="CB13" s="338" t="n"/>
      <c r="CC13" s="383" t="n"/>
      <c r="CF13" s="253" t="inlineStr">
        <is>
          <t>時間内</t>
        </is>
      </c>
      <c r="CG13" s="384" t="n"/>
      <c r="CH13" s="384" t="n"/>
      <c r="CI13" s="385" t="n"/>
      <c r="CJ13" s="386">
        <f>IF(Q12="作業者1",H15-H12,0)</f>
        <v/>
      </c>
      <c r="CK13" s="387" t="n"/>
      <c r="CL13" s="387" t="n"/>
      <c r="CM13" s="387" t="n"/>
      <c r="CN13" s="388" t="n"/>
      <c r="CP13" s="253" t="inlineStr">
        <is>
          <t>時間内</t>
        </is>
      </c>
      <c r="CQ13" s="384" t="n"/>
      <c r="CR13" s="384" t="n"/>
      <c r="CS13" s="385" t="n"/>
      <c r="CT13" s="386">
        <f>IF(Q12="作業者2",H15-H12,0)</f>
        <v/>
      </c>
      <c r="CU13" s="387" t="n"/>
      <c r="CV13" s="387" t="n"/>
      <c r="CW13" s="387" t="n"/>
      <c r="CX13" s="388" t="n"/>
      <c r="CZ13" s="253" t="inlineStr">
        <is>
          <t>時間内</t>
        </is>
      </c>
      <c r="DA13" s="384" t="n"/>
      <c r="DB13" s="384" t="n"/>
      <c r="DC13" s="385" t="n"/>
      <c r="DD13" s="386">
        <f>IF(Q12="作業者3",H15-H12,0)</f>
        <v/>
      </c>
      <c r="DE13" s="387" t="n"/>
      <c r="DF13" s="387" t="n"/>
      <c r="DG13" s="387" t="n"/>
      <c r="DH13" s="388" t="n"/>
      <c r="DJ13" s="253" t="inlineStr">
        <is>
          <t>時間内</t>
        </is>
      </c>
      <c r="DK13" s="384" t="n"/>
      <c r="DL13" s="384" t="n"/>
      <c r="DM13" s="385" t="n"/>
      <c r="DN13" s="386">
        <f>IF(Q12="作業者4",H15-H12,0)</f>
        <v/>
      </c>
      <c r="DO13" s="387" t="n"/>
      <c r="DP13" s="387" t="n"/>
      <c r="DQ13" s="387" t="n"/>
      <c r="DR13" s="388" t="n"/>
      <c r="DT13" s="253" t="inlineStr">
        <is>
          <t>時間内</t>
        </is>
      </c>
      <c r="DU13" s="384" t="n"/>
      <c r="DV13" s="384" t="n"/>
      <c r="DW13" s="385" t="n"/>
      <c r="DX13" s="386">
        <f>IF(Q12="作業者5",H15-H12,0)</f>
        <v/>
      </c>
      <c r="DY13" s="387" t="n"/>
      <c r="DZ13" s="387" t="n"/>
      <c r="EA13" s="387" t="n"/>
      <c r="EB13" s="388" t="n"/>
    </row>
    <row r="14" ht="9" customHeight="1" s="337">
      <c r="B14" s="350" t="n"/>
      <c r="C14" s="338" t="n"/>
      <c r="D14" s="380" t="n"/>
      <c r="E14" s="44" t="n"/>
      <c r="F14" s="338" t="n"/>
      <c r="G14" s="24" t="n"/>
      <c r="H14" s="44" t="n"/>
      <c r="I14" s="338" t="n"/>
      <c r="J14" s="24" t="n"/>
      <c r="K14" s="44" t="n"/>
      <c r="L14" s="338" t="n"/>
      <c r="M14" s="24" t="n"/>
      <c r="N14" s="44" t="n"/>
      <c r="O14" s="338" t="n"/>
      <c r="P14" s="24" t="n"/>
      <c r="Q14" s="382" t="n"/>
      <c r="R14" s="338" t="n"/>
      <c r="S14" s="380" t="n"/>
      <c r="T14" s="382" t="n"/>
      <c r="U14" s="338" t="n"/>
      <c r="V14" s="380" t="n"/>
      <c r="W14" s="382" t="n"/>
      <c r="X14" s="338" t="n"/>
      <c r="Y14" s="338" t="n"/>
      <c r="Z14" s="338" t="n"/>
      <c r="AA14" s="338" t="n"/>
      <c r="AB14" s="338" t="n"/>
      <c r="AC14" s="338" t="n"/>
      <c r="AD14" s="338" t="n"/>
      <c r="AE14" s="338" t="n"/>
      <c r="AF14" s="338" t="n"/>
      <c r="AG14" s="338" t="n"/>
      <c r="AH14" s="338" t="n"/>
      <c r="AI14" s="338" t="n"/>
      <c r="AJ14" s="338" t="n"/>
      <c r="AK14" s="338" t="n"/>
      <c r="AL14" s="338" t="n"/>
      <c r="AM14" s="338" t="n"/>
      <c r="AN14" s="338" t="n"/>
      <c r="AO14" s="338" t="n"/>
      <c r="AP14" s="338" t="n"/>
      <c r="AQ14" s="338" t="n"/>
      <c r="AR14" s="338" t="n"/>
      <c r="AS14" s="338" t="n"/>
      <c r="AT14" s="338" t="n"/>
      <c r="AU14" s="338" t="n"/>
      <c r="AV14" s="338" t="n"/>
      <c r="AW14" s="338" t="n"/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8" t="n"/>
      <c r="BH14" s="338" t="n"/>
      <c r="BI14" s="338" t="n"/>
      <c r="BJ14" s="338" t="n"/>
      <c r="BK14" s="338" t="n"/>
      <c r="BL14" s="338" t="n"/>
      <c r="BM14" s="338" t="n"/>
      <c r="BN14" s="338" t="n"/>
      <c r="BO14" s="338" t="n"/>
      <c r="BP14" s="338" t="n"/>
      <c r="BQ14" s="338" t="n"/>
      <c r="BR14" s="338" t="n"/>
      <c r="BS14" s="338" t="n"/>
      <c r="BT14" s="338" t="n"/>
      <c r="BU14" s="338" t="n"/>
      <c r="BV14" s="338" t="n"/>
      <c r="BW14" s="338" t="n"/>
      <c r="BX14" s="338" t="n"/>
      <c r="BY14" s="338" t="n"/>
      <c r="BZ14" s="338" t="n"/>
      <c r="CA14" s="338" t="n"/>
      <c r="CB14" s="338" t="n"/>
      <c r="CC14" s="383" t="n"/>
      <c r="CF14" s="253" t="inlineStr">
        <is>
          <t>時間外</t>
        </is>
      </c>
      <c r="CG14" s="384" t="n"/>
      <c r="CH14" s="384" t="n"/>
      <c r="CI14" s="385" t="n"/>
      <c r="CJ14" s="386">
        <f>IF(Q12="作業者1",K15-K12,0)</f>
        <v/>
      </c>
      <c r="CK14" s="387" t="n"/>
      <c r="CL14" s="387" t="n"/>
      <c r="CM14" s="387" t="n"/>
      <c r="CN14" s="388" t="n"/>
      <c r="CP14" s="253" t="inlineStr">
        <is>
          <t>時間外</t>
        </is>
      </c>
      <c r="CQ14" s="384" t="n"/>
      <c r="CR14" s="384" t="n"/>
      <c r="CS14" s="385" t="n"/>
      <c r="CT14" s="386">
        <f>IF(Q12="作業者2",K15-K12,0)</f>
        <v/>
      </c>
      <c r="CU14" s="387" t="n"/>
      <c r="CV14" s="387" t="n"/>
      <c r="CW14" s="387" t="n"/>
      <c r="CX14" s="388" t="n"/>
      <c r="CZ14" s="253" t="inlineStr">
        <is>
          <t>時間外</t>
        </is>
      </c>
      <c r="DA14" s="384" t="n"/>
      <c r="DB14" s="384" t="n"/>
      <c r="DC14" s="385" t="n"/>
      <c r="DD14" s="386">
        <f>IF(Q12="作業者3",K15-K12,0)</f>
        <v/>
      </c>
      <c r="DE14" s="387" t="n"/>
      <c r="DF14" s="387" t="n"/>
      <c r="DG14" s="387" t="n"/>
      <c r="DH14" s="388" t="n"/>
      <c r="DJ14" s="253" t="inlineStr">
        <is>
          <t>時間外</t>
        </is>
      </c>
      <c r="DK14" s="384" t="n"/>
      <c r="DL14" s="384" t="n"/>
      <c r="DM14" s="385" t="n"/>
      <c r="DN14" s="386">
        <f>IF(Q12="作業者4",K15-K12,0)</f>
        <v/>
      </c>
      <c r="DO14" s="387" t="n"/>
      <c r="DP14" s="387" t="n"/>
      <c r="DQ14" s="387" t="n"/>
      <c r="DR14" s="388" t="n"/>
      <c r="DT14" s="253" t="inlineStr">
        <is>
          <t>時間外</t>
        </is>
      </c>
      <c r="DU14" s="384" t="n"/>
      <c r="DV14" s="384" t="n"/>
      <c r="DW14" s="385" t="n"/>
      <c r="DX14" s="386">
        <f>IF(Q12="作業者5",K15-K12,0)</f>
        <v/>
      </c>
      <c r="DY14" s="387" t="n"/>
      <c r="DZ14" s="387" t="n"/>
      <c r="EA14" s="387" t="n"/>
      <c r="EB14" s="388" t="n"/>
    </row>
    <row r="15" ht="9" customHeight="1" s="337">
      <c r="B15" s="389" t="n"/>
      <c r="C15" s="390" t="n"/>
      <c r="D15" s="391" t="n"/>
      <c r="E15" s="392" t="n"/>
      <c r="F15" s="390" t="n"/>
      <c r="G15" s="391" t="n"/>
      <c r="H15" s="392" t="n"/>
      <c r="I15" s="390" t="n"/>
      <c r="J15" s="391" t="n"/>
      <c r="K15" s="392" t="n"/>
      <c r="L15" s="390" t="n"/>
      <c r="M15" s="391" t="n"/>
      <c r="N15" s="392" t="n"/>
      <c r="O15" s="390" t="n"/>
      <c r="P15" s="391" t="n"/>
      <c r="Q15" s="393" t="n"/>
      <c r="R15" s="390" t="n"/>
      <c r="S15" s="391" t="n"/>
      <c r="T15" s="393" t="n"/>
      <c r="U15" s="390" t="n"/>
      <c r="V15" s="391" t="n"/>
      <c r="W15" s="393" t="n"/>
      <c r="X15" s="390" t="n"/>
      <c r="Y15" s="390" t="n"/>
      <c r="Z15" s="390" t="n"/>
      <c r="AA15" s="390" t="n"/>
      <c r="AB15" s="390" t="n"/>
      <c r="AC15" s="390" t="n"/>
      <c r="AD15" s="390" t="n"/>
      <c r="AE15" s="390" t="n"/>
      <c r="AF15" s="390" t="n"/>
      <c r="AG15" s="390" t="n"/>
      <c r="AH15" s="390" t="n"/>
      <c r="AI15" s="390" t="n"/>
      <c r="AJ15" s="390" t="n"/>
      <c r="AK15" s="390" t="n"/>
      <c r="AL15" s="390" t="n"/>
      <c r="AM15" s="390" t="n"/>
      <c r="AN15" s="390" t="n"/>
      <c r="AO15" s="390" t="n"/>
      <c r="AP15" s="390" t="n"/>
      <c r="AQ15" s="390" t="n"/>
      <c r="AR15" s="390" t="n"/>
      <c r="AS15" s="390" t="n"/>
      <c r="AT15" s="390" t="n"/>
      <c r="AU15" s="390" t="n"/>
      <c r="AV15" s="390" t="n"/>
      <c r="AW15" s="390" t="n"/>
      <c r="AX15" s="390" t="n"/>
      <c r="AY15" s="390" t="n"/>
      <c r="AZ15" s="390" t="n"/>
      <c r="BA15" s="390" t="n"/>
      <c r="BB15" s="390" t="n"/>
      <c r="BC15" s="390" t="n"/>
      <c r="BD15" s="390" t="n"/>
      <c r="BE15" s="390" t="n"/>
      <c r="BF15" s="390" t="n"/>
      <c r="BG15" s="390" t="n"/>
      <c r="BH15" s="390" t="n"/>
      <c r="BI15" s="390" t="n"/>
      <c r="BJ15" s="390" t="n"/>
      <c r="BK15" s="390" t="n"/>
      <c r="BL15" s="390" t="n"/>
      <c r="BM15" s="390" t="n"/>
      <c r="BN15" s="390" t="n"/>
      <c r="BO15" s="390" t="n"/>
      <c r="BP15" s="390" t="n"/>
      <c r="BQ15" s="390" t="n"/>
      <c r="BR15" s="390" t="n"/>
      <c r="BS15" s="390" t="n"/>
      <c r="BT15" s="390" t="n"/>
      <c r="BU15" s="390" t="n"/>
      <c r="BV15" s="390" t="n"/>
      <c r="BW15" s="390" t="n"/>
      <c r="BX15" s="390" t="n"/>
      <c r="BY15" s="390" t="n"/>
      <c r="BZ15" s="390" t="n"/>
      <c r="CA15" s="390" t="n"/>
      <c r="CB15" s="390" t="n"/>
      <c r="CC15" s="394" t="n"/>
      <c r="CF15" s="254" t="inlineStr">
        <is>
          <t>休日</t>
        </is>
      </c>
      <c r="CG15" s="395" t="n"/>
      <c r="CH15" s="395" t="n"/>
      <c r="CI15" s="396" t="n"/>
      <c r="CJ15" s="397">
        <f>IF(Q12="作業者1",N15-N12,0)</f>
        <v/>
      </c>
      <c r="CK15" s="395" t="n"/>
      <c r="CL15" s="395" t="n"/>
      <c r="CM15" s="395" t="n"/>
      <c r="CN15" s="396" t="n"/>
      <c r="CP15" s="254" t="inlineStr">
        <is>
          <t>休日</t>
        </is>
      </c>
      <c r="CQ15" s="395" t="n"/>
      <c r="CR15" s="395" t="n"/>
      <c r="CS15" s="396" t="n"/>
      <c r="CT15" s="397">
        <f>IF(Q12="作業者2",N15-N12,0)</f>
        <v/>
      </c>
      <c r="CU15" s="395" t="n"/>
      <c r="CV15" s="395" t="n"/>
      <c r="CW15" s="395" t="n"/>
      <c r="CX15" s="396" t="n"/>
      <c r="CZ15" s="254" t="inlineStr">
        <is>
          <t>休日</t>
        </is>
      </c>
      <c r="DA15" s="395" t="n"/>
      <c r="DB15" s="395" t="n"/>
      <c r="DC15" s="396" t="n"/>
      <c r="DD15" s="397">
        <f>IF(Q12="作業者3",N15-N12,0)</f>
        <v/>
      </c>
      <c r="DE15" s="395" t="n"/>
      <c r="DF15" s="395" t="n"/>
      <c r="DG15" s="395" t="n"/>
      <c r="DH15" s="396" t="n"/>
      <c r="DJ15" s="254" t="inlineStr">
        <is>
          <t>休日</t>
        </is>
      </c>
      <c r="DK15" s="395" t="n"/>
      <c r="DL15" s="395" t="n"/>
      <c r="DM15" s="396" t="n"/>
      <c r="DN15" s="397">
        <f>IF(Q12="作業者4",N15-N12,0)</f>
        <v/>
      </c>
      <c r="DO15" s="395" t="n"/>
      <c r="DP15" s="395" t="n"/>
      <c r="DQ15" s="395" t="n"/>
      <c r="DR15" s="396" t="n"/>
      <c r="DT15" s="254" t="inlineStr">
        <is>
          <t>休日</t>
        </is>
      </c>
      <c r="DU15" s="395" t="n"/>
      <c r="DV15" s="395" t="n"/>
      <c r="DW15" s="396" t="n"/>
      <c r="DX15" s="397">
        <f>IF(Q12="作業者5",N15-N12,0)</f>
        <v/>
      </c>
      <c r="DY15" s="395" t="n"/>
      <c r="DZ15" s="395" t="n"/>
      <c r="EA15" s="395" t="n"/>
      <c r="EB15" s="396" t="n"/>
    </row>
    <row r="16" ht="9" customHeight="1" s="337">
      <c r="B16" s="398" t="n"/>
      <c r="C16" s="372" t="n"/>
      <c r="D16" s="373" t="n"/>
      <c r="E16" s="399" t="n"/>
      <c r="F16" s="372" t="n"/>
      <c r="G16" s="373" t="n"/>
      <c r="H16" s="399" t="n"/>
      <c r="I16" s="372" t="n"/>
      <c r="J16" s="373" t="n"/>
      <c r="K16" s="399" t="n"/>
      <c r="L16" s="372" t="n"/>
      <c r="M16" s="373" t="n"/>
      <c r="N16" s="399" t="n"/>
      <c r="O16" s="372" t="n"/>
      <c r="P16" s="373" t="n"/>
      <c r="Q16" s="371" t="n"/>
      <c r="R16" s="372" t="n"/>
      <c r="S16" s="373" t="n"/>
      <c r="T16" s="400" t="n"/>
      <c r="U16" s="372" t="n"/>
      <c r="V16" s="373" t="n"/>
      <c r="W16" s="443" t="n"/>
      <c r="X16" s="372" t="n"/>
      <c r="Y16" s="372" t="n"/>
      <c r="Z16" s="372" t="n"/>
      <c r="AA16" s="372" t="n"/>
      <c r="AB16" s="372" t="n"/>
      <c r="AC16" s="372" t="n"/>
      <c r="AD16" s="372" t="n"/>
      <c r="AE16" s="372" t="n"/>
      <c r="AF16" s="372" t="n"/>
      <c r="AG16" s="372" t="n"/>
      <c r="AH16" s="372" t="n"/>
      <c r="AI16" s="372" t="n"/>
      <c r="AJ16" s="372" t="n"/>
      <c r="AK16" s="372" t="n"/>
      <c r="AL16" s="372" t="n"/>
      <c r="AM16" s="372" t="n"/>
      <c r="AN16" s="372" t="n"/>
      <c r="AO16" s="372" t="n"/>
      <c r="AP16" s="372" t="n"/>
      <c r="AQ16" s="372" t="n"/>
      <c r="AR16" s="372" t="n"/>
      <c r="AS16" s="372" t="n"/>
      <c r="AT16" s="372" t="n"/>
      <c r="AU16" s="372" t="n"/>
      <c r="AV16" s="372" t="n"/>
      <c r="AW16" s="372" t="n"/>
      <c r="AX16" s="372" t="n"/>
      <c r="AY16" s="372" t="n"/>
      <c r="AZ16" s="372" t="n"/>
      <c r="BA16" s="372" t="n"/>
      <c r="BB16" s="372" t="n"/>
      <c r="BC16" s="372" t="n"/>
      <c r="BD16" s="372" t="n"/>
      <c r="BE16" s="372" t="n"/>
      <c r="BF16" s="372" t="n"/>
      <c r="BG16" s="372" t="n"/>
      <c r="BH16" s="372" t="n"/>
      <c r="BI16" s="372" t="n"/>
      <c r="BJ16" s="372" t="n"/>
      <c r="BK16" s="372" t="n"/>
      <c r="BL16" s="372" t="n"/>
      <c r="BM16" s="372" t="n"/>
      <c r="BN16" s="372" t="n"/>
      <c r="BO16" s="372" t="n"/>
      <c r="BP16" s="372" t="n"/>
      <c r="BQ16" s="372" t="n"/>
      <c r="BR16" s="372" t="n"/>
      <c r="BS16" s="372" t="n"/>
      <c r="BT16" s="372" t="n"/>
      <c r="BU16" s="372" t="n"/>
      <c r="BV16" s="372" t="n"/>
      <c r="BW16" s="372" t="n"/>
      <c r="BX16" s="372" t="n"/>
      <c r="BY16" s="372" t="n"/>
      <c r="BZ16" s="372" t="n"/>
      <c r="CA16" s="372" t="n"/>
      <c r="CB16" s="372" t="n"/>
      <c r="CC16" s="402" t="n"/>
      <c r="CD16" s="30" t="n"/>
      <c r="CE16" s="31" t="n"/>
      <c r="CF16" s="259" t="inlineStr">
        <is>
          <t>移動</t>
        </is>
      </c>
      <c r="CG16" s="403" t="n"/>
      <c r="CH16" s="403" t="n"/>
      <c r="CI16" s="404" t="n"/>
      <c r="CJ16" s="379">
        <f>IF(Q16="作業者1",E19-E16,0)</f>
        <v/>
      </c>
      <c r="CK16" s="377" t="n"/>
      <c r="CL16" s="377" t="n"/>
      <c r="CM16" s="377" t="n"/>
      <c r="CN16" s="378" t="n"/>
      <c r="CP16" s="248" t="inlineStr">
        <is>
          <t>移動</t>
        </is>
      </c>
      <c r="CQ16" s="377" t="n"/>
      <c r="CR16" s="377" t="n"/>
      <c r="CS16" s="378" t="n"/>
      <c r="CT16" s="379">
        <f>IF(Q16="作業者2",E19-E16,0)</f>
        <v/>
      </c>
      <c r="CU16" s="377" t="n"/>
      <c r="CV16" s="377" t="n"/>
      <c r="CW16" s="377" t="n"/>
      <c r="CX16" s="378" t="n"/>
      <c r="CZ16" s="259" t="inlineStr">
        <is>
          <t>移動</t>
        </is>
      </c>
      <c r="DA16" s="403" t="n"/>
      <c r="DB16" s="403" t="n"/>
      <c r="DC16" s="404" t="n"/>
      <c r="DD16" s="405">
        <f>IF(Q16="作業者3",E19-E16,0)</f>
        <v/>
      </c>
      <c r="DE16" s="406" t="n"/>
      <c r="DF16" s="406" t="n"/>
      <c r="DG16" s="406" t="n"/>
      <c r="DH16" s="407" t="n"/>
      <c r="DJ16" s="259" t="inlineStr">
        <is>
          <t>移動</t>
        </is>
      </c>
      <c r="DK16" s="403" t="n"/>
      <c r="DL16" s="403" t="n"/>
      <c r="DM16" s="404" t="n"/>
      <c r="DN16" s="379">
        <f>IF(Q16="作業者4",E19-E16,0)</f>
        <v/>
      </c>
      <c r="DO16" s="377" t="n"/>
      <c r="DP16" s="377" t="n"/>
      <c r="DQ16" s="377" t="n"/>
      <c r="DR16" s="378" t="n"/>
      <c r="DT16" s="259" t="inlineStr">
        <is>
          <t>移動</t>
        </is>
      </c>
      <c r="DU16" s="403" t="n"/>
      <c r="DV16" s="403" t="n"/>
      <c r="DW16" s="404" t="n"/>
      <c r="DX16" s="379">
        <f>IF(Q16="作業者5",E19-E16,0)</f>
        <v/>
      </c>
      <c r="DY16" s="377" t="n"/>
      <c r="DZ16" s="377" t="n"/>
      <c r="EA16" s="377" t="n"/>
      <c r="EB16" s="378" t="n"/>
    </row>
    <row r="17" ht="9" customHeight="1" s="337">
      <c r="B17" s="350" t="n"/>
      <c r="C17" s="338" t="n"/>
      <c r="D17" s="380" t="n"/>
      <c r="E17" s="381" t="n"/>
      <c r="F17" s="122" t="inlineStr">
        <is>
          <t>～</t>
        </is>
      </c>
      <c r="G17" s="22" t="n"/>
      <c r="H17" s="381" t="n"/>
      <c r="I17" s="122" t="inlineStr">
        <is>
          <t>～</t>
        </is>
      </c>
      <c r="J17" s="22" t="n"/>
      <c r="K17" s="381" t="n"/>
      <c r="L17" s="122" t="inlineStr">
        <is>
          <t>～</t>
        </is>
      </c>
      <c r="M17" s="22" t="n"/>
      <c r="N17" s="381" t="n"/>
      <c r="O17" s="122" t="inlineStr">
        <is>
          <t>～</t>
        </is>
      </c>
      <c r="P17" s="22" t="n"/>
      <c r="Q17" s="382" t="n"/>
      <c r="R17" s="338" t="n"/>
      <c r="S17" s="380" t="n"/>
      <c r="T17" s="382" t="n"/>
      <c r="U17" s="338" t="n"/>
      <c r="V17" s="380" t="n"/>
      <c r="W17" s="382" t="n"/>
      <c r="X17" s="338" t="n"/>
      <c r="Y17" s="338" t="n"/>
      <c r="Z17" s="338" t="n"/>
      <c r="AA17" s="338" t="n"/>
      <c r="AB17" s="338" t="n"/>
      <c r="AC17" s="338" t="n"/>
      <c r="AD17" s="338" t="n"/>
      <c r="AE17" s="338" t="n"/>
      <c r="AF17" s="338" t="n"/>
      <c r="AG17" s="338" t="n"/>
      <c r="AH17" s="338" t="n"/>
      <c r="AI17" s="338" t="n"/>
      <c r="AJ17" s="338" t="n"/>
      <c r="AK17" s="338" t="n"/>
      <c r="AL17" s="338" t="n"/>
      <c r="AM17" s="338" t="n"/>
      <c r="AN17" s="338" t="n"/>
      <c r="AO17" s="338" t="n"/>
      <c r="AP17" s="338" t="n"/>
      <c r="AQ17" s="338" t="n"/>
      <c r="AR17" s="338" t="n"/>
      <c r="AS17" s="338" t="n"/>
      <c r="AT17" s="338" t="n"/>
      <c r="AU17" s="338" t="n"/>
      <c r="AV17" s="338" t="n"/>
      <c r="AW17" s="338" t="n"/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8" t="n"/>
      <c r="BH17" s="338" t="n"/>
      <c r="BI17" s="338" t="n"/>
      <c r="BJ17" s="338" t="n"/>
      <c r="BK17" s="338" t="n"/>
      <c r="BL17" s="338" t="n"/>
      <c r="BM17" s="338" t="n"/>
      <c r="BN17" s="338" t="n"/>
      <c r="BO17" s="338" t="n"/>
      <c r="BP17" s="338" t="n"/>
      <c r="BQ17" s="338" t="n"/>
      <c r="BR17" s="338" t="n"/>
      <c r="BS17" s="338" t="n"/>
      <c r="BT17" s="338" t="n"/>
      <c r="BU17" s="338" t="n"/>
      <c r="BV17" s="338" t="n"/>
      <c r="BW17" s="338" t="n"/>
      <c r="BX17" s="338" t="n"/>
      <c r="BY17" s="338" t="n"/>
      <c r="BZ17" s="338" t="n"/>
      <c r="CA17" s="338" t="n"/>
      <c r="CB17" s="338" t="n"/>
      <c r="CC17" s="383" t="n"/>
      <c r="CD17" s="30" t="n"/>
      <c r="CE17" s="31" t="n"/>
      <c r="CF17" s="253" t="inlineStr">
        <is>
          <t>時間内</t>
        </is>
      </c>
      <c r="CG17" s="384" t="n"/>
      <c r="CH17" s="384" t="n"/>
      <c r="CI17" s="385" t="n"/>
      <c r="CJ17" s="386">
        <f>IF(Q16="作業者1",H19-H16,0)</f>
        <v/>
      </c>
      <c r="CK17" s="387" t="n"/>
      <c r="CL17" s="387" t="n"/>
      <c r="CM17" s="387" t="n"/>
      <c r="CN17" s="388" t="n"/>
      <c r="CP17" s="253" t="inlineStr">
        <is>
          <t>時間内</t>
        </is>
      </c>
      <c r="CQ17" s="384" t="n"/>
      <c r="CR17" s="384" t="n"/>
      <c r="CS17" s="385" t="n"/>
      <c r="CT17" s="386">
        <f>IF(Q16="作業者2",H19-H16,0)</f>
        <v/>
      </c>
      <c r="CU17" s="387" t="n"/>
      <c r="CV17" s="387" t="n"/>
      <c r="CW17" s="387" t="n"/>
      <c r="CX17" s="388" t="n"/>
      <c r="CZ17" s="253" t="inlineStr">
        <is>
          <t>時間内</t>
        </is>
      </c>
      <c r="DA17" s="384" t="n"/>
      <c r="DB17" s="384" t="n"/>
      <c r="DC17" s="385" t="n"/>
      <c r="DD17" s="386">
        <f>IF(Q16="作業者3",H19-H16,0)</f>
        <v/>
      </c>
      <c r="DE17" s="387" t="n"/>
      <c r="DF17" s="387" t="n"/>
      <c r="DG17" s="387" t="n"/>
      <c r="DH17" s="388" t="n"/>
      <c r="DJ17" s="253" t="inlineStr">
        <is>
          <t>時間内</t>
        </is>
      </c>
      <c r="DK17" s="384" t="n"/>
      <c r="DL17" s="384" t="n"/>
      <c r="DM17" s="385" t="n"/>
      <c r="DN17" s="386">
        <f>IF(Q16="作業者4",H19-H16,0)</f>
        <v/>
      </c>
      <c r="DO17" s="387" t="n"/>
      <c r="DP17" s="387" t="n"/>
      <c r="DQ17" s="387" t="n"/>
      <c r="DR17" s="388" t="n"/>
      <c r="DT17" s="253" t="inlineStr">
        <is>
          <t>時間内</t>
        </is>
      </c>
      <c r="DU17" s="384" t="n"/>
      <c r="DV17" s="384" t="n"/>
      <c r="DW17" s="385" t="n"/>
      <c r="DX17" s="386">
        <f>IF(Q16="作業者5",H19-H16,0)</f>
        <v/>
      </c>
      <c r="DY17" s="387" t="n"/>
      <c r="DZ17" s="387" t="n"/>
      <c r="EA17" s="387" t="n"/>
      <c r="EB17" s="388" t="n"/>
    </row>
    <row r="18" ht="9" customHeight="1" s="337">
      <c r="B18" s="350" t="n"/>
      <c r="C18" s="338" t="n"/>
      <c r="D18" s="380" t="n"/>
      <c r="E18" s="23" t="n"/>
      <c r="F18" s="338" t="n"/>
      <c r="G18" s="24" t="n"/>
      <c r="H18" s="23" t="n"/>
      <c r="I18" s="338" t="n"/>
      <c r="J18" s="24" t="n"/>
      <c r="K18" s="23" t="n"/>
      <c r="L18" s="338" t="n"/>
      <c r="M18" s="24" t="n"/>
      <c r="N18" s="23" t="n"/>
      <c r="O18" s="338" t="n"/>
      <c r="P18" s="24" t="n"/>
      <c r="Q18" s="382" t="n"/>
      <c r="R18" s="338" t="n"/>
      <c r="S18" s="380" t="n"/>
      <c r="T18" s="382" t="n"/>
      <c r="U18" s="338" t="n"/>
      <c r="V18" s="380" t="n"/>
      <c r="W18" s="382" t="n"/>
      <c r="X18" s="338" t="n"/>
      <c r="Y18" s="338" t="n"/>
      <c r="Z18" s="338" t="n"/>
      <c r="AA18" s="338" t="n"/>
      <c r="AB18" s="338" t="n"/>
      <c r="AC18" s="338" t="n"/>
      <c r="AD18" s="338" t="n"/>
      <c r="AE18" s="338" t="n"/>
      <c r="AF18" s="338" t="n"/>
      <c r="AG18" s="338" t="n"/>
      <c r="AH18" s="338" t="n"/>
      <c r="AI18" s="338" t="n"/>
      <c r="AJ18" s="338" t="n"/>
      <c r="AK18" s="338" t="n"/>
      <c r="AL18" s="338" t="n"/>
      <c r="AM18" s="338" t="n"/>
      <c r="AN18" s="338" t="n"/>
      <c r="AO18" s="338" t="n"/>
      <c r="AP18" s="338" t="n"/>
      <c r="AQ18" s="338" t="n"/>
      <c r="AR18" s="338" t="n"/>
      <c r="AS18" s="338" t="n"/>
      <c r="AT18" s="338" t="n"/>
      <c r="AU18" s="338" t="n"/>
      <c r="AV18" s="338" t="n"/>
      <c r="AW18" s="338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8" t="n"/>
      <c r="BH18" s="338" t="n"/>
      <c r="BI18" s="338" t="n"/>
      <c r="BJ18" s="338" t="n"/>
      <c r="BK18" s="338" t="n"/>
      <c r="BL18" s="338" t="n"/>
      <c r="BM18" s="338" t="n"/>
      <c r="BN18" s="338" t="n"/>
      <c r="BO18" s="338" t="n"/>
      <c r="BP18" s="338" t="n"/>
      <c r="BQ18" s="338" t="n"/>
      <c r="BR18" s="338" t="n"/>
      <c r="BS18" s="338" t="n"/>
      <c r="BT18" s="338" t="n"/>
      <c r="BU18" s="338" t="n"/>
      <c r="BV18" s="338" t="n"/>
      <c r="BW18" s="338" t="n"/>
      <c r="BX18" s="338" t="n"/>
      <c r="BY18" s="338" t="n"/>
      <c r="BZ18" s="338" t="n"/>
      <c r="CA18" s="338" t="n"/>
      <c r="CB18" s="338" t="n"/>
      <c r="CC18" s="383" t="n"/>
      <c r="CD18" s="30" t="n"/>
      <c r="CE18" s="31" t="n"/>
      <c r="CF18" s="253" t="inlineStr">
        <is>
          <t>時間外</t>
        </is>
      </c>
      <c r="CG18" s="384" t="n"/>
      <c r="CH18" s="384" t="n"/>
      <c r="CI18" s="385" t="n"/>
      <c r="CJ18" s="386">
        <f>IF(Q16="作業者1",K19-K16,0)</f>
        <v/>
      </c>
      <c r="CK18" s="387" t="n"/>
      <c r="CL18" s="387" t="n"/>
      <c r="CM18" s="387" t="n"/>
      <c r="CN18" s="388" t="n"/>
      <c r="CP18" s="253" t="inlineStr">
        <is>
          <t>時間外</t>
        </is>
      </c>
      <c r="CQ18" s="384" t="n"/>
      <c r="CR18" s="384" t="n"/>
      <c r="CS18" s="385" t="n"/>
      <c r="CT18" s="386">
        <f>IF(Q16="作業者2",K19-K16,0)</f>
        <v/>
      </c>
      <c r="CU18" s="387" t="n"/>
      <c r="CV18" s="387" t="n"/>
      <c r="CW18" s="387" t="n"/>
      <c r="CX18" s="388" t="n"/>
      <c r="CZ18" s="253" t="inlineStr">
        <is>
          <t>時間外</t>
        </is>
      </c>
      <c r="DA18" s="384" t="n"/>
      <c r="DB18" s="384" t="n"/>
      <c r="DC18" s="385" t="n"/>
      <c r="DD18" s="386">
        <f>IF(Q16="作業者3",K19-K16,0)</f>
        <v/>
      </c>
      <c r="DE18" s="387" t="n"/>
      <c r="DF18" s="387" t="n"/>
      <c r="DG18" s="387" t="n"/>
      <c r="DH18" s="388" t="n"/>
      <c r="DJ18" s="253" t="inlineStr">
        <is>
          <t>時間外</t>
        </is>
      </c>
      <c r="DK18" s="384" t="n"/>
      <c r="DL18" s="384" t="n"/>
      <c r="DM18" s="385" t="n"/>
      <c r="DN18" s="386">
        <f>IF(Q16="作業者4",K19-K16,0)</f>
        <v/>
      </c>
      <c r="DO18" s="387" t="n"/>
      <c r="DP18" s="387" t="n"/>
      <c r="DQ18" s="387" t="n"/>
      <c r="DR18" s="388" t="n"/>
      <c r="DT18" s="253" t="inlineStr">
        <is>
          <t>時間外</t>
        </is>
      </c>
      <c r="DU18" s="384" t="n"/>
      <c r="DV18" s="384" t="n"/>
      <c r="DW18" s="385" t="n"/>
      <c r="DX18" s="386">
        <f>IF(Q16="作業者5",K19-K16,0)</f>
        <v/>
      </c>
      <c r="DY18" s="387" t="n"/>
      <c r="DZ18" s="387" t="n"/>
      <c r="EA18" s="387" t="n"/>
      <c r="EB18" s="388" t="n"/>
    </row>
    <row r="19" ht="9" customHeight="1" s="337">
      <c r="B19" s="389" t="n"/>
      <c r="C19" s="390" t="n"/>
      <c r="D19" s="391" t="n"/>
      <c r="E19" s="392" t="n"/>
      <c r="F19" s="390" t="n"/>
      <c r="G19" s="391" t="n"/>
      <c r="H19" s="392" t="n"/>
      <c r="I19" s="390" t="n"/>
      <c r="J19" s="391" t="n"/>
      <c r="K19" s="392" t="n"/>
      <c r="L19" s="390" t="n"/>
      <c r="M19" s="391" t="n"/>
      <c r="N19" s="392" t="n"/>
      <c r="O19" s="390" t="n"/>
      <c r="P19" s="391" t="n"/>
      <c r="Q19" s="393" t="n"/>
      <c r="R19" s="390" t="n"/>
      <c r="S19" s="391" t="n"/>
      <c r="T19" s="393" t="n"/>
      <c r="U19" s="390" t="n"/>
      <c r="V19" s="391" t="n"/>
      <c r="W19" s="393" t="n"/>
      <c r="X19" s="390" t="n"/>
      <c r="Y19" s="390" t="n"/>
      <c r="Z19" s="390" t="n"/>
      <c r="AA19" s="390" t="n"/>
      <c r="AB19" s="390" t="n"/>
      <c r="AC19" s="390" t="n"/>
      <c r="AD19" s="390" t="n"/>
      <c r="AE19" s="390" t="n"/>
      <c r="AF19" s="390" t="n"/>
      <c r="AG19" s="390" t="n"/>
      <c r="AH19" s="390" t="n"/>
      <c r="AI19" s="390" t="n"/>
      <c r="AJ19" s="390" t="n"/>
      <c r="AK19" s="390" t="n"/>
      <c r="AL19" s="390" t="n"/>
      <c r="AM19" s="390" t="n"/>
      <c r="AN19" s="390" t="n"/>
      <c r="AO19" s="390" t="n"/>
      <c r="AP19" s="390" t="n"/>
      <c r="AQ19" s="390" t="n"/>
      <c r="AR19" s="390" t="n"/>
      <c r="AS19" s="390" t="n"/>
      <c r="AT19" s="390" t="n"/>
      <c r="AU19" s="390" t="n"/>
      <c r="AV19" s="390" t="n"/>
      <c r="AW19" s="390" t="n"/>
      <c r="AX19" s="390" t="n"/>
      <c r="AY19" s="390" t="n"/>
      <c r="AZ19" s="390" t="n"/>
      <c r="BA19" s="390" t="n"/>
      <c r="BB19" s="390" t="n"/>
      <c r="BC19" s="390" t="n"/>
      <c r="BD19" s="390" t="n"/>
      <c r="BE19" s="390" t="n"/>
      <c r="BF19" s="390" t="n"/>
      <c r="BG19" s="390" t="n"/>
      <c r="BH19" s="390" t="n"/>
      <c r="BI19" s="390" t="n"/>
      <c r="BJ19" s="390" t="n"/>
      <c r="BK19" s="390" t="n"/>
      <c r="BL19" s="390" t="n"/>
      <c r="BM19" s="390" t="n"/>
      <c r="BN19" s="390" t="n"/>
      <c r="BO19" s="390" t="n"/>
      <c r="BP19" s="390" t="n"/>
      <c r="BQ19" s="390" t="n"/>
      <c r="BR19" s="390" t="n"/>
      <c r="BS19" s="390" t="n"/>
      <c r="BT19" s="390" t="n"/>
      <c r="BU19" s="390" t="n"/>
      <c r="BV19" s="390" t="n"/>
      <c r="BW19" s="390" t="n"/>
      <c r="BX19" s="390" t="n"/>
      <c r="BY19" s="390" t="n"/>
      <c r="BZ19" s="390" t="n"/>
      <c r="CA19" s="390" t="n"/>
      <c r="CB19" s="390" t="n"/>
      <c r="CC19" s="394" t="n"/>
      <c r="CD19" s="30" t="n"/>
      <c r="CE19" s="31" t="n"/>
      <c r="CF19" s="249" t="inlineStr">
        <is>
          <t>休日</t>
        </is>
      </c>
      <c r="CG19" s="408" t="n"/>
      <c r="CH19" s="408" t="n"/>
      <c r="CI19" s="409" t="n"/>
      <c r="CJ19" s="386">
        <f>IF(Q16="作業者1",N19-N16,0)</f>
        <v/>
      </c>
      <c r="CK19" s="387" t="n"/>
      <c r="CL19" s="387" t="n"/>
      <c r="CM19" s="387" t="n"/>
      <c r="CN19" s="388" t="n"/>
      <c r="CP19" s="253" t="inlineStr">
        <is>
          <t>休日</t>
        </is>
      </c>
      <c r="CQ19" s="384" t="n"/>
      <c r="CR19" s="384" t="n"/>
      <c r="CS19" s="385" t="n"/>
      <c r="CT19" s="386">
        <f>IF(Q16="作業者2",N19-N16,0)</f>
        <v/>
      </c>
      <c r="CU19" s="387" t="n"/>
      <c r="CV19" s="387" t="n"/>
      <c r="CW19" s="387" t="n"/>
      <c r="CX19" s="388" t="n"/>
      <c r="CZ19" s="254" t="inlineStr">
        <is>
          <t>休日</t>
        </is>
      </c>
      <c r="DA19" s="395" t="n"/>
      <c r="DB19" s="395" t="n"/>
      <c r="DC19" s="396" t="n"/>
      <c r="DD19" s="397">
        <f>IF(Q16="作業者3",N19-N16,0)</f>
        <v/>
      </c>
      <c r="DE19" s="395" t="n"/>
      <c r="DF19" s="395" t="n"/>
      <c r="DG19" s="395" t="n"/>
      <c r="DH19" s="396" t="n"/>
      <c r="DJ19" s="254" t="inlineStr">
        <is>
          <t>休日</t>
        </is>
      </c>
      <c r="DK19" s="395" t="n"/>
      <c r="DL19" s="395" t="n"/>
      <c r="DM19" s="396" t="n"/>
      <c r="DN19" s="397">
        <f>IF(Q16="作業者4",N19-N16,0)</f>
        <v/>
      </c>
      <c r="DO19" s="395" t="n"/>
      <c r="DP19" s="395" t="n"/>
      <c r="DQ19" s="395" t="n"/>
      <c r="DR19" s="396" t="n"/>
      <c r="DT19" s="254" t="inlineStr">
        <is>
          <t>休日</t>
        </is>
      </c>
      <c r="DU19" s="395" t="n"/>
      <c r="DV19" s="395" t="n"/>
      <c r="DW19" s="396" t="n"/>
      <c r="DX19" s="397">
        <f>IF(Q16="作業者5",N19-N16,0)</f>
        <v/>
      </c>
      <c r="DY19" s="395" t="n"/>
      <c r="DZ19" s="395" t="n"/>
      <c r="EA19" s="395" t="n"/>
      <c r="EB19" s="396" t="n"/>
    </row>
    <row r="20" ht="9" customHeight="1" s="337">
      <c r="B20" s="398" t="n"/>
      <c r="C20" s="372" t="n"/>
      <c r="D20" s="373" t="n"/>
      <c r="E20" s="399" t="n"/>
      <c r="F20" s="372" t="n"/>
      <c r="G20" s="373" t="n"/>
      <c r="H20" s="399" t="n"/>
      <c r="I20" s="372" t="n"/>
      <c r="J20" s="373" t="n"/>
      <c r="K20" s="399" t="n"/>
      <c r="L20" s="372" t="n"/>
      <c r="M20" s="373" t="n"/>
      <c r="N20" s="399" t="n"/>
      <c r="O20" s="372" t="n"/>
      <c r="P20" s="373" t="n"/>
      <c r="Q20" s="371" t="n"/>
      <c r="R20" s="372" t="n"/>
      <c r="S20" s="373" t="n"/>
      <c r="T20" s="371" t="n"/>
      <c r="U20" s="372" t="n"/>
      <c r="V20" s="373" t="n"/>
      <c r="W20" s="443" t="n"/>
      <c r="X20" s="372" t="n"/>
      <c r="Y20" s="372" t="n"/>
      <c r="Z20" s="372" t="n"/>
      <c r="AA20" s="372" t="n"/>
      <c r="AB20" s="372" t="n"/>
      <c r="AC20" s="372" t="n"/>
      <c r="AD20" s="372" t="n"/>
      <c r="AE20" s="372" t="n"/>
      <c r="AF20" s="372" t="n"/>
      <c r="AG20" s="372" t="n"/>
      <c r="AH20" s="372" t="n"/>
      <c r="AI20" s="372" t="n"/>
      <c r="AJ20" s="372" t="n"/>
      <c r="AK20" s="372" t="n"/>
      <c r="AL20" s="372" t="n"/>
      <c r="AM20" s="372" t="n"/>
      <c r="AN20" s="372" t="n"/>
      <c r="AO20" s="372" t="n"/>
      <c r="AP20" s="372" t="n"/>
      <c r="AQ20" s="372" t="n"/>
      <c r="AR20" s="372" t="n"/>
      <c r="AS20" s="372" t="n"/>
      <c r="AT20" s="372" t="n"/>
      <c r="AU20" s="372" t="n"/>
      <c r="AV20" s="372" t="n"/>
      <c r="AW20" s="372" t="n"/>
      <c r="AX20" s="372" t="n"/>
      <c r="AY20" s="372" t="n"/>
      <c r="AZ20" s="372" t="n"/>
      <c r="BA20" s="372" t="n"/>
      <c r="BB20" s="372" t="n"/>
      <c r="BC20" s="372" t="n"/>
      <c r="BD20" s="372" t="n"/>
      <c r="BE20" s="372" t="n"/>
      <c r="BF20" s="372" t="n"/>
      <c r="BG20" s="372" t="n"/>
      <c r="BH20" s="372" t="n"/>
      <c r="BI20" s="372" t="n"/>
      <c r="BJ20" s="372" t="n"/>
      <c r="BK20" s="372" t="n"/>
      <c r="BL20" s="372" t="n"/>
      <c r="BM20" s="372" t="n"/>
      <c r="BN20" s="372" t="n"/>
      <c r="BO20" s="372" t="n"/>
      <c r="BP20" s="372" t="n"/>
      <c r="BQ20" s="372" t="n"/>
      <c r="BR20" s="372" t="n"/>
      <c r="BS20" s="372" t="n"/>
      <c r="BT20" s="372" t="n"/>
      <c r="BU20" s="372" t="n"/>
      <c r="BV20" s="372" t="n"/>
      <c r="BW20" s="372" t="n"/>
      <c r="BX20" s="372" t="n"/>
      <c r="BY20" s="372" t="n"/>
      <c r="BZ20" s="372" t="n"/>
      <c r="CA20" s="372" t="n"/>
      <c r="CB20" s="372" t="n"/>
      <c r="CC20" s="402" t="n"/>
      <c r="CF20" s="248" t="inlineStr">
        <is>
          <t>移動</t>
        </is>
      </c>
      <c r="CG20" s="377" t="n"/>
      <c r="CH20" s="377" t="n"/>
      <c r="CI20" s="378" t="n"/>
      <c r="CJ20" s="379">
        <f>IF(Q20="作業者1",E23-E20,0)</f>
        <v/>
      </c>
      <c r="CK20" s="377" t="n"/>
      <c r="CL20" s="377" t="n"/>
      <c r="CM20" s="377" t="n"/>
      <c r="CN20" s="378" t="n"/>
      <c r="CP20" s="248" t="inlineStr">
        <is>
          <t>移動</t>
        </is>
      </c>
      <c r="CQ20" s="377" t="n"/>
      <c r="CR20" s="377" t="n"/>
      <c r="CS20" s="378" t="n"/>
      <c r="CT20" s="379">
        <f>IF(Q20="作業者2",E23-E20,0)</f>
        <v/>
      </c>
      <c r="CU20" s="377" t="n"/>
      <c r="CV20" s="377" t="n"/>
      <c r="CW20" s="377" t="n"/>
      <c r="CX20" s="378" t="n"/>
      <c r="CZ20" s="259" t="inlineStr">
        <is>
          <t>移動</t>
        </is>
      </c>
      <c r="DA20" s="403" t="n"/>
      <c r="DB20" s="403" t="n"/>
      <c r="DC20" s="404" t="n"/>
      <c r="DD20" s="405">
        <f>IF(Q20="作業者3",E23-E20,0)</f>
        <v/>
      </c>
      <c r="DE20" s="406" t="n"/>
      <c r="DF20" s="406" t="n"/>
      <c r="DG20" s="406" t="n"/>
      <c r="DH20" s="407" t="n"/>
      <c r="DJ20" s="259" t="inlineStr">
        <is>
          <t>移動</t>
        </is>
      </c>
      <c r="DK20" s="403" t="n"/>
      <c r="DL20" s="403" t="n"/>
      <c r="DM20" s="404" t="n"/>
      <c r="DN20" s="379">
        <f>IF(Q20="作業者4",E23-E20,0)</f>
        <v/>
      </c>
      <c r="DO20" s="377" t="n"/>
      <c r="DP20" s="377" t="n"/>
      <c r="DQ20" s="377" t="n"/>
      <c r="DR20" s="378" t="n"/>
      <c r="DT20" s="259" t="inlineStr">
        <is>
          <t>移動</t>
        </is>
      </c>
      <c r="DU20" s="403" t="n"/>
      <c r="DV20" s="403" t="n"/>
      <c r="DW20" s="404" t="n"/>
      <c r="DX20" s="379">
        <f>IF(Q20="作業者5",E23-E20,0)</f>
        <v/>
      </c>
      <c r="DY20" s="377" t="n"/>
      <c r="DZ20" s="377" t="n"/>
      <c r="EA20" s="377" t="n"/>
      <c r="EB20" s="378" t="n"/>
    </row>
    <row r="21" ht="9" customHeight="1" s="337">
      <c r="B21" s="350" t="n"/>
      <c r="C21" s="338" t="n"/>
      <c r="D21" s="380" t="n"/>
      <c r="E21" s="381" t="n"/>
      <c r="F21" s="122" t="inlineStr">
        <is>
          <t>～</t>
        </is>
      </c>
      <c r="G21" s="22" t="n"/>
      <c r="H21" s="381" t="n"/>
      <c r="I21" s="122" t="inlineStr">
        <is>
          <t>～</t>
        </is>
      </c>
      <c r="J21" s="22" t="n"/>
      <c r="K21" s="381" t="n"/>
      <c r="L21" s="122" t="inlineStr">
        <is>
          <t>～</t>
        </is>
      </c>
      <c r="M21" s="22" t="n"/>
      <c r="N21" s="381" t="n"/>
      <c r="O21" s="122" t="inlineStr">
        <is>
          <t>～</t>
        </is>
      </c>
      <c r="P21" s="22" t="n"/>
      <c r="Q21" s="382" t="n"/>
      <c r="R21" s="338" t="n"/>
      <c r="S21" s="380" t="n"/>
      <c r="T21" s="382" t="n"/>
      <c r="U21" s="338" t="n"/>
      <c r="V21" s="380" t="n"/>
      <c r="W21" s="382" t="n"/>
      <c r="X21" s="338" t="n"/>
      <c r="Y21" s="338" t="n"/>
      <c r="Z21" s="338" t="n"/>
      <c r="AA21" s="338" t="n"/>
      <c r="AB21" s="338" t="n"/>
      <c r="AC21" s="338" t="n"/>
      <c r="AD21" s="338" t="n"/>
      <c r="AE21" s="338" t="n"/>
      <c r="AF21" s="338" t="n"/>
      <c r="AG21" s="338" t="n"/>
      <c r="AH21" s="338" t="n"/>
      <c r="AI21" s="338" t="n"/>
      <c r="AJ21" s="338" t="n"/>
      <c r="AK21" s="338" t="n"/>
      <c r="AL21" s="338" t="n"/>
      <c r="AM21" s="338" t="n"/>
      <c r="AN21" s="338" t="n"/>
      <c r="AO21" s="338" t="n"/>
      <c r="AP21" s="338" t="n"/>
      <c r="AQ21" s="338" t="n"/>
      <c r="AR21" s="338" t="n"/>
      <c r="AS21" s="338" t="n"/>
      <c r="AT21" s="338" t="n"/>
      <c r="AU21" s="338" t="n"/>
      <c r="AV21" s="338" t="n"/>
      <c r="AW21" s="338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8" t="n"/>
      <c r="BH21" s="338" t="n"/>
      <c r="BI21" s="338" t="n"/>
      <c r="BJ21" s="338" t="n"/>
      <c r="BK21" s="338" t="n"/>
      <c r="BL21" s="338" t="n"/>
      <c r="BM21" s="338" t="n"/>
      <c r="BN21" s="338" t="n"/>
      <c r="BO21" s="338" t="n"/>
      <c r="BP21" s="338" t="n"/>
      <c r="BQ21" s="338" t="n"/>
      <c r="BR21" s="338" t="n"/>
      <c r="BS21" s="338" t="n"/>
      <c r="BT21" s="338" t="n"/>
      <c r="BU21" s="338" t="n"/>
      <c r="BV21" s="338" t="n"/>
      <c r="BW21" s="338" t="n"/>
      <c r="BX21" s="338" t="n"/>
      <c r="BY21" s="338" t="n"/>
      <c r="BZ21" s="338" t="n"/>
      <c r="CA21" s="338" t="n"/>
      <c r="CB21" s="338" t="n"/>
      <c r="CC21" s="383" t="n"/>
      <c r="CF21" s="253" t="inlineStr">
        <is>
          <t>時間内</t>
        </is>
      </c>
      <c r="CG21" s="384" t="n"/>
      <c r="CH21" s="384" t="n"/>
      <c r="CI21" s="385" t="n"/>
      <c r="CJ21" s="386">
        <f>IF(Q20="作業者1",H23-H20,0)</f>
        <v/>
      </c>
      <c r="CK21" s="387" t="n"/>
      <c r="CL21" s="387" t="n"/>
      <c r="CM21" s="387" t="n"/>
      <c r="CN21" s="388" t="n"/>
      <c r="CP21" s="253" t="inlineStr">
        <is>
          <t>時間内</t>
        </is>
      </c>
      <c r="CQ21" s="384" t="n"/>
      <c r="CR21" s="384" t="n"/>
      <c r="CS21" s="385" t="n"/>
      <c r="CT21" s="386">
        <f>IF(Q20="作業者2",H23-H20,0)</f>
        <v/>
      </c>
      <c r="CU21" s="387" t="n"/>
      <c r="CV21" s="387" t="n"/>
      <c r="CW21" s="387" t="n"/>
      <c r="CX21" s="388" t="n"/>
      <c r="CZ21" s="253" t="inlineStr">
        <is>
          <t>時間内</t>
        </is>
      </c>
      <c r="DA21" s="384" t="n"/>
      <c r="DB21" s="384" t="n"/>
      <c r="DC21" s="385" t="n"/>
      <c r="DD21" s="386">
        <f>IF(Q20="作業者3",H23-H20,0)</f>
        <v/>
      </c>
      <c r="DE21" s="387" t="n"/>
      <c r="DF21" s="387" t="n"/>
      <c r="DG21" s="387" t="n"/>
      <c r="DH21" s="388" t="n"/>
      <c r="DJ21" s="253" t="inlineStr">
        <is>
          <t>時間内</t>
        </is>
      </c>
      <c r="DK21" s="384" t="n"/>
      <c r="DL21" s="384" t="n"/>
      <c r="DM21" s="385" t="n"/>
      <c r="DN21" s="386">
        <f>IF(Q20="作業者4",H23-H20,0)</f>
        <v/>
      </c>
      <c r="DO21" s="387" t="n"/>
      <c r="DP21" s="387" t="n"/>
      <c r="DQ21" s="387" t="n"/>
      <c r="DR21" s="388" t="n"/>
      <c r="DT21" s="253" t="inlineStr">
        <is>
          <t>時間内</t>
        </is>
      </c>
      <c r="DU21" s="384" t="n"/>
      <c r="DV21" s="384" t="n"/>
      <c r="DW21" s="385" t="n"/>
      <c r="DX21" s="386">
        <f>IF(Q20="作業者5",H23-H20,0)</f>
        <v/>
      </c>
      <c r="DY21" s="387" t="n"/>
      <c r="DZ21" s="387" t="n"/>
      <c r="EA21" s="387" t="n"/>
      <c r="EB21" s="388" t="n"/>
    </row>
    <row r="22" ht="9" customHeight="1" s="337">
      <c r="B22" s="350" t="n"/>
      <c r="C22" s="338" t="n"/>
      <c r="D22" s="380" t="n"/>
      <c r="E22" s="23" t="n"/>
      <c r="F22" s="338" t="n"/>
      <c r="G22" s="24" t="n"/>
      <c r="H22" s="23" t="n"/>
      <c r="I22" s="338" t="n"/>
      <c r="J22" s="24" t="n"/>
      <c r="K22" s="23" t="n"/>
      <c r="L22" s="338" t="n"/>
      <c r="M22" s="24" t="n"/>
      <c r="N22" s="23" t="n"/>
      <c r="O22" s="338" t="n"/>
      <c r="P22" s="24" t="n"/>
      <c r="Q22" s="382" t="n"/>
      <c r="R22" s="338" t="n"/>
      <c r="S22" s="380" t="n"/>
      <c r="T22" s="382" t="n"/>
      <c r="U22" s="338" t="n"/>
      <c r="V22" s="380" t="n"/>
      <c r="W22" s="382" t="n"/>
      <c r="X22" s="338" t="n"/>
      <c r="Y22" s="338" t="n"/>
      <c r="Z22" s="338" t="n"/>
      <c r="AA22" s="338" t="n"/>
      <c r="AB22" s="338" t="n"/>
      <c r="AC22" s="338" t="n"/>
      <c r="AD22" s="338" t="n"/>
      <c r="AE22" s="338" t="n"/>
      <c r="AF22" s="338" t="n"/>
      <c r="AG22" s="338" t="n"/>
      <c r="AH22" s="338" t="n"/>
      <c r="AI22" s="338" t="n"/>
      <c r="AJ22" s="338" t="n"/>
      <c r="AK22" s="338" t="n"/>
      <c r="AL22" s="338" t="n"/>
      <c r="AM22" s="338" t="n"/>
      <c r="AN22" s="338" t="n"/>
      <c r="AO22" s="338" t="n"/>
      <c r="AP22" s="338" t="n"/>
      <c r="AQ22" s="338" t="n"/>
      <c r="AR22" s="338" t="n"/>
      <c r="AS22" s="338" t="n"/>
      <c r="AT22" s="338" t="n"/>
      <c r="AU22" s="338" t="n"/>
      <c r="AV22" s="338" t="n"/>
      <c r="AW22" s="338" t="n"/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8" t="n"/>
      <c r="BH22" s="338" t="n"/>
      <c r="BI22" s="338" t="n"/>
      <c r="BJ22" s="338" t="n"/>
      <c r="BK22" s="338" t="n"/>
      <c r="BL22" s="338" t="n"/>
      <c r="BM22" s="338" t="n"/>
      <c r="BN22" s="338" t="n"/>
      <c r="BO22" s="338" t="n"/>
      <c r="BP22" s="338" t="n"/>
      <c r="BQ22" s="338" t="n"/>
      <c r="BR22" s="338" t="n"/>
      <c r="BS22" s="338" t="n"/>
      <c r="BT22" s="338" t="n"/>
      <c r="BU22" s="338" t="n"/>
      <c r="BV22" s="338" t="n"/>
      <c r="BW22" s="338" t="n"/>
      <c r="BX22" s="338" t="n"/>
      <c r="BY22" s="338" t="n"/>
      <c r="BZ22" s="338" t="n"/>
      <c r="CA22" s="338" t="n"/>
      <c r="CB22" s="338" t="n"/>
      <c r="CC22" s="383" t="n"/>
      <c r="CF22" s="253" t="inlineStr">
        <is>
          <t>時間外</t>
        </is>
      </c>
      <c r="CG22" s="384" t="n"/>
      <c r="CH22" s="384" t="n"/>
      <c r="CI22" s="385" t="n"/>
      <c r="CJ22" s="386">
        <f>IF(Q20="作業者1",K23-K20,0)</f>
        <v/>
      </c>
      <c r="CK22" s="387" t="n"/>
      <c r="CL22" s="387" t="n"/>
      <c r="CM22" s="387" t="n"/>
      <c r="CN22" s="388" t="n"/>
      <c r="CP22" s="253" t="inlineStr">
        <is>
          <t>時間外</t>
        </is>
      </c>
      <c r="CQ22" s="384" t="n"/>
      <c r="CR22" s="384" t="n"/>
      <c r="CS22" s="385" t="n"/>
      <c r="CT22" s="386">
        <f>IF(Q20="作業者2",K23-K20,0)</f>
        <v/>
      </c>
      <c r="CU22" s="387" t="n"/>
      <c r="CV22" s="387" t="n"/>
      <c r="CW22" s="387" t="n"/>
      <c r="CX22" s="388" t="n"/>
      <c r="CZ22" s="253" t="inlineStr">
        <is>
          <t>時間外</t>
        </is>
      </c>
      <c r="DA22" s="384" t="n"/>
      <c r="DB22" s="384" t="n"/>
      <c r="DC22" s="385" t="n"/>
      <c r="DD22" s="386">
        <f>IF(Q20="作業者3",K23-K20,0)</f>
        <v/>
      </c>
      <c r="DE22" s="387" t="n"/>
      <c r="DF22" s="387" t="n"/>
      <c r="DG22" s="387" t="n"/>
      <c r="DH22" s="388" t="n"/>
      <c r="DJ22" s="253" t="inlineStr">
        <is>
          <t>時間外</t>
        </is>
      </c>
      <c r="DK22" s="384" t="n"/>
      <c r="DL22" s="384" t="n"/>
      <c r="DM22" s="385" t="n"/>
      <c r="DN22" s="386">
        <f>IF(Q20="作業者4",K23-K20,0)</f>
        <v/>
      </c>
      <c r="DO22" s="387" t="n"/>
      <c r="DP22" s="387" t="n"/>
      <c r="DQ22" s="387" t="n"/>
      <c r="DR22" s="388" t="n"/>
      <c r="DT22" s="253" t="inlineStr">
        <is>
          <t>時間外</t>
        </is>
      </c>
      <c r="DU22" s="384" t="n"/>
      <c r="DV22" s="384" t="n"/>
      <c r="DW22" s="385" t="n"/>
      <c r="DX22" s="386">
        <f>IF(Q20="作業者5",K23-K20,0)</f>
        <v/>
      </c>
      <c r="DY22" s="387" t="n"/>
      <c r="DZ22" s="387" t="n"/>
      <c r="EA22" s="387" t="n"/>
      <c r="EB22" s="388" t="n"/>
    </row>
    <row r="23" ht="9" customHeight="1" s="337">
      <c r="B23" s="389" t="n"/>
      <c r="C23" s="390" t="n"/>
      <c r="D23" s="391" t="n"/>
      <c r="E23" s="392" t="n"/>
      <c r="F23" s="390" t="n"/>
      <c r="G23" s="391" t="n"/>
      <c r="H23" s="392" t="n"/>
      <c r="I23" s="390" t="n"/>
      <c r="J23" s="391" t="n"/>
      <c r="K23" s="392" t="n"/>
      <c r="L23" s="390" t="n"/>
      <c r="M23" s="391" t="n"/>
      <c r="N23" s="392" t="n"/>
      <c r="O23" s="390" t="n"/>
      <c r="P23" s="391" t="n"/>
      <c r="Q23" s="393" t="n"/>
      <c r="R23" s="390" t="n"/>
      <c r="S23" s="391" t="n"/>
      <c r="T23" s="393" t="n"/>
      <c r="U23" s="390" t="n"/>
      <c r="V23" s="391" t="n"/>
      <c r="W23" s="393" t="n"/>
      <c r="X23" s="390" t="n"/>
      <c r="Y23" s="390" t="n"/>
      <c r="Z23" s="390" t="n"/>
      <c r="AA23" s="390" t="n"/>
      <c r="AB23" s="390" t="n"/>
      <c r="AC23" s="390" t="n"/>
      <c r="AD23" s="390" t="n"/>
      <c r="AE23" s="390" t="n"/>
      <c r="AF23" s="390" t="n"/>
      <c r="AG23" s="390" t="n"/>
      <c r="AH23" s="390" t="n"/>
      <c r="AI23" s="390" t="n"/>
      <c r="AJ23" s="390" t="n"/>
      <c r="AK23" s="390" t="n"/>
      <c r="AL23" s="390" t="n"/>
      <c r="AM23" s="390" t="n"/>
      <c r="AN23" s="390" t="n"/>
      <c r="AO23" s="390" t="n"/>
      <c r="AP23" s="390" t="n"/>
      <c r="AQ23" s="390" t="n"/>
      <c r="AR23" s="390" t="n"/>
      <c r="AS23" s="390" t="n"/>
      <c r="AT23" s="390" t="n"/>
      <c r="AU23" s="390" t="n"/>
      <c r="AV23" s="390" t="n"/>
      <c r="AW23" s="390" t="n"/>
      <c r="AX23" s="390" t="n"/>
      <c r="AY23" s="390" t="n"/>
      <c r="AZ23" s="390" t="n"/>
      <c r="BA23" s="390" t="n"/>
      <c r="BB23" s="390" t="n"/>
      <c r="BC23" s="390" t="n"/>
      <c r="BD23" s="390" t="n"/>
      <c r="BE23" s="390" t="n"/>
      <c r="BF23" s="390" t="n"/>
      <c r="BG23" s="390" t="n"/>
      <c r="BH23" s="390" t="n"/>
      <c r="BI23" s="390" t="n"/>
      <c r="BJ23" s="390" t="n"/>
      <c r="BK23" s="390" t="n"/>
      <c r="BL23" s="390" t="n"/>
      <c r="BM23" s="390" t="n"/>
      <c r="BN23" s="390" t="n"/>
      <c r="BO23" s="390" t="n"/>
      <c r="BP23" s="390" t="n"/>
      <c r="BQ23" s="390" t="n"/>
      <c r="BR23" s="390" t="n"/>
      <c r="BS23" s="390" t="n"/>
      <c r="BT23" s="390" t="n"/>
      <c r="BU23" s="390" t="n"/>
      <c r="BV23" s="390" t="n"/>
      <c r="BW23" s="390" t="n"/>
      <c r="BX23" s="390" t="n"/>
      <c r="BY23" s="390" t="n"/>
      <c r="BZ23" s="390" t="n"/>
      <c r="CA23" s="390" t="n"/>
      <c r="CB23" s="390" t="n"/>
      <c r="CC23" s="394" t="n"/>
      <c r="CF23" s="254" t="inlineStr">
        <is>
          <t>休日</t>
        </is>
      </c>
      <c r="CG23" s="395" t="n"/>
      <c r="CH23" s="395" t="n"/>
      <c r="CI23" s="396" t="n"/>
      <c r="CJ23" s="397">
        <f>IF(Q20="作業者1",N23-N20,0)</f>
        <v/>
      </c>
      <c r="CK23" s="395" t="n"/>
      <c r="CL23" s="395" t="n"/>
      <c r="CM23" s="395" t="n"/>
      <c r="CN23" s="396" t="n"/>
      <c r="CP23" s="254" t="inlineStr">
        <is>
          <t>休日</t>
        </is>
      </c>
      <c r="CQ23" s="395" t="n"/>
      <c r="CR23" s="395" t="n"/>
      <c r="CS23" s="396" t="n"/>
      <c r="CT23" s="397">
        <f>IF(Q20="作業者2",N23-N20,0)</f>
        <v/>
      </c>
      <c r="CU23" s="395" t="n"/>
      <c r="CV23" s="395" t="n"/>
      <c r="CW23" s="395" t="n"/>
      <c r="CX23" s="396" t="n"/>
      <c r="CZ23" s="254" t="inlineStr">
        <is>
          <t>休日</t>
        </is>
      </c>
      <c r="DA23" s="395" t="n"/>
      <c r="DB23" s="395" t="n"/>
      <c r="DC23" s="396" t="n"/>
      <c r="DD23" s="397">
        <f>IF(Q20="作業者3",N23-N20,0)</f>
        <v/>
      </c>
      <c r="DE23" s="395" t="n"/>
      <c r="DF23" s="395" t="n"/>
      <c r="DG23" s="395" t="n"/>
      <c r="DH23" s="396" t="n"/>
      <c r="DJ23" s="254" t="inlineStr">
        <is>
          <t>休日</t>
        </is>
      </c>
      <c r="DK23" s="395" t="n"/>
      <c r="DL23" s="395" t="n"/>
      <c r="DM23" s="396" t="n"/>
      <c r="DN23" s="397">
        <f>IF(Q20="作業者4",N23-N20,0)</f>
        <v/>
      </c>
      <c r="DO23" s="395" t="n"/>
      <c r="DP23" s="395" t="n"/>
      <c r="DQ23" s="395" t="n"/>
      <c r="DR23" s="396" t="n"/>
      <c r="DT23" s="254" t="inlineStr">
        <is>
          <t>休日</t>
        </is>
      </c>
      <c r="DU23" s="395" t="n"/>
      <c r="DV23" s="395" t="n"/>
      <c r="DW23" s="396" t="n"/>
      <c r="DX23" s="397">
        <f>IF(Q20="作業者5",N23-N20,0)</f>
        <v/>
      </c>
      <c r="DY23" s="395" t="n"/>
      <c r="DZ23" s="395" t="n"/>
      <c r="EA23" s="395" t="n"/>
      <c r="EB23" s="396" t="n"/>
    </row>
    <row r="24" ht="9" customHeight="1" s="337">
      <c r="B24" s="398" t="n"/>
      <c r="C24" s="372" t="n"/>
      <c r="D24" s="373" t="n"/>
      <c r="E24" s="399" t="n"/>
      <c r="F24" s="372" t="n"/>
      <c r="G24" s="373" t="n"/>
      <c r="H24" s="399" t="n"/>
      <c r="I24" s="372" t="n"/>
      <c r="J24" s="373" t="n"/>
      <c r="K24" s="399" t="n"/>
      <c r="L24" s="372" t="n"/>
      <c r="M24" s="373" t="n"/>
      <c r="N24" s="399" t="n"/>
      <c r="O24" s="372" t="n"/>
      <c r="P24" s="373" t="n"/>
      <c r="Q24" s="371" t="n"/>
      <c r="R24" s="372" t="n"/>
      <c r="S24" s="373" t="n"/>
      <c r="T24" s="371" t="n"/>
      <c r="U24" s="372" t="n"/>
      <c r="V24" s="373" t="n"/>
      <c r="W24" s="443" t="n"/>
      <c r="X24" s="372" t="n"/>
      <c r="Y24" s="372" t="n"/>
      <c r="Z24" s="372" t="n"/>
      <c r="AA24" s="372" t="n"/>
      <c r="AB24" s="372" t="n"/>
      <c r="AC24" s="372" t="n"/>
      <c r="AD24" s="372" t="n"/>
      <c r="AE24" s="372" t="n"/>
      <c r="AF24" s="372" t="n"/>
      <c r="AG24" s="372" t="n"/>
      <c r="AH24" s="372" t="n"/>
      <c r="AI24" s="372" t="n"/>
      <c r="AJ24" s="372" t="n"/>
      <c r="AK24" s="372" t="n"/>
      <c r="AL24" s="372" t="n"/>
      <c r="AM24" s="372" t="n"/>
      <c r="AN24" s="372" t="n"/>
      <c r="AO24" s="372" t="n"/>
      <c r="AP24" s="372" t="n"/>
      <c r="AQ24" s="372" t="n"/>
      <c r="AR24" s="372" t="n"/>
      <c r="AS24" s="372" t="n"/>
      <c r="AT24" s="372" t="n"/>
      <c r="AU24" s="372" t="n"/>
      <c r="AV24" s="372" t="n"/>
      <c r="AW24" s="372" t="n"/>
      <c r="AX24" s="372" t="n"/>
      <c r="AY24" s="372" t="n"/>
      <c r="AZ24" s="372" t="n"/>
      <c r="BA24" s="372" t="n"/>
      <c r="BB24" s="372" t="n"/>
      <c r="BC24" s="372" t="n"/>
      <c r="BD24" s="372" t="n"/>
      <c r="BE24" s="372" t="n"/>
      <c r="BF24" s="372" t="n"/>
      <c r="BG24" s="372" t="n"/>
      <c r="BH24" s="372" t="n"/>
      <c r="BI24" s="372" t="n"/>
      <c r="BJ24" s="372" t="n"/>
      <c r="BK24" s="372" t="n"/>
      <c r="BL24" s="372" t="n"/>
      <c r="BM24" s="372" t="n"/>
      <c r="BN24" s="372" t="n"/>
      <c r="BO24" s="372" t="n"/>
      <c r="BP24" s="372" t="n"/>
      <c r="BQ24" s="372" t="n"/>
      <c r="BR24" s="372" t="n"/>
      <c r="BS24" s="372" t="n"/>
      <c r="BT24" s="372" t="n"/>
      <c r="BU24" s="372" t="n"/>
      <c r="BV24" s="372" t="n"/>
      <c r="BW24" s="372" t="n"/>
      <c r="BX24" s="372" t="n"/>
      <c r="BY24" s="372" t="n"/>
      <c r="BZ24" s="372" t="n"/>
      <c r="CA24" s="372" t="n"/>
      <c r="CB24" s="372" t="n"/>
      <c r="CC24" s="402" t="n"/>
      <c r="CF24" s="248" t="inlineStr">
        <is>
          <t>移動</t>
        </is>
      </c>
      <c r="CG24" s="377" t="n"/>
      <c r="CH24" s="377" t="n"/>
      <c r="CI24" s="378" t="n"/>
      <c r="CJ24" s="379">
        <f>IF(Q24="作業者1",E27-E24,0)</f>
        <v/>
      </c>
      <c r="CK24" s="377" t="n"/>
      <c r="CL24" s="377" t="n"/>
      <c r="CM24" s="377" t="n"/>
      <c r="CN24" s="378" t="n"/>
      <c r="CP24" s="248" t="inlineStr">
        <is>
          <t>移動</t>
        </is>
      </c>
      <c r="CQ24" s="377" t="n"/>
      <c r="CR24" s="377" t="n"/>
      <c r="CS24" s="378" t="n"/>
      <c r="CT24" s="379">
        <f>IF(Q24="作業者2",E27-E24,0)</f>
        <v/>
      </c>
      <c r="CU24" s="377" t="n"/>
      <c r="CV24" s="377" t="n"/>
      <c r="CW24" s="377" t="n"/>
      <c r="CX24" s="378" t="n"/>
      <c r="CZ24" s="259" t="inlineStr">
        <is>
          <t>移動</t>
        </is>
      </c>
      <c r="DA24" s="403" t="n"/>
      <c r="DB24" s="403" t="n"/>
      <c r="DC24" s="404" t="n"/>
      <c r="DD24" s="405">
        <f>IF(Q24="作業者3",E27-E24,0)</f>
        <v/>
      </c>
      <c r="DE24" s="406" t="n"/>
      <c r="DF24" s="406" t="n"/>
      <c r="DG24" s="406" t="n"/>
      <c r="DH24" s="407" t="n"/>
      <c r="DJ24" s="259" t="inlineStr">
        <is>
          <t>移動</t>
        </is>
      </c>
      <c r="DK24" s="403" t="n"/>
      <c r="DL24" s="403" t="n"/>
      <c r="DM24" s="404" t="n"/>
      <c r="DN24" s="379">
        <f>IF(Q24="作業者4",E27-E24,0)</f>
        <v/>
      </c>
      <c r="DO24" s="377" t="n"/>
      <c r="DP24" s="377" t="n"/>
      <c r="DQ24" s="377" t="n"/>
      <c r="DR24" s="378" t="n"/>
      <c r="DT24" s="259" t="inlineStr">
        <is>
          <t>移動</t>
        </is>
      </c>
      <c r="DU24" s="403" t="n"/>
      <c r="DV24" s="403" t="n"/>
      <c r="DW24" s="404" t="n"/>
      <c r="DX24" s="379">
        <f>IF(Q24="作業者5",E27-E24,0)</f>
        <v/>
      </c>
      <c r="DY24" s="377" t="n"/>
      <c r="DZ24" s="377" t="n"/>
      <c r="EA24" s="377" t="n"/>
      <c r="EB24" s="378" t="n"/>
    </row>
    <row r="25" ht="9" customHeight="1" s="337">
      <c r="B25" s="350" t="n"/>
      <c r="C25" s="338" t="n"/>
      <c r="D25" s="380" t="n"/>
      <c r="E25" s="381" t="n"/>
      <c r="F25" s="122" t="inlineStr">
        <is>
          <t>～</t>
        </is>
      </c>
      <c r="G25" s="22" t="n"/>
      <c r="H25" s="381" t="n"/>
      <c r="I25" s="122" t="inlineStr">
        <is>
          <t>～</t>
        </is>
      </c>
      <c r="J25" s="22" t="n"/>
      <c r="K25" s="381" t="n"/>
      <c r="L25" s="122" t="inlineStr">
        <is>
          <t>～</t>
        </is>
      </c>
      <c r="M25" s="22" t="n"/>
      <c r="N25" s="381" t="n"/>
      <c r="O25" s="122" t="inlineStr">
        <is>
          <t>～</t>
        </is>
      </c>
      <c r="P25" s="22" t="n"/>
      <c r="Q25" s="382" t="n"/>
      <c r="R25" s="338" t="n"/>
      <c r="S25" s="380" t="n"/>
      <c r="T25" s="382" t="n"/>
      <c r="U25" s="338" t="n"/>
      <c r="V25" s="380" t="n"/>
      <c r="W25" s="382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8" t="n"/>
      <c r="BH25" s="338" t="n"/>
      <c r="BI25" s="338" t="n"/>
      <c r="BJ25" s="338" t="n"/>
      <c r="BK25" s="338" t="n"/>
      <c r="BL25" s="338" t="n"/>
      <c r="BM25" s="338" t="n"/>
      <c r="BN25" s="338" t="n"/>
      <c r="BO25" s="338" t="n"/>
      <c r="BP25" s="338" t="n"/>
      <c r="BQ25" s="338" t="n"/>
      <c r="BR25" s="338" t="n"/>
      <c r="BS25" s="338" t="n"/>
      <c r="BT25" s="338" t="n"/>
      <c r="BU25" s="338" t="n"/>
      <c r="BV25" s="338" t="n"/>
      <c r="BW25" s="338" t="n"/>
      <c r="BX25" s="338" t="n"/>
      <c r="BY25" s="338" t="n"/>
      <c r="BZ25" s="338" t="n"/>
      <c r="CA25" s="338" t="n"/>
      <c r="CB25" s="338" t="n"/>
      <c r="CC25" s="383" t="n"/>
      <c r="CF25" s="253" t="inlineStr">
        <is>
          <t>時間内</t>
        </is>
      </c>
      <c r="CG25" s="384" t="n"/>
      <c r="CH25" s="384" t="n"/>
      <c r="CI25" s="385" t="n"/>
      <c r="CJ25" s="386">
        <f>IF(Q24="作業者1",H27-H24,0)</f>
        <v/>
      </c>
      <c r="CK25" s="387" t="n"/>
      <c r="CL25" s="387" t="n"/>
      <c r="CM25" s="387" t="n"/>
      <c r="CN25" s="388" t="n"/>
      <c r="CP25" s="253" t="inlineStr">
        <is>
          <t>時間内</t>
        </is>
      </c>
      <c r="CQ25" s="384" t="n"/>
      <c r="CR25" s="384" t="n"/>
      <c r="CS25" s="385" t="n"/>
      <c r="CT25" s="386">
        <f>IF(Q24="作業者2",H27-H24,0)</f>
        <v/>
      </c>
      <c r="CU25" s="387" t="n"/>
      <c r="CV25" s="387" t="n"/>
      <c r="CW25" s="387" t="n"/>
      <c r="CX25" s="388" t="n"/>
      <c r="CZ25" s="253" t="inlineStr">
        <is>
          <t>時間内</t>
        </is>
      </c>
      <c r="DA25" s="384" t="n"/>
      <c r="DB25" s="384" t="n"/>
      <c r="DC25" s="385" t="n"/>
      <c r="DD25" s="386">
        <f>IF(Q24="作業者3",H27-H24,0)</f>
        <v/>
      </c>
      <c r="DE25" s="387" t="n"/>
      <c r="DF25" s="387" t="n"/>
      <c r="DG25" s="387" t="n"/>
      <c r="DH25" s="388" t="n"/>
      <c r="DJ25" s="253" t="inlineStr">
        <is>
          <t>時間内</t>
        </is>
      </c>
      <c r="DK25" s="384" t="n"/>
      <c r="DL25" s="384" t="n"/>
      <c r="DM25" s="385" t="n"/>
      <c r="DN25" s="386">
        <f>IF(Q24="作業者4",H27-H24,0)</f>
        <v/>
      </c>
      <c r="DO25" s="387" t="n"/>
      <c r="DP25" s="387" t="n"/>
      <c r="DQ25" s="387" t="n"/>
      <c r="DR25" s="388" t="n"/>
      <c r="DT25" s="253" t="inlineStr">
        <is>
          <t>時間内</t>
        </is>
      </c>
      <c r="DU25" s="384" t="n"/>
      <c r="DV25" s="384" t="n"/>
      <c r="DW25" s="385" t="n"/>
      <c r="DX25" s="386">
        <f>IF(Q24="作業者5",H27-H24,0)</f>
        <v/>
      </c>
      <c r="DY25" s="387" t="n"/>
      <c r="DZ25" s="387" t="n"/>
      <c r="EA25" s="387" t="n"/>
      <c r="EB25" s="388" t="n"/>
    </row>
    <row r="26" ht="9" customHeight="1" s="337">
      <c r="B26" s="350" t="n"/>
      <c r="C26" s="338" t="n"/>
      <c r="D26" s="380" t="n"/>
      <c r="E26" s="23" t="n"/>
      <c r="F26" s="338" t="n"/>
      <c r="G26" s="24" t="n"/>
      <c r="H26" s="23" t="n"/>
      <c r="I26" s="338" t="n"/>
      <c r="J26" s="24" t="n"/>
      <c r="K26" s="23" t="n"/>
      <c r="L26" s="338" t="n"/>
      <c r="M26" s="24" t="n"/>
      <c r="N26" s="23" t="n"/>
      <c r="O26" s="338" t="n"/>
      <c r="P26" s="24" t="n"/>
      <c r="Q26" s="382" t="n"/>
      <c r="R26" s="338" t="n"/>
      <c r="S26" s="380" t="n"/>
      <c r="T26" s="382" t="n"/>
      <c r="U26" s="338" t="n"/>
      <c r="V26" s="380" t="n"/>
      <c r="W26" s="382" t="n"/>
      <c r="X26" s="338" t="n"/>
      <c r="Y26" s="338" t="n"/>
      <c r="Z26" s="338" t="n"/>
      <c r="AA26" s="338" t="n"/>
      <c r="AB26" s="338" t="n"/>
      <c r="AC26" s="338" t="n"/>
      <c r="AD26" s="338" t="n"/>
      <c r="AE26" s="338" t="n"/>
      <c r="AF26" s="338" t="n"/>
      <c r="AG26" s="338" t="n"/>
      <c r="AH26" s="338" t="n"/>
      <c r="AI26" s="338" t="n"/>
      <c r="AJ26" s="338" t="n"/>
      <c r="AK26" s="338" t="n"/>
      <c r="AL26" s="338" t="n"/>
      <c r="AM26" s="338" t="n"/>
      <c r="AN26" s="338" t="n"/>
      <c r="AO26" s="338" t="n"/>
      <c r="AP26" s="338" t="n"/>
      <c r="AQ26" s="338" t="n"/>
      <c r="AR26" s="338" t="n"/>
      <c r="AS26" s="338" t="n"/>
      <c r="AT26" s="338" t="n"/>
      <c r="AU26" s="338" t="n"/>
      <c r="AV26" s="338" t="n"/>
      <c r="AW26" s="338" t="n"/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8" t="n"/>
      <c r="BH26" s="338" t="n"/>
      <c r="BI26" s="338" t="n"/>
      <c r="BJ26" s="338" t="n"/>
      <c r="BK26" s="338" t="n"/>
      <c r="BL26" s="338" t="n"/>
      <c r="BM26" s="338" t="n"/>
      <c r="BN26" s="338" t="n"/>
      <c r="BO26" s="338" t="n"/>
      <c r="BP26" s="338" t="n"/>
      <c r="BQ26" s="338" t="n"/>
      <c r="BR26" s="338" t="n"/>
      <c r="BS26" s="338" t="n"/>
      <c r="BT26" s="338" t="n"/>
      <c r="BU26" s="338" t="n"/>
      <c r="BV26" s="338" t="n"/>
      <c r="BW26" s="338" t="n"/>
      <c r="BX26" s="338" t="n"/>
      <c r="BY26" s="338" t="n"/>
      <c r="BZ26" s="338" t="n"/>
      <c r="CA26" s="338" t="n"/>
      <c r="CB26" s="338" t="n"/>
      <c r="CC26" s="383" t="n"/>
      <c r="CF26" s="253" t="inlineStr">
        <is>
          <t>時間外</t>
        </is>
      </c>
      <c r="CG26" s="384" t="n"/>
      <c r="CH26" s="384" t="n"/>
      <c r="CI26" s="385" t="n"/>
      <c r="CJ26" s="386">
        <f>IF(Q24="作業者1",K27-K24,0)</f>
        <v/>
      </c>
      <c r="CK26" s="387" t="n"/>
      <c r="CL26" s="387" t="n"/>
      <c r="CM26" s="387" t="n"/>
      <c r="CN26" s="388" t="n"/>
      <c r="CP26" s="253" t="inlineStr">
        <is>
          <t>時間外</t>
        </is>
      </c>
      <c r="CQ26" s="384" t="n"/>
      <c r="CR26" s="384" t="n"/>
      <c r="CS26" s="385" t="n"/>
      <c r="CT26" s="386">
        <f>IF(Q24="作業者2",K27-K24,0)</f>
        <v/>
      </c>
      <c r="CU26" s="387" t="n"/>
      <c r="CV26" s="387" t="n"/>
      <c r="CW26" s="387" t="n"/>
      <c r="CX26" s="388" t="n"/>
      <c r="CZ26" s="253" t="inlineStr">
        <is>
          <t>時間外</t>
        </is>
      </c>
      <c r="DA26" s="384" t="n"/>
      <c r="DB26" s="384" t="n"/>
      <c r="DC26" s="385" t="n"/>
      <c r="DD26" s="386">
        <f>IF(Q24="作業者3",K27-K24,0)</f>
        <v/>
      </c>
      <c r="DE26" s="387" t="n"/>
      <c r="DF26" s="387" t="n"/>
      <c r="DG26" s="387" t="n"/>
      <c r="DH26" s="388" t="n"/>
      <c r="DJ26" s="253" t="inlineStr">
        <is>
          <t>時間外</t>
        </is>
      </c>
      <c r="DK26" s="384" t="n"/>
      <c r="DL26" s="384" t="n"/>
      <c r="DM26" s="385" t="n"/>
      <c r="DN26" s="386">
        <f>IF(Q24="作業者4",K27-K24,0)</f>
        <v/>
      </c>
      <c r="DO26" s="387" t="n"/>
      <c r="DP26" s="387" t="n"/>
      <c r="DQ26" s="387" t="n"/>
      <c r="DR26" s="388" t="n"/>
      <c r="DT26" s="253" t="inlineStr">
        <is>
          <t>時間外</t>
        </is>
      </c>
      <c r="DU26" s="384" t="n"/>
      <c r="DV26" s="384" t="n"/>
      <c r="DW26" s="385" t="n"/>
      <c r="DX26" s="386">
        <f>IF(Q24="作業者5",K27-K24,0)</f>
        <v/>
      </c>
      <c r="DY26" s="387" t="n"/>
      <c r="DZ26" s="387" t="n"/>
      <c r="EA26" s="387" t="n"/>
      <c r="EB26" s="388" t="n"/>
    </row>
    <row r="27" ht="9" customHeight="1" s="337">
      <c r="B27" s="389" t="n"/>
      <c r="C27" s="390" t="n"/>
      <c r="D27" s="391" t="n"/>
      <c r="E27" s="392" t="n"/>
      <c r="F27" s="390" t="n"/>
      <c r="G27" s="391" t="n"/>
      <c r="H27" s="392" t="n"/>
      <c r="I27" s="390" t="n"/>
      <c r="J27" s="391" t="n"/>
      <c r="K27" s="392" t="n"/>
      <c r="L27" s="390" t="n"/>
      <c r="M27" s="391" t="n"/>
      <c r="N27" s="392" t="n"/>
      <c r="O27" s="390" t="n"/>
      <c r="P27" s="391" t="n"/>
      <c r="Q27" s="393" t="n"/>
      <c r="R27" s="390" t="n"/>
      <c r="S27" s="391" t="n"/>
      <c r="T27" s="393" t="n"/>
      <c r="U27" s="390" t="n"/>
      <c r="V27" s="391" t="n"/>
      <c r="W27" s="393" t="n"/>
      <c r="X27" s="390" t="n"/>
      <c r="Y27" s="390" t="n"/>
      <c r="Z27" s="390" t="n"/>
      <c r="AA27" s="390" t="n"/>
      <c r="AB27" s="390" t="n"/>
      <c r="AC27" s="390" t="n"/>
      <c r="AD27" s="390" t="n"/>
      <c r="AE27" s="390" t="n"/>
      <c r="AF27" s="390" t="n"/>
      <c r="AG27" s="390" t="n"/>
      <c r="AH27" s="390" t="n"/>
      <c r="AI27" s="390" t="n"/>
      <c r="AJ27" s="390" t="n"/>
      <c r="AK27" s="390" t="n"/>
      <c r="AL27" s="390" t="n"/>
      <c r="AM27" s="390" t="n"/>
      <c r="AN27" s="390" t="n"/>
      <c r="AO27" s="390" t="n"/>
      <c r="AP27" s="390" t="n"/>
      <c r="AQ27" s="390" t="n"/>
      <c r="AR27" s="390" t="n"/>
      <c r="AS27" s="390" t="n"/>
      <c r="AT27" s="390" t="n"/>
      <c r="AU27" s="390" t="n"/>
      <c r="AV27" s="390" t="n"/>
      <c r="AW27" s="390" t="n"/>
      <c r="AX27" s="390" t="n"/>
      <c r="AY27" s="390" t="n"/>
      <c r="AZ27" s="390" t="n"/>
      <c r="BA27" s="390" t="n"/>
      <c r="BB27" s="390" t="n"/>
      <c r="BC27" s="390" t="n"/>
      <c r="BD27" s="390" t="n"/>
      <c r="BE27" s="390" t="n"/>
      <c r="BF27" s="390" t="n"/>
      <c r="BG27" s="390" t="n"/>
      <c r="BH27" s="390" t="n"/>
      <c r="BI27" s="390" t="n"/>
      <c r="BJ27" s="390" t="n"/>
      <c r="BK27" s="390" t="n"/>
      <c r="BL27" s="390" t="n"/>
      <c r="BM27" s="390" t="n"/>
      <c r="BN27" s="390" t="n"/>
      <c r="BO27" s="390" t="n"/>
      <c r="BP27" s="390" t="n"/>
      <c r="BQ27" s="390" t="n"/>
      <c r="BR27" s="390" t="n"/>
      <c r="BS27" s="390" t="n"/>
      <c r="BT27" s="390" t="n"/>
      <c r="BU27" s="390" t="n"/>
      <c r="BV27" s="390" t="n"/>
      <c r="BW27" s="390" t="n"/>
      <c r="BX27" s="390" t="n"/>
      <c r="BY27" s="390" t="n"/>
      <c r="BZ27" s="390" t="n"/>
      <c r="CA27" s="390" t="n"/>
      <c r="CB27" s="390" t="n"/>
      <c r="CC27" s="394" t="n"/>
      <c r="CF27" s="254" t="inlineStr">
        <is>
          <t>休日</t>
        </is>
      </c>
      <c r="CG27" s="395" t="n"/>
      <c r="CH27" s="395" t="n"/>
      <c r="CI27" s="396" t="n"/>
      <c r="CJ27" s="397">
        <f>IF(Q24="作業者1",N27-N24,0)</f>
        <v/>
      </c>
      <c r="CK27" s="395" t="n"/>
      <c r="CL27" s="395" t="n"/>
      <c r="CM27" s="395" t="n"/>
      <c r="CN27" s="396" t="n"/>
      <c r="CP27" s="254" t="inlineStr">
        <is>
          <t>休日</t>
        </is>
      </c>
      <c r="CQ27" s="395" t="n"/>
      <c r="CR27" s="395" t="n"/>
      <c r="CS27" s="396" t="n"/>
      <c r="CT27" s="397">
        <f>IF(Q24="作業者2",N27-N24,0)</f>
        <v/>
      </c>
      <c r="CU27" s="395" t="n"/>
      <c r="CV27" s="395" t="n"/>
      <c r="CW27" s="395" t="n"/>
      <c r="CX27" s="396" t="n"/>
      <c r="CZ27" s="254" t="inlineStr">
        <is>
          <t>休日</t>
        </is>
      </c>
      <c r="DA27" s="395" t="n"/>
      <c r="DB27" s="395" t="n"/>
      <c r="DC27" s="396" t="n"/>
      <c r="DD27" s="397">
        <f>IF(Q24="作業者3",N27-N24,0)</f>
        <v/>
      </c>
      <c r="DE27" s="395" t="n"/>
      <c r="DF27" s="395" t="n"/>
      <c r="DG27" s="395" t="n"/>
      <c r="DH27" s="396" t="n"/>
      <c r="DJ27" s="254" t="inlineStr">
        <is>
          <t>休日</t>
        </is>
      </c>
      <c r="DK27" s="395" t="n"/>
      <c r="DL27" s="395" t="n"/>
      <c r="DM27" s="396" t="n"/>
      <c r="DN27" s="397">
        <f>IF(Q24="作業者4",N27-N24,0)</f>
        <v/>
      </c>
      <c r="DO27" s="395" t="n"/>
      <c r="DP27" s="395" t="n"/>
      <c r="DQ27" s="395" t="n"/>
      <c r="DR27" s="396" t="n"/>
      <c r="DT27" s="254" t="inlineStr">
        <is>
          <t>休日</t>
        </is>
      </c>
      <c r="DU27" s="395" t="n"/>
      <c r="DV27" s="395" t="n"/>
      <c r="DW27" s="396" t="n"/>
      <c r="DX27" s="397">
        <f>IF(Q24="作業者5",N27-N24,0)</f>
        <v/>
      </c>
      <c r="DY27" s="395" t="n"/>
      <c r="DZ27" s="395" t="n"/>
      <c r="EA27" s="395" t="n"/>
      <c r="EB27" s="396" t="n"/>
    </row>
    <row r="28" ht="9" customHeight="1" s="337">
      <c r="B28" s="398" t="n"/>
      <c r="C28" s="372" t="n"/>
      <c r="D28" s="373" t="n"/>
      <c r="E28" s="399" t="n"/>
      <c r="F28" s="372" t="n"/>
      <c r="G28" s="373" t="n"/>
      <c r="H28" s="399" t="n"/>
      <c r="I28" s="372" t="n"/>
      <c r="J28" s="373" t="n"/>
      <c r="K28" s="399" t="n"/>
      <c r="L28" s="372" t="n"/>
      <c r="M28" s="373" t="n"/>
      <c r="N28" s="399" t="n"/>
      <c r="O28" s="372" t="n"/>
      <c r="P28" s="373" t="n"/>
      <c r="Q28" s="371" t="n"/>
      <c r="R28" s="372" t="n"/>
      <c r="S28" s="373" t="n"/>
      <c r="T28" s="371" t="n"/>
      <c r="U28" s="372" t="n"/>
      <c r="V28" s="373" t="n"/>
      <c r="W28" s="443" t="n"/>
      <c r="X28" s="372" t="n"/>
      <c r="Y28" s="372" t="n"/>
      <c r="Z28" s="372" t="n"/>
      <c r="AA28" s="372" t="n"/>
      <c r="AB28" s="372" t="n"/>
      <c r="AC28" s="372" t="n"/>
      <c r="AD28" s="372" t="n"/>
      <c r="AE28" s="372" t="n"/>
      <c r="AF28" s="372" t="n"/>
      <c r="AG28" s="372" t="n"/>
      <c r="AH28" s="372" t="n"/>
      <c r="AI28" s="372" t="n"/>
      <c r="AJ28" s="372" t="n"/>
      <c r="AK28" s="372" t="n"/>
      <c r="AL28" s="372" t="n"/>
      <c r="AM28" s="372" t="n"/>
      <c r="AN28" s="372" t="n"/>
      <c r="AO28" s="372" t="n"/>
      <c r="AP28" s="372" t="n"/>
      <c r="AQ28" s="372" t="n"/>
      <c r="AR28" s="372" t="n"/>
      <c r="AS28" s="372" t="n"/>
      <c r="AT28" s="372" t="n"/>
      <c r="AU28" s="372" t="n"/>
      <c r="AV28" s="372" t="n"/>
      <c r="AW28" s="372" t="n"/>
      <c r="AX28" s="372" t="n"/>
      <c r="AY28" s="372" t="n"/>
      <c r="AZ28" s="372" t="n"/>
      <c r="BA28" s="372" t="n"/>
      <c r="BB28" s="372" t="n"/>
      <c r="BC28" s="372" t="n"/>
      <c r="BD28" s="372" t="n"/>
      <c r="BE28" s="372" t="n"/>
      <c r="BF28" s="372" t="n"/>
      <c r="BG28" s="372" t="n"/>
      <c r="BH28" s="372" t="n"/>
      <c r="BI28" s="372" t="n"/>
      <c r="BJ28" s="372" t="n"/>
      <c r="BK28" s="372" t="n"/>
      <c r="BL28" s="372" t="n"/>
      <c r="BM28" s="372" t="n"/>
      <c r="BN28" s="372" t="n"/>
      <c r="BO28" s="372" t="n"/>
      <c r="BP28" s="372" t="n"/>
      <c r="BQ28" s="372" t="n"/>
      <c r="BR28" s="372" t="n"/>
      <c r="BS28" s="372" t="n"/>
      <c r="BT28" s="372" t="n"/>
      <c r="BU28" s="372" t="n"/>
      <c r="BV28" s="372" t="n"/>
      <c r="BW28" s="372" t="n"/>
      <c r="BX28" s="372" t="n"/>
      <c r="BY28" s="372" t="n"/>
      <c r="BZ28" s="372" t="n"/>
      <c r="CA28" s="372" t="n"/>
      <c r="CB28" s="372" t="n"/>
      <c r="CC28" s="402" t="n"/>
      <c r="CF28" s="248" t="inlineStr">
        <is>
          <t>移動</t>
        </is>
      </c>
      <c r="CG28" s="377" t="n"/>
      <c r="CH28" s="377" t="n"/>
      <c r="CI28" s="378" t="n"/>
      <c r="CJ28" s="379">
        <f>IF(Q28="作業者1",E31-E28,0)</f>
        <v/>
      </c>
      <c r="CK28" s="377" t="n"/>
      <c r="CL28" s="377" t="n"/>
      <c r="CM28" s="377" t="n"/>
      <c r="CN28" s="378" t="n"/>
      <c r="CP28" s="248" t="inlineStr">
        <is>
          <t>移動</t>
        </is>
      </c>
      <c r="CQ28" s="377" t="n"/>
      <c r="CR28" s="377" t="n"/>
      <c r="CS28" s="378" t="n"/>
      <c r="CT28" s="379">
        <f>IF(Q28="作業者2",E31-E28,0)</f>
        <v/>
      </c>
      <c r="CU28" s="377" t="n"/>
      <c r="CV28" s="377" t="n"/>
      <c r="CW28" s="377" t="n"/>
      <c r="CX28" s="378" t="n"/>
      <c r="CZ28" s="259" t="inlineStr">
        <is>
          <t>移動</t>
        </is>
      </c>
      <c r="DA28" s="403" t="n"/>
      <c r="DB28" s="403" t="n"/>
      <c r="DC28" s="404" t="n"/>
      <c r="DD28" s="405">
        <f>IF(Q28="作業者3",E31-E28,0)</f>
        <v/>
      </c>
      <c r="DE28" s="406" t="n"/>
      <c r="DF28" s="406" t="n"/>
      <c r="DG28" s="406" t="n"/>
      <c r="DH28" s="407" t="n"/>
      <c r="DJ28" s="259" t="inlineStr">
        <is>
          <t>移動</t>
        </is>
      </c>
      <c r="DK28" s="403" t="n"/>
      <c r="DL28" s="403" t="n"/>
      <c r="DM28" s="404" t="n"/>
      <c r="DN28" s="379">
        <f>IF(Q28="作業者4",E31-E28,0)</f>
        <v/>
      </c>
      <c r="DO28" s="377" t="n"/>
      <c r="DP28" s="377" t="n"/>
      <c r="DQ28" s="377" t="n"/>
      <c r="DR28" s="378" t="n"/>
      <c r="DT28" s="259" t="inlineStr">
        <is>
          <t>移動</t>
        </is>
      </c>
      <c r="DU28" s="403" t="n"/>
      <c r="DV28" s="403" t="n"/>
      <c r="DW28" s="404" t="n"/>
      <c r="DX28" s="379">
        <f>IF(Q28="作業者5",E31-E28,0)</f>
        <v/>
      </c>
      <c r="DY28" s="377" t="n"/>
      <c r="DZ28" s="377" t="n"/>
      <c r="EA28" s="377" t="n"/>
      <c r="EB28" s="378" t="n"/>
    </row>
    <row r="29" ht="9" customHeight="1" s="337">
      <c r="B29" s="350" t="n"/>
      <c r="C29" s="338" t="n"/>
      <c r="D29" s="380" t="n"/>
      <c r="E29" s="381" t="n"/>
      <c r="F29" s="122" t="inlineStr">
        <is>
          <t>～</t>
        </is>
      </c>
      <c r="G29" s="22" t="n"/>
      <c r="H29" s="381" t="n"/>
      <c r="I29" s="122" t="inlineStr">
        <is>
          <t>～</t>
        </is>
      </c>
      <c r="J29" s="22" t="n"/>
      <c r="K29" s="381" t="n"/>
      <c r="L29" s="122" t="inlineStr">
        <is>
          <t>～</t>
        </is>
      </c>
      <c r="M29" s="22" t="n"/>
      <c r="N29" s="381" t="n"/>
      <c r="O29" s="122" t="inlineStr">
        <is>
          <t>～</t>
        </is>
      </c>
      <c r="P29" s="22" t="n"/>
      <c r="Q29" s="382" t="n"/>
      <c r="R29" s="338" t="n"/>
      <c r="S29" s="380" t="n"/>
      <c r="T29" s="382" t="n"/>
      <c r="U29" s="338" t="n"/>
      <c r="V29" s="380" t="n"/>
      <c r="W29" s="382" t="n"/>
      <c r="X29" s="338" t="n"/>
      <c r="Y29" s="338" t="n"/>
      <c r="Z29" s="338" t="n"/>
      <c r="AA29" s="338" t="n"/>
      <c r="AB29" s="338" t="n"/>
      <c r="AC29" s="338" t="n"/>
      <c r="AD29" s="338" t="n"/>
      <c r="AE29" s="338" t="n"/>
      <c r="AF29" s="338" t="n"/>
      <c r="AG29" s="338" t="n"/>
      <c r="AH29" s="338" t="n"/>
      <c r="AI29" s="338" t="n"/>
      <c r="AJ29" s="338" t="n"/>
      <c r="AK29" s="338" t="n"/>
      <c r="AL29" s="338" t="n"/>
      <c r="AM29" s="338" t="n"/>
      <c r="AN29" s="338" t="n"/>
      <c r="AO29" s="338" t="n"/>
      <c r="AP29" s="338" t="n"/>
      <c r="AQ29" s="338" t="n"/>
      <c r="AR29" s="338" t="n"/>
      <c r="AS29" s="338" t="n"/>
      <c r="AT29" s="338" t="n"/>
      <c r="AU29" s="338" t="n"/>
      <c r="AV29" s="338" t="n"/>
      <c r="AW29" s="338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8" t="n"/>
      <c r="BH29" s="338" t="n"/>
      <c r="BI29" s="338" t="n"/>
      <c r="BJ29" s="338" t="n"/>
      <c r="BK29" s="338" t="n"/>
      <c r="BL29" s="338" t="n"/>
      <c r="BM29" s="338" t="n"/>
      <c r="BN29" s="338" t="n"/>
      <c r="BO29" s="338" t="n"/>
      <c r="BP29" s="338" t="n"/>
      <c r="BQ29" s="338" t="n"/>
      <c r="BR29" s="338" t="n"/>
      <c r="BS29" s="338" t="n"/>
      <c r="BT29" s="338" t="n"/>
      <c r="BU29" s="338" t="n"/>
      <c r="BV29" s="338" t="n"/>
      <c r="BW29" s="338" t="n"/>
      <c r="BX29" s="338" t="n"/>
      <c r="BY29" s="338" t="n"/>
      <c r="BZ29" s="338" t="n"/>
      <c r="CA29" s="338" t="n"/>
      <c r="CB29" s="338" t="n"/>
      <c r="CC29" s="383" t="n"/>
      <c r="CF29" s="253" t="inlineStr">
        <is>
          <t>時間内</t>
        </is>
      </c>
      <c r="CG29" s="384" t="n"/>
      <c r="CH29" s="384" t="n"/>
      <c r="CI29" s="385" t="n"/>
      <c r="CJ29" s="386">
        <f>IF(Q28="作業者1",H31-H28,0)</f>
        <v/>
      </c>
      <c r="CK29" s="387" t="n"/>
      <c r="CL29" s="387" t="n"/>
      <c r="CM29" s="387" t="n"/>
      <c r="CN29" s="388" t="n"/>
      <c r="CP29" s="253" t="inlineStr">
        <is>
          <t>時間内</t>
        </is>
      </c>
      <c r="CQ29" s="384" t="n"/>
      <c r="CR29" s="384" t="n"/>
      <c r="CS29" s="385" t="n"/>
      <c r="CT29" s="386">
        <f>IF(Q28="作業者2",H31-H28,0)</f>
        <v/>
      </c>
      <c r="CU29" s="387" t="n"/>
      <c r="CV29" s="387" t="n"/>
      <c r="CW29" s="387" t="n"/>
      <c r="CX29" s="388" t="n"/>
      <c r="CZ29" s="253" t="inlineStr">
        <is>
          <t>時間内</t>
        </is>
      </c>
      <c r="DA29" s="384" t="n"/>
      <c r="DB29" s="384" t="n"/>
      <c r="DC29" s="385" t="n"/>
      <c r="DD29" s="386">
        <f>IF(Q28="作業者3",H31-H28,0)</f>
        <v/>
      </c>
      <c r="DE29" s="387" t="n"/>
      <c r="DF29" s="387" t="n"/>
      <c r="DG29" s="387" t="n"/>
      <c r="DH29" s="388" t="n"/>
      <c r="DJ29" s="253" t="inlineStr">
        <is>
          <t>時間内</t>
        </is>
      </c>
      <c r="DK29" s="384" t="n"/>
      <c r="DL29" s="384" t="n"/>
      <c r="DM29" s="385" t="n"/>
      <c r="DN29" s="386">
        <f>IF(Q28="作業者4",H31-H28,0)</f>
        <v/>
      </c>
      <c r="DO29" s="387" t="n"/>
      <c r="DP29" s="387" t="n"/>
      <c r="DQ29" s="387" t="n"/>
      <c r="DR29" s="388" t="n"/>
      <c r="DT29" s="253" t="inlineStr">
        <is>
          <t>時間内</t>
        </is>
      </c>
      <c r="DU29" s="384" t="n"/>
      <c r="DV29" s="384" t="n"/>
      <c r="DW29" s="385" t="n"/>
      <c r="DX29" s="386">
        <f>IF(Q28="作業者5",H31-H28,0)</f>
        <v/>
      </c>
      <c r="DY29" s="387" t="n"/>
      <c r="DZ29" s="387" t="n"/>
      <c r="EA29" s="387" t="n"/>
      <c r="EB29" s="388" t="n"/>
    </row>
    <row r="30" ht="9" customHeight="1" s="337">
      <c r="B30" s="350" t="n"/>
      <c r="C30" s="338" t="n"/>
      <c r="D30" s="380" t="n"/>
      <c r="E30" s="23" t="n"/>
      <c r="F30" s="338" t="n"/>
      <c r="G30" s="24" t="n"/>
      <c r="H30" s="23" t="n"/>
      <c r="I30" s="338" t="n"/>
      <c r="J30" s="24" t="n"/>
      <c r="K30" s="23" t="n"/>
      <c r="L30" s="338" t="n"/>
      <c r="M30" s="24" t="n"/>
      <c r="N30" s="23" t="n"/>
      <c r="O30" s="338" t="n"/>
      <c r="P30" s="24" t="n"/>
      <c r="Q30" s="382" t="n"/>
      <c r="R30" s="338" t="n"/>
      <c r="S30" s="380" t="n"/>
      <c r="T30" s="382" t="n"/>
      <c r="U30" s="338" t="n"/>
      <c r="V30" s="380" t="n"/>
      <c r="W30" s="382" t="n"/>
      <c r="X30" s="338" t="n"/>
      <c r="Y30" s="338" t="n"/>
      <c r="Z30" s="338" t="n"/>
      <c r="AA30" s="338" t="n"/>
      <c r="AB30" s="338" t="n"/>
      <c r="AC30" s="338" t="n"/>
      <c r="AD30" s="338" t="n"/>
      <c r="AE30" s="338" t="n"/>
      <c r="AF30" s="338" t="n"/>
      <c r="AG30" s="338" t="n"/>
      <c r="AH30" s="338" t="n"/>
      <c r="AI30" s="338" t="n"/>
      <c r="AJ30" s="338" t="n"/>
      <c r="AK30" s="338" t="n"/>
      <c r="AL30" s="338" t="n"/>
      <c r="AM30" s="338" t="n"/>
      <c r="AN30" s="338" t="n"/>
      <c r="AO30" s="338" t="n"/>
      <c r="AP30" s="338" t="n"/>
      <c r="AQ30" s="338" t="n"/>
      <c r="AR30" s="338" t="n"/>
      <c r="AS30" s="338" t="n"/>
      <c r="AT30" s="338" t="n"/>
      <c r="AU30" s="338" t="n"/>
      <c r="AV30" s="338" t="n"/>
      <c r="AW30" s="338" t="n"/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8" t="n"/>
      <c r="BH30" s="338" t="n"/>
      <c r="BI30" s="338" t="n"/>
      <c r="BJ30" s="338" t="n"/>
      <c r="BK30" s="338" t="n"/>
      <c r="BL30" s="338" t="n"/>
      <c r="BM30" s="338" t="n"/>
      <c r="BN30" s="338" t="n"/>
      <c r="BO30" s="338" t="n"/>
      <c r="BP30" s="338" t="n"/>
      <c r="BQ30" s="338" t="n"/>
      <c r="BR30" s="338" t="n"/>
      <c r="BS30" s="338" t="n"/>
      <c r="BT30" s="338" t="n"/>
      <c r="BU30" s="338" t="n"/>
      <c r="BV30" s="338" t="n"/>
      <c r="BW30" s="338" t="n"/>
      <c r="BX30" s="338" t="n"/>
      <c r="BY30" s="338" t="n"/>
      <c r="BZ30" s="338" t="n"/>
      <c r="CA30" s="338" t="n"/>
      <c r="CB30" s="338" t="n"/>
      <c r="CC30" s="383" t="n"/>
      <c r="CF30" s="253" t="inlineStr">
        <is>
          <t>時間外</t>
        </is>
      </c>
      <c r="CG30" s="384" t="n"/>
      <c r="CH30" s="384" t="n"/>
      <c r="CI30" s="385" t="n"/>
      <c r="CJ30" s="386">
        <f>IF(Q28="作業者1",K31-K28,0)</f>
        <v/>
      </c>
      <c r="CK30" s="387" t="n"/>
      <c r="CL30" s="387" t="n"/>
      <c r="CM30" s="387" t="n"/>
      <c r="CN30" s="388" t="n"/>
      <c r="CP30" s="253" t="inlineStr">
        <is>
          <t>時間外</t>
        </is>
      </c>
      <c r="CQ30" s="384" t="n"/>
      <c r="CR30" s="384" t="n"/>
      <c r="CS30" s="385" t="n"/>
      <c r="CT30" s="386">
        <f>IF(Q28="作業者2",K31-K28,0)</f>
        <v/>
      </c>
      <c r="CU30" s="387" t="n"/>
      <c r="CV30" s="387" t="n"/>
      <c r="CW30" s="387" t="n"/>
      <c r="CX30" s="388" t="n"/>
      <c r="CZ30" s="253" t="inlineStr">
        <is>
          <t>時間外</t>
        </is>
      </c>
      <c r="DA30" s="384" t="n"/>
      <c r="DB30" s="384" t="n"/>
      <c r="DC30" s="385" t="n"/>
      <c r="DD30" s="386">
        <f>IF(Q28="作業者3",K31-K28,0)</f>
        <v/>
      </c>
      <c r="DE30" s="387" t="n"/>
      <c r="DF30" s="387" t="n"/>
      <c r="DG30" s="387" t="n"/>
      <c r="DH30" s="388" t="n"/>
      <c r="DJ30" s="253" t="inlineStr">
        <is>
          <t>時間外</t>
        </is>
      </c>
      <c r="DK30" s="384" t="n"/>
      <c r="DL30" s="384" t="n"/>
      <c r="DM30" s="385" t="n"/>
      <c r="DN30" s="386">
        <f>IF(Q28="作業者4",K31-K28,0)</f>
        <v/>
      </c>
      <c r="DO30" s="387" t="n"/>
      <c r="DP30" s="387" t="n"/>
      <c r="DQ30" s="387" t="n"/>
      <c r="DR30" s="388" t="n"/>
      <c r="DT30" s="253" t="inlineStr">
        <is>
          <t>時間外</t>
        </is>
      </c>
      <c r="DU30" s="384" t="n"/>
      <c r="DV30" s="384" t="n"/>
      <c r="DW30" s="385" t="n"/>
      <c r="DX30" s="386">
        <f>IF(Q28="作業者5",K31-K28,0)</f>
        <v/>
      </c>
      <c r="DY30" s="387" t="n"/>
      <c r="DZ30" s="387" t="n"/>
      <c r="EA30" s="387" t="n"/>
      <c r="EB30" s="388" t="n"/>
    </row>
    <row r="31" ht="9" customHeight="1" s="337">
      <c r="B31" s="389" t="n"/>
      <c r="C31" s="390" t="n"/>
      <c r="D31" s="391" t="n"/>
      <c r="E31" s="392" t="n"/>
      <c r="F31" s="390" t="n"/>
      <c r="G31" s="391" t="n"/>
      <c r="H31" s="392" t="n"/>
      <c r="I31" s="390" t="n"/>
      <c r="J31" s="391" t="n"/>
      <c r="K31" s="392" t="n"/>
      <c r="L31" s="390" t="n"/>
      <c r="M31" s="391" t="n"/>
      <c r="N31" s="392" t="n"/>
      <c r="O31" s="390" t="n"/>
      <c r="P31" s="391" t="n"/>
      <c r="Q31" s="393" t="n"/>
      <c r="R31" s="390" t="n"/>
      <c r="S31" s="391" t="n"/>
      <c r="T31" s="393" t="n"/>
      <c r="U31" s="390" t="n"/>
      <c r="V31" s="391" t="n"/>
      <c r="W31" s="393" t="n"/>
      <c r="X31" s="390" t="n"/>
      <c r="Y31" s="390" t="n"/>
      <c r="Z31" s="390" t="n"/>
      <c r="AA31" s="390" t="n"/>
      <c r="AB31" s="390" t="n"/>
      <c r="AC31" s="390" t="n"/>
      <c r="AD31" s="390" t="n"/>
      <c r="AE31" s="390" t="n"/>
      <c r="AF31" s="390" t="n"/>
      <c r="AG31" s="390" t="n"/>
      <c r="AH31" s="390" t="n"/>
      <c r="AI31" s="390" t="n"/>
      <c r="AJ31" s="390" t="n"/>
      <c r="AK31" s="390" t="n"/>
      <c r="AL31" s="390" t="n"/>
      <c r="AM31" s="390" t="n"/>
      <c r="AN31" s="390" t="n"/>
      <c r="AO31" s="390" t="n"/>
      <c r="AP31" s="390" t="n"/>
      <c r="AQ31" s="390" t="n"/>
      <c r="AR31" s="390" t="n"/>
      <c r="AS31" s="390" t="n"/>
      <c r="AT31" s="390" t="n"/>
      <c r="AU31" s="390" t="n"/>
      <c r="AV31" s="390" t="n"/>
      <c r="AW31" s="390" t="n"/>
      <c r="AX31" s="390" t="n"/>
      <c r="AY31" s="390" t="n"/>
      <c r="AZ31" s="390" t="n"/>
      <c r="BA31" s="390" t="n"/>
      <c r="BB31" s="390" t="n"/>
      <c r="BC31" s="390" t="n"/>
      <c r="BD31" s="390" t="n"/>
      <c r="BE31" s="390" t="n"/>
      <c r="BF31" s="390" t="n"/>
      <c r="BG31" s="390" t="n"/>
      <c r="BH31" s="390" t="n"/>
      <c r="BI31" s="390" t="n"/>
      <c r="BJ31" s="390" t="n"/>
      <c r="BK31" s="390" t="n"/>
      <c r="BL31" s="390" t="n"/>
      <c r="BM31" s="390" t="n"/>
      <c r="BN31" s="390" t="n"/>
      <c r="BO31" s="390" t="n"/>
      <c r="BP31" s="390" t="n"/>
      <c r="BQ31" s="390" t="n"/>
      <c r="BR31" s="390" t="n"/>
      <c r="BS31" s="390" t="n"/>
      <c r="BT31" s="390" t="n"/>
      <c r="BU31" s="390" t="n"/>
      <c r="BV31" s="390" t="n"/>
      <c r="BW31" s="390" t="n"/>
      <c r="BX31" s="390" t="n"/>
      <c r="BY31" s="390" t="n"/>
      <c r="BZ31" s="390" t="n"/>
      <c r="CA31" s="390" t="n"/>
      <c r="CB31" s="390" t="n"/>
      <c r="CC31" s="394" t="n"/>
      <c r="CF31" s="254" t="inlineStr">
        <is>
          <t>休日</t>
        </is>
      </c>
      <c r="CG31" s="395" t="n"/>
      <c r="CH31" s="395" t="n"/>
      <c r="CI31" s="396" t="n"/>
      <c r="CJ31" s="397">
        <f>IF(Q28="作業者1",N31-N28,0)</f>
        <v/>
      </c>
      <c r="CK31" s="395" t="n"/>
      <c r="CL31" s="395" t="n"/>
      <c r="CM31" s="395" t="n"/>
      <c r="CN31" s="396" t="n"/>
      <c r="CP31" s="254" t="inlineStr">
        <is>
          <t>休日</t>
        </is>
      </c>
      <c r="CQ31" s="395" t="n"/>
      <c r="CR31" s="395" t="n"/>
      <c r="CS31" s="396" t="n"/>
      <c r="CT31" s="397">
        <f>IF(Q28="作業者2",N31-N28,0)</f>
        <v/>
      </c>
      <c r="CU31" s="395" t="n"/>
      <c r="CV31" s="395" t="n"/>
      <c r="CW31" s="395" t="n"/>
      <c r="CX31" s="396" t="n"/>
      <c r="CZ31" s="254" t="inlineStr">
        <is>
          <t>休日</t>
        </is>
      </c>
      <c r="DA31" s="395" t="n"/>
      <c r="DB31" s="395" t="n"/>
      <c r="DC31" s="396" t="n"/>
      <c r="DD31" s="397">
        <f>IF(Q28="作業者3",N31-N28,0)</f>
        <v/>
      </c>
      <c r="DE31" s="395" t="n"/>
      <c r="DF31" s="395" t="n"/>
      <c r="DG31" s="395" t="n"/>
      <c r="DH31" s="396" t="n"/>
      <c r="DJ31" s="254" t="inlineStr">
        <is>
          <t>休日</t>
        </is>
      </c>
      <c r="DK31" s="395" t="n"/>
      <c r="DL31" s="395" t="n"/>
      <c r="DM31" s="396" t="n"/>
      <c r="DN31" s="397">
        <f>IF(Q28="作業者4",N31-N28,0)</f>
        <v/>
      </c>
      <c r="DO31" s="395" t="n"/>
      <c r="DP31" s="395" t="n"/>
      <c r="DQ31" s="395" t="n"/>
      <c r="DR31" s="396" t="n"/>
      <c r="DT31" s="254" t="inlineStr">
        <is>
          <t>休日</t>
        </is>
      </c>
      <c r="DU31" s="395" t="n"/>
      <c r="DV31" s="395" t="n"/>
      <c r="DW31" s="396" t="n"/>
      <c r="DX31" s="397">
        <f>IF(Q28="作業者5",N31-N28,0)</f>
        <v/>
      </c>
      <c r="DY31" s="395" t="n"/>
      <c r="DZ31" s="395" t="n"/>
      <c r="EA31" s="395" t="n"/>
      <c r="EB31" s="396" t="n"/>
    </row>
    <row r="32" ht="9" customHeight="1" s="337">
      <c r="B32" s="398" t="n"/>
      <c r="C32" s="372" t="n"/>
      <c r="D32" s="373" t="n"/>
      <c r="E32" s="399" t="n"/>
      <c r="F32" s="372" t="n"/>
      <c r="G32" s="373" t="n"/>
      <c r="H32" s="399" t="n"/>
      <c r="I32" s="372" t="n"/>
      <c r="J32" s="373" t="n"/>
      <c r="K32" s="399" t="n"/>
      <c r="L32" s="372" t="n"/>
      <c r="M32" s="373" t="n"/>
      <c r="N32" s="399" t="n"/>
      <c r="O32" s="372" t="n"/>
      <c r="P32" s="373" t="n"/>
      <c r="Q32" s="371" t="n"/>
      <c r="R32" s="372" t="n"/>
      <c r="S32" s="373" t="n"/>
      <c r="T32" s="371" t="n"/>
      <c r="U32" s="372" t="n"/>
      <c r="V32" s="373" t="n"/>
      <c r="W32" s="443" t="n"/>
      <c r="X32" s="372" t="n"/>
      <c r="Y32" s="372" t="n"/>
      <c r="Z32" s="372" t="n"/>
      <c r="AA32" s="372" t="n"/>
      <c r="AB32" s="372" t="n"/>
      <c r="AC32" s="372" t="n"/>
      <c r="AD32" s="372" t="n"/>
      <c r="AE32" s="372" t="n"/>
      <c r="AF32" s="372" t="n"/>
      <c r="AG32" s="372" t="n"/>
      <c r="AH32" s="372" t="n"/>
      <c r="AI32" s="372" t="n"/>
      <c r="AJ32" s="372" t="n"/>
      <c r="AK32" s="372" t="n"/>
      <c r="AL32" s="372" t="n"/>
      <c r="AM32" s="372" t="n"/>
      <c r="AN32" s="372" t="n"/>
      <c r="AO32" s="372" t="n"/>
      <c r="AP32" s="372" t="n"/>
      <c r="AQ32" s="372" t="n"/>
      <c r="AR32" s="372" t="n"/>
      <c r="AS32" s="372" t="n"/>
      <c r="AT32" s="372" t="n"/>
      <c r="AU32" s="372" t="n"/>
      <c r="AV32" s="372" t="n"/>
      <c r="AW32" s="372" t="n"/>
      <c r="AX32" s="372" t="n"/>
      <c r="AY32" s="372" t="n"/>
      <c r="AZ32" s="372" t="n"/>
      <c r="BA32" s="372" t="n"/>
      <c r="BB32" s="372" t="n"/>
      <c r="BC32" s="372" t="n"/>
      <c r="BD32" s="372" t="n"/>
      <c r="BE32" s="372" t="n"/>
      <c r="BF32" s="372" t="n"/>
      <c r="BG32" s="372" t="n"/>
      <c r="BH32" s="372" t="n"/>
      <c r="BI32" s="372" t="n"/>
      <c r="BJ32" s="372" t="n"/>
      <c r="BK32" s="372" t="n"/>
      <c r="BL32" s="372" t="n"/>
      <c r="BM32" s="372" t="n"/>
      <c r="BN32" s="372" t="n"/>
      <c r="BO32" s="372" t="n"/>
      <c r="BP32" s="372" t="n"/>
      <c r="BQ32" s="372" t="n"/>
      <c r="BR32" s="372" t="n"/>
      <c r="BS32" s="372" t="n"/>
      <c r="BT32" s="372" t="n"/>
      <c r="BU32" s="372" t="n"/>
      <c r="BV32" s="372" t="n"/>
      <c r="BW32" s="372" t="n"/>
      <c r="BX32" s="372" t="n"/>
      <c r="BY32" s="372" t="n"/>
      <c r="BZ32" s="372" t="n"/>
      <c r="CA32" s="372" t="n"/>
      <c r="CB32" s="372" t="n"/>
      <c r="CC32" s="402" t="n"/>
      <c r="CF32" s="248" t="inlineStr">
        <is>
          <t>移動</t>
        </is>
      </c>
      <c r="CG32" s="377" t="n"/>
      <c r="CH32" s="377" t="n"/>
      <c r="CI32" s="378" t="n"/>
      <c r="CJ32" s="379">
        <f>IF(Q32="作業者1",E35-E32,0)</f>
        <v/>
      </c>
      <c r="CK32" s="377" t="n"/>
      <c r="CL32" s="377" t="n"/>
      <c r="CM32" s="377" t="n"/>
      <c r="CN32" s="378" t="n"/>
      <c r="CP32" s="248" t="inlineStr">
        <is>
          <t>移動</t>
        </is>
      </c>
      <c r="CQ32" s="377" t="n"/>
      <c r="CR32" s="377" t="n"/>
      <c r="CS32" s="378" t="n"/>
      <c r="CT32" s="379">
        <f>IF(Q32="作業者2",E35-E32,0)</f>
        <v/>
      </c>
      <c r="CU32" s="377" t="n"/>
      <c r="CV32" s="377" t="n"/>
      <c r="CW32" s="377" t="n"/>
      <c r="CX32" s="378" t="n"/>
      <c r="CZ32" s="259" t="inlineStr">
        <is>
          <t>移動</t>
        </is>
      </c>
      <c r="DA32" s="403" t="n"/>
      <c r="DB32" s="403" t="n"/>
      <c r="DC32" s="404" t="n"/>
      <c r="DD32" s="405">
        <f>IF(Q32="作業者3",E35-E32,0)</f>
        <v/>
      </c>
      <c r="DE32" s="406" t="n"/>
      <c r="DF32" s="406" t="n"/>
      <c r="DG32" s="406" t="n"/>
      <c r="DH32" s="407" t="n"/>
      <c r="DJ32" s="259" t="inlineStr">
        <is>
          <t>移動</t>
        </is>
      </c>
      <c r="DK32" s="403" t="n"/>
      <c r="DL32" s="403" t="n"/>
      <c r="DM32" s="404" t="n"/>
      <c r="DN32" s="379">
        <f>IF(Q32="作業者4",E35-E32,0)</f>
        <v/>
      </c>
      <c r="DO32" s="377" t="n"/>
      <c r="DP32" s="377" t="n"/>
      <c r="DQ32" s="377" t="n"/>
      <c r="DR32" s="378" t="n"/>
      <c r="DT32" s="259" t="inlineStr">
        <is>
          <t>移動</t>
        </is>
      </c>
      <c r="DU32" s="403" t="n"/>
      <c r="DV32" s="403" t="n"/>
      <c r="DW32" s="404" t="n"/>
      <c r="DX32" s="379">
        <f>IF(Q32="作業者5",E35-E32,0)</f>
        <v/>
      </c>
      <c r="DY32" s="377" t="n"/>
      <c r="DZ32" s="377" t="n"/>
      <c r="EA32" s="377" t="n"/>
      <c r="EB32" s="378" t="n"/>
    </row>
    <row r="33" ht="9" customHeight="1" s="337">
      <c r="B33" s="350" t="n"/>
      <c r="C33" s="338" t="n"/>
      <c r="D33" s="380" t="n"/>
      <c r="E33" s="381" t="n"/>
      <c r="F33" s="122" t="inlineStr">
        <is>
          <t>～</t>
        </is>
      </c>
      <c r="G33" s="22" t="n"/>
      <c r="H33" s="381" t="n"/>
      <c r="I33" s="122" t="inlineStr">
        <is>
          <t>～</t>
        </is>
      </c>
      <c r="J33" s="22" t="n"/>
      <c r="K33" s="381" t="n"/>
      <c r="L33" s="122" t="inlineStr">
        <is>
          <t>～</t>
        </is>
      </c>
      <c r="M33" s="22" t="n"/>
      <c r="N33" s="381" t="n"/>
      <c r="O33" s="122" t="inlineStr">
        <is>
          <t>～</t>
        </is>
      </c>
      <c r="P33" s="22" t="n"/>
      <c r="Q33" s="382" t="n"/>
      <c r="R33" s="338" t="n"/>
      <c r="S33" s="380" t="n"/>
      <c r="T33" s="382" t="n"/>
      <c r="U33" s="338" t="n"/>
      <c r="V33" s="380" t="n"/>
      <c r="W33" s="382" t="n"/>
      <c r="X33" s="338" t="n"/>
      <c r="Y33" s="338" t="n"/>
      <c r="Z33" s="338" t="n"/>
      <c r="AA33" s="338" t="n"/>
      <c r="AB33" s="338" t="n"/>
      <c r="AC33" s="338" t="n"/>
      <c r="AD33" s="338" t="n"/>
      <c r="AE33" s="338" t="n"/>
      <c r="AF33" s="338" t="n"/>
      <c r="AG33" s="338" t="n"/>
      <c r="AH33" s="338" t="n"/>
      <c r="AI33" s="338" t="n"/>
      <c r="AJ33" s="338" t="n"/>
      <c r="AK33" s="338" t="n"/>
      <c r="AL33" s="338" t="n"/>
      <c r="AM33" s="338" t="n"/>
      <c r="AN33" s="338" t="n"/>
      <c r="AO33" s="338" t="n"/>
      <c r="AP33" s="338" t="n"/>
      <c r="AQ33" s="338" t="n"/>
      <c r="AR33" s="338" t="n"/>
      <c r="AS33" s="338" t="n"/>
      <c r="AT33" s="338" t="n"/>
      <c r="AU33" s="338" t="n"/>
      <c r="AV33" s="338" t="n"/>
      <c r="AW33" s="338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8" t="n"/>
      <c r="BH33" s="338" t="n"/>
      <c r="BI33" s="338" t="n"/>
      <c r="BJ33" s="338" t="n"/>
      <c r="BK33" s="338" t="n"/>
      <c r="BL33" s="338" t="n"/>
      <c r="BM33" s="338" t="n"/>
      <c r="BN33" s="338" t="n"/>
      <c r="BO33" s="338" t="n"/>
      <c r="BP33" s="338" t="n"/>
      <c r="BQ33" s="338" t="n"/>
      <c r="BR33" s="338" t="n"/>
      <c r="BS33" s="338" t="n"/>
      <c r="BT33" s="338" t="n"/>
      <c r="BU33" s="338" t="n"/>
      <c r="BV33" s="338" t="n"/>
      <c r="BW33" s="338" t="n"/>
      <c r="BX33" s="338" t="n"/>
      <c r="BY33" s="338" t="n"/>
      <c r="BZ33" s="338" t="n"/>
      <c r="CA33" s="338" t="n"/>
      <c r="CB33" s="338" t="n"/>
      <c r="CC33" s="383" t="n"/>
      <c r="CF33" s="253" t="inlineStr">
        <is>
          <t>時間内</t>
        </is>
      </c>
      <c r="CG33" s="384" t="n"/>
      <c r="CH33" s="384" t="n"/>
      <c r="CI33" s="385" t="n"/>
      <c r="CJ33" s="386">
        <f>IF(Q32="作業者1",H35-H32,0)</f>
        <v/>
      </c>
      <c r="CK33" s="387" t="n"/>
      <c r="CL33" s="387" t="n"/>
      <c r="CM33" s="387" t="n"/>
      <c r="CN33" s="388" t="n"/>
      <c r="CP33" s="253" t="inlineStr">
        <is>
          <t>時間内</t>
        </is>
      </c>
      <c r="CQ33" s="384" t="n"/>
      <c r="CR33" s="384" t="n"/>
      <c r="CS33" s="385" t="n"/>
      <c r="CT33" s="386">
        <f>IF(Q32="作業者2",H35-H32,0)</f>
        <v/>
      </c>
      <c r="CU33" s="387" t="n"/>
      <c r="CV33" s="387" t="n"/>
      <c r="CW33" s="387" t="n"/>
      <c r="CX33" s="388" t="n"/>
      <c r="CZ33" s="253" t="inlineStr">
        <is>
          <t>時間内</t>
        </is>
      </c>
      <c r="DA33" s="384" t="n"/>
      <c r="DB33" s="384" t="n"/>
      <c r="DC33" s="385" t="n"/>
      <c r="DD33" s="386">
        <f>IF(Q32="作業者3",H35-H32,0)</f>
        <v/>
      </c>
      <c r="DE33" s="387" t="n"/>
      <c r="DF33" s="387" t="n"/>
      <c r="DG33" s="387" t="n"/>
      <c r="DH33" s="388" t="n"/>
      <c r="DJ33" s="253" t="inlineStr">
        <is>
          <t>時間内</t>
        </is>
      </c>
      <c r="DK33" s="384" t="n"/>
      <c r="DL33" s="384" t="n"/>
      <c r="DM33" s="385" t="n"/>
      <c r="DN33" s="386">
        <f>IF(Q32="作業者4",H35-H32,0)</f>
        <v/>
      </c>
      <c r="DO33" s="387" t="n"/>
      <c r="DP33" s="387" t="n"/>
      <c r="DQ33" s="387" t="n"/>
      <c r="DR33" s="388" t="n"/>
      <c r="DT33" s="253" t="inlineStr">
        <is>
          <t>時間内</t>
        </is>
      </c>
      <c r="DU33" s="384" t="n"/>
      <c r="DV33" s="384" t="n"/>
      <c r="DW33" s="385" t="n"/>
      <c r="DX33" s="386">
        <f>IF(Q32="作業者5",H35-H32,0)</f>
        <v/>
      </c>
      <c r="DY33" s="387" t="n"/>
      <c r="DZ33" s="387" t="n"/>
      <c r="EA33" s="387" t="n"/>
      <c r="EB33" s="388" t="n"/>
    </row>
    <row r="34" ht="9" customHeight="1" s="337">
      <c r="B34" s="350" t="n"/>
      <c r="C34" s="338" t="n"/>
      <c r="D34" s="380" t="n"/>
      <c r="E34" s="23" t="n"/>
      <c r="F34" s="338" t="n"/>
      <c r="G34" s="24" t="n"/>
      <c r="H34" s="23" t="n"/>
      <c r="I34" s="338" t="n"/>
      <c r="J34" s="24" t="n"/>
      <c r="K34" s="23" t="n"/>
      <c r="L34" s="338" t="n"/>
      <c r="M34" s="24" t="n"/>
      <c r="N34" s="23" t="n"/>
      <c r="O34" s="338" t="n"/>
      <c r="P34" s="24" t="n"/>
      <c r="Q34" s="382" t="n"/>
      <c r="R34" s="338" t="n"/>
      <c r="S34" s="380" t="n"/>
      <c r="T34" s="382" t="n"/>
      <c r="U34" s="338" t="n"/>
      <c r="V34" s="380" t="n"/>
      <c r="W34" s="382" t="n"/>
      <c r="X34" s="338" t="n"/>
      <c r="Y34" s="338" t="n"/>
      <c r="Z34" s="338" t="n"/>
      <c r="AA34" s="338" t="n"/>
      <c r="AB34" s="338" t="n"/>
      <c r="AC34" s="338" t="n"/>
      <c r="AD34" s="338" t="n"/>
      <c r="AE34" s="338" t="n"/>
      <c r="AF34" s="338" t="n"/>
      <c r="AG34" s="338" t="n"/>
      <c r="AH34" s="338" t="n"/>
      <c r="AI34" s="338" t="n"/>
      <c r="AJ34" s="338" t="n"/>
      <c r="AK34" s="338" t="n"/>
      <c r="AL34" s="338" t="n"/>
      <c r="AM34" s="338" t="n"/>
      <c r="AN34" s="338" t="n"/>
      <c r="AO34" s="338" t="n"/>
      <c r="AP34" s="338" t="n"/>
      <c r="AQ34" s="338" t="n"/>
      <c r="AR34" s="338" t="n"/>
      <c r="AS34" s="338" t="n"/>
      <c r="AT34" s="338" t="n"/>
      <c r="AU34" s="338" t="n"/>
      <c r="AV34" s="338" t="n"/>
      <c r="AW34" s="338" t="n"/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8" t="n"/>
      <c r="BH34" s="338" t="n"/>
      <c r="BI34" s="338" t="n"/>
      <c r="BJ34" s="338" t="n"/>
      <c r="BK34" s="338" t="n"/>
      <c r="BL34" s="338" t="n"/>
      <c r="BM34" s="338" t="n"/>
      <c r="BN34" s="338" t="n"/>
      <c r="BO34" s="338" t="n"/>
      <c r="BP34" s="338" t="n"/>
      <c r="BQ34" s="338" t="n"/>
      <c r="BR34" s="338" t="n"/>
      <c r="BS34" s="338" t="n"/>
      <c r="BT34" s="338" t="n"/>
      <c r="BU34" s="338" t="n"/>
      <c r="BV34" s="338" t="n"/>
      <c r="BW34" s="338" t="n"/>
      <c r="BX34" s="338" t="n"/>
      <c r="BY34" s="338" t="n"/>
      <c r="BZ34" s="338" t="n"/>
      <c r="CA34" s="338" t="n"/>
      <c r="CB34" s="338" t="n"/>
      <c r="CC34" s="383" t="n"/>
      <c r="CF34" s="253" t="inlineStr">
        <is>
          <t>時間外</t>
        </is>
      </c>
      <c r="CG34" s="384" t="n"/>
      <c r="CH34" s="384" t="n"/>
      <c r="CI34" s="385" t="n"/>
      <c r="CJ34" s="386">
        <f>IF(Q32="作業者1",K35-K32,0)</f>
        <v/>
      </c>
      <c r="CK34" s="387" t="n"/>
      <c r="CL34" s="387" t="n"/>
      <c r="CM34" s="387" t="n"/>
      <c r="CN34" s="388" t="n"/>
      <c r="CP34" s="253" t="inlineStr">
        <is>
          <t>時間外</t>
        </is>
      </c>
      <c r="CQ34" s="384" t="n"/>
      <c r="CR34" s="384" t="n"/>
      <c r="CS34" s="385" t="n"/>
      <c r="CT34" s="386">
        <f>IF(Q32="作業者2",K35-K32,0)</f>
        <v/>
      </c>
      <c r="CU34" s="387" t="n"/>
      <c r="CV34" s="387" t="n"/>
      <c r="CW34" s="387" t="n"/>
      <c r="CX34" s="388" t="n"/>
      <c r="CZ34" s="253" t="inlineStr">
        <is>
          <t>時間外</t>
        </is>
      </c>
      <c r="DA34" s="384" t="n"/>
      <c r="DB34" s="384" t="n"/>
      <c r="DC34" s="385" t="n"/>
      <c r="DD34" s="386">
        <f>IF(Q32="作業者3",K35-K32,0)</f>
        <v/>
      </c>
      <c r="DE34" s="387" t="n"/>
      <c r="DF34" s="387" t="n"/>
      <c r="DG34" s="387" t="n"/>
      <c r="DH34" s="388" t="n"/>
      <c r="DJ34" s="253" t="inlineStr">
        <is>
          <t>時間外</t>
        </is>
      </c>
      <c r="DK34" s="384" t="n"/>
      <c r="DL34" s="384" t="n"/>
      <c r="DM34" s="385" t="n"/>
      <c r="DN34" s="386">
        <f>IF(Q32="作業者4",K35-K32,0)</f>
        <v/>
      </c>
      <c r="DO34" s="387" t="n"/>
      <c r="DP34" s="387" t="n"/>
      <c r="DQ34" s="387" t="n"/>
      <c r="DR34" s="388" t="n"/>
      <c r="DT34" s="253" t="inlineStr">
        <is>
          <t>時間外</t>
        </is>
      </c>
      <c r="DU34" s="384" t="n"/>
      <c r="DV34" s="384" t="n"/>
      <c r="DW34" s="385" t="n"/>
      <c r="DX34" s="386">
        <f>IF(Q32="作業者5",K35-K32,0)</f>
        <v/>
      </c>
      <c r="DY34" s="387" t="n"/>
      <c r="DZ34" s="387" t="n"/>
      <c r="EA34" s="387" t="n"/>
      <c r="EB34" s="388" t="n"/>
    </row>
    <row r="35" ht="9" customHeight="1" s="337">
      <c r="B35" s="389" t="n"/>
      <c r="C35" s="390" t="n"/>
      <c r="D35" s="391" t="n"/>
      <c r="E35" s="392" t="n"/>
      <c r="F35" s="390" t="n"/>
      <c r="G35" s="391" t="n"/>
      <c r="H35" s="392" t="n"/>
      <c r="I35" s="390" t="n"/>
      <c r="J35" s="391" t="n"/>
      <c r="K35" s="392" t="n"/>
      <c r="L35" s="390" t="n"/>
      <c r="M35" s="391" t="n"/>
      <c r="N35" s="392" t="n"/>
      <c r="O35" s="390" t="n"/>
      <c r="P35" s="391" t="n"/>
      <c r="Q35" s="393" t="n"/>
      <c r="R35" s="390" t="n"/>
      <c r="S35" s="391" t="n"/>
      <c r="T35" s="393" t="n"/>
      <c r="U35" s="390" t="n"/>
      <c r="V35" s="391" t="n"/>
      <c r="W35" s="393" t="n"/>
      <c r="X35" s="390" t="n"/>
      <c r="Y35" s="390" t="n"/>
      <c r="Z35" s="390" t="n"/>
      <c r="AA35" s="390" t="n"/>
      <c r="AB35" s="390" t="n"/>
      <c r="AC35" s="390" t="n"/>
      <c r="AD35" s="390" t="n"/>
      <c r="AE35" s="390" t="n"/>
      <c r="AF35" s="390" t="n"/>
      <c r="AG35" s="390" t="n"/>
      <c r="AH35" s="390" t="n"/>
      <c r="AI35" s="390" t="n"/>
      <c r="AJ35" s="390" t="n"/>
      <c r="AK35" s="390" t="n"/>
      <c r="AL35" s="390" t="n"/>
      <c r="AM35" s="390" t="n"/>
      <c r="AN35" s="390" t="n"/>
      <c r="AO35" s="390" t="n"/>
      <c r="AP35" s="390" t="n"/>
      <c r="AQ35" s="390" t="n"/>
      <c r="AR35" s="390" t="n"/>
      <c r="AS35" s="390" t="n"/>
      <c r="AT35" s="390" t="n"/>
      <c r="AU35" s="390" t="n"/>
      <c r="AV35" s="390" t="n"/>
      <c r="AW35" s="390" t="n"/>
      <c r="AX35" s="390" t="n"/>
      <c r="AY35" s="390" t="n"/>
      <c r="AZ35" s="390" t="n"/>
      <c r="BA35" s="390" t="n"/>
      <c r="BB35" s="390" t="n"/>
      <c r="BC35" s="390" t="n"/>
      <c r="BD35" s="390" t="n"/>
      <c r="BE35" s="390" t="n"/>
      <c r="BF35" s="390" t="n"/>
      <c r="BG35" s="390" t="n"/>
      <c r="BH35" s="390" t="n"/>
      <c r="BI35" s="390" t="n"/>
      <c r="BJ35" s="390" t="n"/>
      <c r="BK35" s="390" t="n"/>
      <c r="BL35" s="390" t="n"/>
      <c r="BM35" s="390" t="n"/>
      <c r="BN35" s="390" t="n"/>
      <c r="BO35" s="390" t="n"/>
      <c r="BP35" s="390" t="n"/>
      <c r="BQ35" s="390" t="n"/>
      <c r="BR35" s="390" t="n"/>
      <c r="BS35" s="390" t="n"/>
      <c r="BT35" s="390" t="n"/>
      <c r="BU35" s="390" t="n"/>
      <c r="BV35" s="390" t="n"/>
      <c r="BW35" s="390" t="n"/>
      <c r="BX35" s="390" t="n"/>
      <c r="BY35" s="390" t="n"/>
      <c r="BZ35" s="390" t="n"/>
      <c r="CA35" s="390" t="n"/>
      <c r="CB35" s="390" t="n"/>
      <c r="CC35" s="394" t="n"/>
      <c r="CF35" s="254" t="inlineStr">
        <is>
          <t>休日</t>
        </is>
      </c>
      <c r="CG35" s="395" t="n"/>
      <c r="CH35" s="395" t="n"/>
      <c r="CI35" s="396" t="n"/>
      <c r="CJ35" s="397">
        <f>IF(Q32="作業者1",N35-N32,0)</f>
        <v/>
      </c>
      <c r="CK35" s="395" t="n"/>
      <c r="CL35" s="395" t="n"/>
      <c r="CM35" s="395" t="n"/>
      <c r="CN35" s="396" t="n"/>
      <c r="CP35" s="254" t="inlineStr">
        <is>
          <t>休日</t>
        </is>
      </c>
      <c r="CQ35" s="395" t="n"/>
      <c r="CR35" s="395" t="n"/>
      <c r="CS35" s="396" t="n"/>
      <c r="CT35" s="397">
        <f>IF(Q32="作業者2",N35-N32,0)</f>
        <v/>
      </c>
      <c r="CU35" s="395" t="n"/>
      <c r="CV35" s="395" t="n"/>
      <c r="CW35" s="395" t="n"/>
      <c r="CX35" s="396" t="n"/>
      <c r="CZ35" s="254" t="inlineStr">
        <is>
          <t>休日</t>
        </is>
      </c>
      <c r="DA35" s="395" t="n"/>
      <c r="DB35" s="395" t="n"/>
      <c r="DC35" s="396" t="n"/>
      <c r="DD35" s="397">
        <f>IF(Q32="作業者3",N35-N32,0)</f>
        <v/>
      </c>
      <c r="DE35" s="395" t="n"/>
      <c r="DF35" s="395" t="n"/>
      <c r="DG35" s="395" t="n"/>
      <c r="DH35" s="396" t="n"/>
      <c r="DJ35" s="254" t="inlineStr">
        <is>
          <t>休日</t>
        </is>
      </c>
      <c r="DK35" s="395" t="n"/>
      <c r="DL35" s="395" t="n"/>
      <c r="DM35" s="396" t="n"/>
      <c r="DN35" s="397">
        <f>IF(Q32="作業者4",N35-N32,0)</f>
        <v/>
      </c>
      <c r="DO35" s="395" t="n"/>
      <c r="DP35" s="395" t="n"/>
      <c r="DQ35" s="395" t="n"/>
      <c r="DR35" s="396" t="n"/>
      <c r="DT35" s="254" t="inlineStr">
        <is>
          <t>休日</t>
        </is>
      </c>
      <c r="DU35" s="395" t="n"/>
      <c r="DV35" s="395" t="n"/>
      <c r="DW35" s="396" t="n"/>
      <c r="DX35" s="397">
        <f>IF(Q32="作業者5",N35-N32,0)</f>
        <v/>
      </c>
      <c r="DY35" s="395" t="n"/>
      <c r="DZ35" s="395" t="n"/>
      <c r="EA35" s="395" t="n"/>
      <c r="EB35" s="396" t="n"/>
    </row>
    <row r="36" ht="9" customHeight="1" s="337">
      <c r="B36" s="398" t="n"/>
      <c r="C36" s="372" t="n"/>
      <c r="D36" s="373" t="n"/>
      <c r="E36" s="399" t="n"/>
      <c r="F36" s="372" t="n"/>
      <c r="G36" s="373" t="n"/>
      <c r="H36" s="399" t="n"/>
      <c r="I36" s="372" t="n"/>
      <c r="J36" s="373" t="n"/>
      <c r="K36" s="399" t="n"/>
      <c r="L36" s="372" t="n"/>
      <c r="M36" s="373" t="n"/>
      <c r="N36" s="399" t="n"/>
      <c r="O36" s="372" t="n"/>
      <c r="P36" s="373" t="n"/>
      <c r="Q36" s="371" t="n"/>
      <c r="R36" s="372" t="n"/>
      <c r="S36" s="373" t="n"/>
      <c r="T36" s="371" t="n"/>
      <c r="U36" s="372" t="n"/>
      <c r="V36" s="373" t="n"/>
      <c r="W36" s="443" t="n"/>
      <c r="X36" s="372" t="n"/>
      <c r="Y36" s="372" t="n"/>
      <c r="Z36" s="372" t="n"/>
      <c r="AA36" s="372" t="n"/>
      <c r="AB36" s="372" t="n"/>
      <c r="AC36" s="372" t="n"/>
      <c r="AD36" s="372" t="n"/>
      <c r="AE36" s="372" t="n"/>
      <c r="AF36" s="372" t="n"/>
      <c r="AG36" s="372" t="n"/>
      <c r="AH36" s="372" t="n"/>
      <c r="AI36" s="372" t="n"/>
      <c r="AJ36" s="372" t="n"/>
      <c r="AK36" s="372" t="n"/>
      <c r="AL36" s="372" t="n"/>
      <c r="AM36" s="372" t="n"/>
      <c r="AN36" s="372" t="n"/>
      <c r="AO36" s="372" t="n"/>
      <c r="AP36" s="372" t="n"/>
      <c r="AQ36" s="372" t="n"/>
      <c r="AR36" s="372" t="n"/>
      <c r="AS36" s="372" t="n"/>
      <c r="AT36" s="372" t="n"/>
      <c r="AU36" s="372" t="n"/>
      <c r="AV36" s="372" t="n"/>
      <c r="AW36" s="372" t="n"/>
      <c r="AX36" s="372" t="n"/>
      <c r="AY36" s="372" t="n"/>
      <c r="AZ36" s="372" t="n"/>
      <c r="BA36" s="372" t="n"/>
      <c r="BB36" s="372" t="n"/>
      <c r="BC36" s="372" t="n"/>
      <c r="BD36" s="372" t="n"/>
      <c r="BE36" s="372" t="n"/>
      <c r="BF36" s="372" t="n"/>
      <c r="BG36" s="372" t="n"/>
      <c r="BH36" s="372" t="n"/>
      <c r="BI36" s="372" t="n"/>
      <c r="BJ36" s="372" t="n"/>
      <c r="BK36" s="372" t="n"/>
      <c r="BL36" s="372" t="n"/>
      <c r="BM36" s="372" t="n"/>
      <c r="BN36" s="372" t="n"/>
      <c r="BO36" s="372" t="n"/>
      <c r="BP36" s="372" t="n"/>
      <c r="BQ36" s="372" t="n"/>
      <c r="BR36" s="372" t="n"/>
      <c r="BS36" s="372" t="n"/>
      <c r="BT36" s="372" t="n"/>
      <c r="BU36" s="372" t="n"/>
      <c r="BV36" s="372" t="n"/>
      <c r="BW36" s="372" t="n"/>
      <c r="BX36" s="372" t="n"/>
      <c r="BY36" s="372" t="n"/>
      <c r="BZ36" s="372" t="n"/>
      <c r="CA36" s="372" t="n"/>
      <c r="CB36" s="372" t="n"/>
      <c r="CC36" s="402" t="n"/>
      <c r="CF36" s="248" t="inlineStr">
        <is>
          <t>移動</t>
        </is>
      </c>
      <c r="CG36" s="377" t="n"/>
      <c r="CH36" s="377" t="n"/>
      <c r="CI36" s="378" t="n"/>
      <c r="CJ36" s="379">
        <f>IF(Q36="作業者1",E39-E36,0)</f>
        <v/>
      </c>
      <c r="CK36" s="377" t="n"/>
      <c r="CL36" s="377" t="n"/>
      <c r="CM36" s="377" t="n"/>
      <c r="CN36" s="378" t="n"/>
      <c r="CP36" s="248" t="inlineStr">
        <is>
          <t>移動</t>
        </is>
      </c>
      <c r="CQ36" s="377" t="n"/>
      <c r="CR36" s="377" t="n"/>
      <c r="CS36" s="378" t="n"/>
      <c r="CT36" s="379">
        <f>IF(Q36="作業者2",E39-E36,0)</f>
        <v/>
      </c>
      <c r="CU36" s="377" t="n"/>
      <c r="CV36" s="377" t="n"/>
      <c r="CW36" s="377" t="n"/>
      <c r="CX36" s="378" t="n"/>
      <c r="CZ36" s="259" t="inlineStr">
        <is>
          <t>移動</t>
        </is>
      </c>
      <c r="DA36" s="403" t="n"/>
      <c r="DB36" s="403" t="n"/>
      <c r="DC36" s="404" t="n"/>
      <c r="DD36" s="405">
        <f>IF(Q36="作業者3",E39-E36,0)</f>
        <v/>
      </c>
      <c r="DE36" s="406" t="n"/>
      <c r="DF36" s="406" t="n"/>
      <c r="DG36" s="406" t="n"/>
      <c r="DH36" s="407" t="n"/>
      <c r="DJ36" s="259" t="inlineStr">
        <is>
          <t>移動</t>
        </is>
      </c>
      <c r="DK36" s="403" t="n"/>
      <c r="DL36" s="403" t="n"/>
      <c r="DM36" s="404" t="n"/>
      <c r="DN36" s="379">
        <f>IF(Q36="作業者4",E39-E36,0)</f>
        <v/>
      </c>
      <c r="DO36" s="377" t="n"/>
      <c r="DP36" s="377" t="n"/>
      <c r="DQ36" s="377" t="n"/>
      <c r="DR36" s="378" t="n"/>
      <c r="DT36" s="259" t="inlineStr">
        <is>
          <t>移動</t>
        </is>
      </c>
      <c r="DU36" s="403" t="n"/>
      <c r="DV36" s="403" t="n"/>
      <c r="DW36" s="404" t="n"/>
      <c r="DX36" s="379">
        <f>IF(Q36="作業者5",E39-E36,0)</f>
        <v/>
      </c>
      <c r="DY36" s="377" t="n"/>
      <c r="DZ36" s="377" t="n"/>
      <c r="EA36" s="377" t="n"/>
      <c r="EB36" s="378" t="n"/>
    </row>
    <row r="37" ht="9" customHeight="1" s="337">
      <c r="B37" s="350" t="n"/>
      <c r="C37" s="338" t="n"/>
      <c r="D37" s="380" t="n"/>
      <c r="E37" s="381" t="n"/>
      <c r="F37" s="122" t="inlineStr">
        <is>
          <t>～</t>
        </is>
      </c>
      <c r="G37" s="22" t="n"/>
      <c r="H37" s="381" t="n"/>
      <c r="I37" s="122" t="inlineStr">
        <is>
          <t>～</t>
        </is>
      </c>
      <c r="J37" s="22" t="n"/>
      <c r="K37" s="381" t="n"/>
      <c r="L37" s="122" t="inlineStr">
        <is>
          <t>～</t>
        </is>
      </c>
      <c r="M37" s="22" t="n"/>
      <c r="N37" s="381" t="n"/>
      <c r="O37" s="122" t="inlineStr">
        <is>
          <t>～</t>
        </is>
      </c>
      <c r="P37" s="22" t="n"/>
      <c r="Q37" s="382" t="n"/>
      <c r="R37" s="338" t="n"/>
      <c r="S37" s="380" t="n"/>
      <c r="T37" s="382" t="n"/>
      <c r="U37" s="338" t="n"/>
      <c r="V37" s="380" t="n"/>
      <c r="W37" s="382" t="n"/>
      <c r="X37" s="338" t="n"/>
      <c r="Y37" s="338" t="n"/>
      <c r="Z37" s="338" t="n"/>
      <c r="AA37" s="338" t="n"/>
      <c r="AB37" s="338" t="n"/>
      <c r="AC37" s="338" t="n"/>
      <c r="AD37" s="338" t="n"/>
      <c r="AE37" s="338" t="n"/>
      <c r="AF37" s="338" t="n"/>
      <c r="AG37" s="338" t="n"/>
      <c r="AH37" s="338" t="n"/>
      <c r="AI37" s="338" t="n"/>
      <c r="AJ37" s="338" t="n"/>
      <c r="AK37" s="338" t="n"/>
      <c r="AL37" s="338" t="n"/>
      <c r="AM37" s="338" t="n"/>
      <c r="AN37" s="338" t="n"/>
      <c r="AO37" s="338" t="n"/>
      <c r="AP37" s="338" t="n"/>
      <c r="AQ37" s="338" t="n"/>
      <c r="AR37" s="338" t="n"/>
      <c r="AS37" s="338" t="n"/>
      <c r="AT37" s="338" t="n"/>
      <c r="AU37" s="338" t="n"/>
      <c r="AV37" s="338" t="n"/>
      <c r="AW37" s="338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8" t="n"/>
      <c r="BH37" s="338" t="n"/>
      <c r="BI37" s="338" t="n"/>
      <c r="BJ37" s="338" t="n"/>
      <c r="BK37" s="338" t="n"/>
      <c r="BL37" s="338" t="n"/>
      <c r="BM37" s="338" t="n"/>
      <c r="BN37" s="338" t="n"/>
      <c r="BO37" s="338" t="n"/>
      <c r="BP37" s="338" t="n"/>
      <c r="BQ37" s="338" t="n"/>
      <c r="BR37" s="338" t="n"/>
      <c r="BS37" s="338" t="n"/>
      <c r="BT37" s="338" t="n"/>
      <c r="BU37" s="338" t="n"/>
      <c r="BV37" s="338" t="n"/>
      <c r="BW37" s="338" t="n"/>
      <c r="BX37" s="338" t="n"/>
      <c r="BY37" s="338" t="n"/>
      <c r="BZ37" s="338" t="n"/>
      <c r="CA37" s="338" t="n"/>
      <c r="CB37" s="338" t="n"/>
      <c r="CC37" s="383" t="n"/>
      <c r="CF37" s="253" t="inlineStr">
        <is>
          <t>時間内</t>
        </is>
      </c>
      <c r="CG37" s="384" t="n"/>
      <c r="CH37" s="384" t="n"/>
      <c r="CI37" s="385" t="n"/>
      <c r="CJ37" s="386">
        <f>IF(Q36="作業者1",H39-H36,0)</f>
        <v/>
      </c>
      <c r="CK37" s="387" t="n"/>
      <c r="CL37" s="387" t="n"/>
      <c r="CM37" s="387" t="n"/>
      <c r="CN37" s="388" t="n"/>
      <c r="CP37" s="253" t="inlineStr">
        <is>
          <t>時間内</t>
        </is>
      </c>
      <c r="CQ37" s="384" t="n"/>
      <c r="CR37" s="384" t="n"/>
      <c r="CS37" s="385" t="n"/>
      <c r="CT37" s="386">
        <f>IF(Q36="作業者2",H39-H36,0)</f>
        <v/>
      </c>
      <c r="CU37" s="387" t="n"/>
      <c r="CV37" s="387" t="n"/>
      <c r="CW37" s="387" t="n"/>
      <c r="CX37" s="388" t="n"/>
      <c r="CZ37" s="253" t="inlineStr">
        <is>
          <t>時間内</t>
        </is>
      </c>
      <c r="DA37" s="384" t="n"/>
      <c r="DB37" s="384" t="n"/>
      <c r="DC37" s="385" t="n"/>
      <c r="DD37" s="386">
        <f>IF(Q36="作業者3",H39-H36,0)</f>
        <v/>
      </c>
      <c r="DE37" s="387" t="n"/>
      <c r="DF37" s="387" t="n"/>
      <c r="DG37" s="387" t="n"/>
      <c r="DH37" s="388" t="n"/>
      <c r="DJ37" s="253" t="inlineStr">
        <is>
          <t>時間内</t>
        </is>
      </c>
      <c r="DK37" s="384" t="n"/>
      <c r="DL37" s="384" t="n"/>
      <c r="DM37" s="385" t="n"/>
      <c r="DN37" s="386">
        <f>IF(Q36="作業者4",H39-H36,0)</f>
        <v/>
      </c>
      <c r="DO37" s="387" t="n"/>
      <c r="DP37" s="387" t="n"/>
      <c r="DQ37" s="387" t="n"/>
      <c r="DR37" s="388" t="n"/>
      <c r="DT37" s="253" t="inlineStr">
        <is>
          <t>時間内</t>
        </is>
      </c>
      <c r="DU37" s="384" t="n"/>
      <c r="DV37" s="384" t="n"/>
      <c r="DW37" s="385" t="n"/>
      <c r="DX37" s="386">
        <f>IF(Q36="作業者5",H39-H36,0)</f>
        <v/>
      </c>
      <c r="DY37" s="387" t="n"/>
      <c r="DZ37" s="387" t="n"/>
      <c r="EA37" s="387" t="n"/>
      <c r="EB37" s="388" t="n"/>
    </row>
    <row r="38" ht="9" customHeight="1" s="337">
      <c r="B38" s="350" t="n"/>
      <c r="C38" s="338" t="n"/>
      <c r="D38" s="380" t="n"/>
      <c r="E38" s="23" t="n"/>
      <c r="F38" s="338" t="n"/>
      <c r="G38" s="24" t="n"/>
      <c r="H38" s="23" t="n"/>
      <c r="I38" s="338" t="n"/>
      <c r="J38" s="24" t="n"/>
      <c r="K38" s="23" t="n"/>
      <c r="L38" s="338" t="n"/>
      <c r="M38" s="24" t="n"/>
      <c r="N38" s="23" t="n"/>
      <c r="O38" s="338" t="n"/>
      <c r="P38" s="24" t="n"/>
      <c r="Q38" s="382" t="n"/>
      <c r="R38" s="338" t="n"/>
      <c r="S38" s="380" t="n"/>
      <c r="T38" s="382" t="n"/>
      <c r="U38" s="338" t="n"/>
      <c r="V38" s="380" t="n"/>
      <c r="W38" s="382" t="n"/>
      <c r="X38" s="338" t="n"/>
      <c r="Y38" s="338" t="n"/>
      <c r="Z38" s="338" t="n"/>
      <c r="AA38" s="338" t="n"/>
      <c r="AB38" s="338" t="n"/>
      <c r="AC38" s="338" t="n"/>
      <c r="AD38" s="338" t="n"/>
      <c r="AE38" s="338" t="n"/>
      <c r="AF38" s="338" t="n"/>
      <c r="AG38" s="338" t="n"/>
      <c r="AH38" s="338" t="n"/>
      <c r="AI38" s="338" t="n"/>
      <c r="AJ38" s="338" t="n"/>
      <c r="AK38" s="338" t="n"/>
      <c r="AL38" s="338" t="n"/>
      <c r="AM38" s="338" t="n"/>
      <c r="AN38" s="338" t="n"/>
      <c r="AO38" s="338" t="n"/>
      <c r="AP38" s="338" t="n"/>
      <c r="AQ38" s="338" t="n"/>
      <c r="AR38" s="338" t="n"/>
      <c r="AS38" s="338" t="n"/>
      <c r="AT38" s="338" t="n"/>
      <c r="AU38" s="338" t="n"/>
      <c r="AV38" s="338" t="n"/>
      <c r="AW38" s="338" t="n"/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8" t="n"/>
      <c r="BH38" s="338" t="n"/>
      <c r="BI38" s="338" t="n"/>
      <c r="BJ38" s="338" t="n"/>
      <c r="BK38" s="338" t="n"/>
      <c r="BL38" s="338" t="n"/>
      <c r="BM38" s="338" t="n"/>
      <c r="BN38" s="338" t="n"/>
      <c r="BO38" s="338" t="n"/>
      <c r="BP38" s="338" t="n"/>
      <c r="BQ38" s="338" t="n"/>
      <c r="BR38" s="338" t="n"/>
      <c r="BS38" s="338" t="n"/>
      <c r="BT38" s="338" t="n"/>
      <c r="BU38" s="338" t="n"/>
      <c r="BV38" s="338" t="n"/>
      <c r="BW38" s="338" t="n"/>
      <c r="BX38" s="338" t="n"/>
      <c r="BY38" s="338" t="n"/>
      <c r="BZ38" s="338" t="n"/>
      <c r="CA38" s="338" t="n"/>
      <c r="CB38" s="338" t="n"/>
      <c r="CC38" s="383" t="n"/>
      <c r="CF38" s="253" t="inlineStr">
        <is>
          <t>時間外</t>
        </is>
      </c>
      <c r="CG38" s="384" t="n"/>
      <c r="CH38" s="384" t="n"/>
      <c r="CI38" s="385" t="n"/>
      <c r="CJ38" s="386">
        <f>IF(Q36="作業者1",K39-K36,0)</f>
        <v/>
      </c>
      <c r="CK38" s="387" t="n"/>
      <c r="CL38" s="387" t="n"/>
      <c r="CM38" s="387" t="n"/>
      <c r="CN38" s="388" t="n"/>
      <c r="CP38" s="253" t="inlineStr">
        <is>
          <t>時間外</t>
        </is>
      </c>
      <c r="CQ38" s="384" t="n"/>
      <c r="CR38" s="384" t="n"/>
      <c r="CS38" s="385" t="n"/>
      <c r="CT38" s="386">
        <f>IF(Q36="作業者2",K39-K36,0)</f>
        <v/>
      </c>
      <c r="CU38" s="387" t="n"/>
      <c r="CV38" s="387" t="n"/>
      <c r="CW38" s="387" t="n"/>
      <c r="CX38" s="388" t="n"/>
      <c r="CZ38" s="253" t="inlineStr">
        <is>
          <t>時間外</t>
        </is>
      </c>
      <c r="DA38" s="384" t="n"/>
      <c r="DB38" s="384" t="n"/>
      <c r="DC38" s="385" t="n"/>
      <c r="DD38" s="386">
        <f>IF(Q36="作業者3",K39-K36,0)</f>
        <v/>
      </c>
      <c r="DE38" s="387" t="n"/>
      <c r="DF38" s="387" t="n"/>
      <c r="DG38" s="387" t="n"/>
      <c r="DH38" s="388" t="n"/>
      <c r="DJ38" s="253" t="inlineStr">
        <is>
          <t>時間外</t>
        </is>
      </c>
      <c r="DK38" s="384" t="n"/>
      <c r="DL38" s="384" t="n"/>
      <c r="DM38" s="385" t="n"/>
      <c r="DN38" s="386">
        <f>IF(Q36="作業者4",K39-K36,0)</f>
        <v/>
      </c>
      <c r="DO38" s="387" t="n"/>
      <c r="DP38" s="387" t="n"/>
      <c r="DQ38" s="387" t="n"/>
      <c r="DR38" s="388" t="n"/>
      <c r="DT38" s="253" t="inlineStr">
        <is>
          <t>時間外</t>
        </is>
      </c>
      <c r="DU38" s="384" t="n"/>
      <c r="DV38" s="384" t="n"/>
      <c r="DW38" s="385" t="n"/>
      <c r="DX38" s="386">
        <f>IF(Q36="作業者5",K39-K36,0)</f>
        <v/>
      </c>
      <c r="DY38" s="387" t="n"/>
      <c r="DZ38" s="387" t="n"/>
      <c r="EA38" s="387" t="n"/>
      <c r="EB38" s="388" t="n"/>
    </row>
    <row r="39" ht="9" customHeight="1" s="337">
      <c r="B39" s="389" t="n"/>
      <c r="C39" s="390" t="n"/>
      <c r="D39" s="391" t="n"/>
      <c r="E39" s="392" t="n"/>
      <c r="F39" s="390" t="n"/>
      <c r="G39" s="391" t="n"/>
      <c r="H39" s="392" t="n"/>
      <c r="I39" s="390" t="n"/>
      <c r="J39" s="391" t="n"/>
      <c r="K39" s="392" t="n"/>
      <c r="L39" s="390" t="n"/>
      <c r="M39" s="391" t="n"/>
      <c r="N39" s="392" t="n"/>
      <c r="O39" s="390" t="n"/>
      <c r="P39" s="391" t="n"/>
      <c r="Q39" s="393" t="n"/>
      <c r="R39" s="390" t="n"/>
      <c r="S39" s="391" t="n"/>
      <c r="T39" s="393" t="n"/>
      <c r="U39" s="390" t="n"/>
      <c r="V39" s="391" t="n"/>
      <c r="W39" s="393" t="n"/>
      <c r="X39" s="390" t="n"/>
      <c r="Y39" s="390" t="n"/>
      <c r="Z39" s="390" t="n"/>
      <c r="AA39" s="390" t="n"/>
      <c r="AB39" s="390" t="n"/>
      <c r="AC39" s="390" t="n"/>
      <c r="AD39" s="390" t="n"/>
      <c r="AE39" s="390" t="n"/>
      <c r="AF39" s="390" t="n"/>
      <c r="AG39" s="390" t="n"/>
      <c r="AH39" s="390" t="n"/>
      <c r="AI39" s="390" t="n"/>
      <c r="AJ39" s="390" t="n"/>
      <c r="AK39" s="390" t="n"/>
      <c r="AL39" s="390" t="n"/>
      <c r="AM39" s="390" t="n"/>
      <c r="AN39" s="390" t="n"/>
      <c r="AO39" s="390" t="n"/>
      <c r="AP39" s="390" t="n"/>
      <c r="AQ39" s="390" t="n"/>
      <c r="AR39" s="390" t="n"/>
      <c r="AS39" s="390" t="n"/>
      <c r="AT39" s="390" t="n"/>
      <c r="AU39" s="390" t="n"/>
      <c r="AV39" s="390" t="n"/>
      <c r="AW39" s="390" t="n"/>
      <c r="AX39" s="390" t="n"/>
      <c r="AY39" s="390" t="n"/>
      <c r="AZ39" s="390" t="n"/>
      <c r="BA39" s="390" t="n"/>
      <c r="BB39" s="390" t="n"/>
      <c r="BC39" s="390" t="n"/>
      <c r="BD39" s="390" t="n"/>
      <c r="BE39" s="390" t="n"/>
      <c r="BF39" s="390" t="n"/>
      <c r="BG39" s="390" t="n"/>
      <c r="BH39" s="390" t="n"/>
      <c r="BI39" s="390" t="n"/>
      <c r="BJ39" s="390" t="n"/>
      <c r="BK39" s="390" t="n"/>
      <c r="BL39" s="390" t="n"/>
      <c r="BM39" s="390" t="n"/>
      <c r="BN39" s="390" t="n"/>
      <c r="BO39" s="390" t="n"/>
      <c r="BP39" s="390" t="n"/>
      <c r="BQ39" s="390" t="n"/>
      <c r="BR39" s="390" t="n"/>
      <c r="BS39" s="390" t="n"/>
      <c r="BT39" s="390" t="n"/>
      <c r="BU39" s="390" t="n"/>
      <c r="BV39" s="390" t="n"/>
      <c r="BW39" s="390" t="n"/>
      <c r="BX39" s="390" t="n"/>
      <c r="BY39" s="390" t="n"/>
      <c r="BZ39" s="390" t="n"/>
      <c r="CA39" s="390" t="n"/>
      <c r="CB39" s="390" t="n"/>
      <c r="CC39" s="394" t="n"/>
      <c r="CF39" s="254" t="inlineStr">
        <is>
          <t>休日</t>
        </is>
      </c>
      <c r="CG39" s="395" t="n"/>
      <c r="CH39" s="395" t="n"/>
      <c r="CI39" s="396" t="n"/>
      <c r="CJ39" s="397">
        <f>IF(Q36="作業者1",N39-N36,0)</f>
        <v/>
      </c>
      <c r="CK39" s="395" t="n"/>
      <c r="CL39" s="395" t="n"/>
      <c r="CM39" s="395" t="n"/>
      <c r="CN39" s="396" t="n"/>
      <c r="CP39" s="254" t="inlineStr">
        <is>
          <t>休日</t>
        </is>
      </c>
      <c r="CQ39" s="395" t="n"/>
      <c r="CR39" s="395" t="n"/>
      <c r="CS39" s="396" t="n"/>
      <c r="CT39" s="397">
        <f>IF(Q36="作業者2",N39-N36,0)</f>
        <v/>
      </c>
      <c r="CU39" s="395" t="n"/>
      <c r="CV39" s="395" t="n"/>
      <c r="CW39" s="395" t="n"/>
      <c r="CX39" s="396" t="n"/>
      <c r="CZ39" s="254" t="inlineStr">
        <is>
          <t>休日</t>
        </is>
      </c>
      <c r="DA39" s="395" t="n"/>
      <c r="DB39" s="395" t="n"/>
      <c r="DC39" s="396" t="n"/>
      <c r="DD39" s="397">
        <f>IF(Q36="作業者3",N39-N36,0)</f>
        <v/>
      </c>
      <c r="DE39" s="395" t="n"/>
      <c r="DF39" s="395" t="n"/>
      <c r="DG39" s="395" t="n"/>
      <c r="DH39" s="396" t="n"/>
      <c r="DJ39" s="254" t="inlineStr">
        <is>
          <t>休日</t>
        </is>
      </c>
      <c r="DK39" s="395" t="n"/>
      <c r="DL39" s="395" t="n"/>
      <c r="DM39" s="396" t="n"/>
      <c r="DN39" s="397">
        <f>IF(Q36="作業者4",N39-N36,0)</f>
        <v/>
      </c>
      <c r="DO39" s="395" t="n"/>
      <c r="DP39" s="395" t="n"/>
      <c r="DQ39" s="395" t="n"/>
      <c r="DR39" s="396" t="n"/>
      <c r="DT39" s="254" t="inlineStr">
        <is>
          <t>休日</t>
        </is>
      </c>
      <c r="DU39" s="395" t="n"/>
      <c r="DV39" s="395" t="n"/>
      <c r="DW39" s="396" t="n"/>
      <c r="DX39" s="397">
        <f>IF(Q36="作業者5",N39-N36,0)</f>
        <v/>
      </c>
      <c r="DY39" s="395" t="n"/>
      <c r="DZ39" s="395" t="n"/>
      <c r="EA39" s="395" t="n"/>
      <c r="EB39" s="396" t="n"/>
    </row>
    <row r="40" ht="9" customHeight="1" s="337">
      <c r="B40" s="398" t="n"/>
      <c r="C40" s="372" t="n"/>
      <c r="D40" s="373" t="n"/>
      <c r="E40" s="399" t="n"/>
      <c r="F40" s="372" t="n"/>
      <c r="G40" s="373" t="n"/>
      <c r="H40" s="399" t="n"/>
      <c r="I40" s="372" t="n"/>
      <c r="J40" s="373" t="n"/>
      <c r="K40" s="399" t="n"/>
      <c r="L40" s="372" t="n"/>
      <c r="M40" s="373" t="n"/>
      <c r="N40" s="399" t="n"/>
      <c r="O40" s="372" t="n"/>
      <c r="P40" s="373" t="n"/>
      <c r="Q40" s="371" t="n"/>
      <c r="R40" s="372" t="n"/>
      <c r="S40" s="373" t="n"/>
      <c r="T40" s="371" t="n"/>
      <c r="U40" s="372" t="n"/>
      <c r="V40" s="373" t="n"/>
      <c r="W40" s="443" t="n"/>
      <c r="X40" s="372" t="n"/>
      <c r="Y40" s="372" t="n"/>
      <c r="Z40" s="372" t="n"/>
      <c r="AA40" s="372" t="n"/>
      <c r="AB40" s="372" t="n"/>
      <c r="AC40" s="372" t="n"/>
      <c r="AD40" s="372" t="n"/>
      <c r="AE40" s="372" t="n"/>
      <c r="AF40" s="372" t="n"/>
      <c r="AG40" s="372" t="n"/>
      <c r="AH40" s="372" t="n"/>
      <c r="AI40" s="372" t="n"/>
      <c r="AJ40" s="372" t="n"/>
      <c r="AK40" s="372" t="n"/>
      <c r="AL40" s="372" t="n"/>
      <c r="AM40" s="372" t="n"/>
      <c r="AN40" s="372" t="n"/>
      <c r="AO40" s="372" t="n"/>
      <c r="AP40" s="372" t="n"/>
      <c r="AQ40" s="372" t="n"/>
      <c r="AR40" s="372" t="n"/>
      <c r="AS40" s="372" t="n"/>
      <c r="AT40" s="372" t="n"/>
      <c r="AU40" s="372" t="n"/>
      <c r="AV40" s="372" t="n"/>
      <c r="AW40" s="372" t="n"/>
      <c r="AX40" s="372" t="n"/>
      <c r="AY40" s="372" t="n"/>
      <c r="AZ40" s="372" t="n"/>
      <c r="BA40" s="372" t="n"/>
      <c r="BB40" s="372" t="n"/>
      <c r="BC40" s="372" t="n"/>
      <c r="BD40" s="372" t="n"/>
      <c r="BE40" s="372" t="n"/>
      <c r="BF40" s="372" t="n"/>
      <c r="BG40" s="372" t="n"/>
      <c r="BH40" s="372" t="n"/>
      <c r="BI40" s="372" t="n"/>
      <c r="BJ40" s="372" t="n"/>
      <c r="BK40" s="372" t="n"/>
      <c r="BL40" s="372" t="n"/>
      <c r="BM40" s="372" t="n"/>
      <c r="BN40" s="372" t="n"/>
      <c r="BO40" s="372" t="n"/>
      <c r="BP40" s="372" t="n"/>
      <c r="BQ40" s="372" t="n"/>
      <c r="BR40" s="372" t="n"/>
      <c r="BS40" s="372" t="n"/>
      <c r="BT40" s="372" t="n"/>
      <c r="BU40" s="372" t="n"/>
      <c r="BV40" s="372" t="n"/>
      <c r="BW40" s="372" t="n"/>
      <c r="BX40" s="372" t="n"/>
      <c r="BY40" s="372" t="n"/>
      <c r="BZ40" s="372" t="n"/>
      <c r="CA40" s="372" t="n"/>
      <c r="CB40" s="372" t="n"/>
      <c r="CC40" s="402" t="n"/>
      <c r="CF40" s="248" t="inlineStr">
        <is>
          <t>移動</t>
        </is>
      </c>
      <c r="CG40" s="377" t="n"/>
      <c r="CH40" s="377" t="n"/>
      <c r="CI40" s="378" t="n"/>
      <c r="CJ40" s="379">
        <f>IF(Q40="作業者1",E43-E40,0)</f>
        <v/>
      </c>
      <c r="CK40" s="377" t="n"/>
      <c r="CL40" s="377" t="n"/>
      <c r="CM40" s="377" t="n"/>
      <c r="CN40" s="378" t="n"/>
      <c r="CP40" s="248" t="inlineStr">
        <is>
          <t>移動</t>
        </is>
      </c>
      <c r="CQ40" s="377" t="n"/>
      <c r="CR40" s="377" t="n"/>
      <c r="CS40" s="378" t="n"/>
      <c r="CT40" s="379">
        <f>IF(Q40="作業者2",E43-E40,0)</f>
        <v/>
      </c>
      <c r="CU40" s="377" t="n"/>
      <c r="CV40" s="377" t="n"/>
      <c r="CW40" s="377" t="n"/>
      <c r="CX40" s="378" t="n"/>
      <c r="CZ40" s="259" t="inlineStr">
        <is>
          <t>移動</t>
        </is>
      </c>
      <c r="DA40" s="403" t="n"/>
      <c r="DB40" s="403" t="n"/>
      <c r="DC40" s="404" t="n"/>
      <c r="DD40" s="405">
        <f>IF(Q40="作業者3",E43-E40,0)</f>
        <v/>
      </c>
      <c r="DE40" s="406" t="n"/>
      <c r="DF40" s="406" t="n"/>
      <c r="DG40" s="406" t="n"/>
      <c r="DH40" s="407" t="n"/>
      <c r="DJ40" s="259" t="inlineStr">
        <is>
          <t>移動</t>
        </is>
      </c>
      <c r="DK40" s="403" t="n"/>
      <c r="DL40" s="403" t="n"/>
      <c r="DM40" s="404" t="n"/>
      <c r="DN40" s="379">
        <f>IF(Q40="作業者4",E43-E40,0)</f>
        <v/>
      </c>
      <c r="DO40" s="377" t="n"/>
      <c r="DP40" s="377" t="n"/>
      <c r="DQ40" s="377" t="n"/>
      <c r="DR40" s="378" t="n"/>
      <c r="DT40" s="259" t="inlineStr">
        <is>
          <t>移動</t>
        </is>
      </c>
      <c r="DU40" s="403" t="n"/>
      <c r="DV40" s="403" t="n"/>
      <c r="DW40" s="404" t="n"/>
      <c r="DX40" s="379">
        <f>IF(Q40="作業者5",E43-E40,0)</f>
        <v/>
      </c>
      <c r="DY40" s="377" t="n"/>
      <c r="DZ40" s="377" t="n"/>
      <c r="EA40" s="377" t="n"/>
      <c r="EB40" s="378" t="n"/>
    </row>
    <row r="41" ht="9" customHeight="1" s="337">
      <c r="B41" s="350" t="n"/>
      <c r="C41" s="338" t="n"/>
      <c r="D41" s="380" t="n"/>
      <c r="E41" s="381" t="n"/>
      <c r="F41" s="122" t="inlineStr">
        <is>
          <t>～</t>
        </is>
      </c>
      <c r="G41" s="22" t="n"/>
      <c r="H41" s="381" t="n"/>
      <c r="I41" s="122" t="inlineStr">
        <is>
          <t>～</t>
        </is>
      </c>
      <c r="J41" s="22" t="n"/>
      <c r="K41" s="381" t="n"/>
      <c r="L41" s="122" t="inlineStr">
        <is>
          <t>～</t>
        </is>
      </c>
      <c r="M41" s="22" t="n"/>
      <c r="N41" s="381" t="n"/>
      <c r="O41" s="122" t="inlineStr">
        <is>
          <t>～</t>
        </is>
      </c>
      <c r="P41" s="22" t="n"/>
      <c r="Q41" s="382" t="n"/>
      <c r="R41" s="338" t="n"/>
      <c r="S41" s="380" t="n"/>
      <c r="T41" s="382" t="n"/>
      <c r="U41" s="338" t="n"/>
      <c r="V41" s="380" t="n"/>
      <c r="W41" s="382" t="n"/>
      <c r="X41" s="338" t="n"/>
      <c r="Y41" s="338" t="n"/>
      <c r="Z41" s="338" t="n"/>
      <c r="AA41" s="338" t="n"/>
      <c r="AB41" s="338" t="n"/>
      <c r="AC41" s="338" t="n"/>
      <c r="AD41" s="338" t="n"/>
      <c r="AE41" s="338" t="n"/>
      <c r="AF41" s="338" t="n"/>
      <c r="AG41" s="338" t="n"/>
      <c r="AH41" s="338" t="n"/>
      <c r="AI41" s="338" t="n"/>
      <c r="AJ41" s="338" t="n"/>
      <c r="AK41" s="338" t="n"/>
      <c r="AL41" s="338" t="n"/>
      <c r="AM41" s="338" t="n"/>
      <c r="AN41" s="338" t="n"/>
      <c r="AO41" s="338" t="n"/>
      <c r="AP41" s="338" t="n"/>
      <c r="AQ41" s="338" t="n"/>
      <c r="AR41" s="338" t="n"/>
      <c r="AS41" s="338" t="n"/>
      <c r="AT41" s="338" t="n"/>
      <c r="AU41" s="338" t="n"/>
      <c r="AV41" s="338" t="n"/>
      <c r="AW41" s="338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8" t="n"/>
      <c r="BH41" s="338" t="n"/>
      <c r="BI41" s="338" t="n"/>
      <c r="BJ41" s="338" t="n"/>
      <c r="BK41" s="338" t="n"/>
      <c r="BL41" s="338" t="n"/>
      <c r="BM41" s="338" t="n"/>
      <c r="BN41" s="338" t="n"/>
      <c r="BO41" s="338" t="n"/>
      <c r="BP41" s="338" t="n"/>
      <c r="BQ41" s="338" t="n"/>
      <c r="BR41" s="338" t="n"/>
      <c r="BS41" s="338" t="n"/>
      <c r="BT41" s="338" t="n"/>
      <c r="BU41" s="338" t="n"/>
      <c r="BV41" s="338" t="n"/>
      <c r="BW41" s="338" t="n"/>
      <c r="BX41" s="338" t="n"/>
      <c r="BY41" s="338" t="n"/>
      <c r="BZ41" s="338" t="n"/>
      <c r="CA41" s="338" t="n"/>
      <c r="CB41" s="338" t="n"/>
      <c r="CC41" s="383" t="n"/>
      <c r="CF41" s="253" t="inlineStr">
        <is>
          <t>時間内</t>
        </is>
      </c>
      <c r="CG41" s="384" t="n"/>
      <c r="CH41" s="384" t="n"/>
      <c r="CI41" s="385" t="n"/>
      <c r="CJ41" s="386">
        <f>IF(Q40="作業者1",H43-H40,0)</f>
        <v/>
      </c>
      <c r="CK41" s="387" t="n"/>
      <c r="CL41" s="387" t="n"/>
      <c r="CM41" s="387" t="n"/>
      <c r="CN41" s="388" t="n"/>
      <c r="CP41" s="253" t="inlineStr">
        <is>
          <t>時間内</t>
        </is>
      </c>
      <c r="CQ41" s="384" t="n"/>
      <c r="CR41" s="384" t="n"/>
      <c r="CS41" s="385" t="n"/>
      <c r="CT41" s="386">
        <f>IF(Q40="作業者2",H43-H40,0)</f>
        <v/>
      </c>
      <c r="CU41" s="387" t="n"/>
      <c r="CV41" s="387" t="n"/>
      <c r="CW41" s="387" t="n"/>
      <c r="CX41" s="388" t="n"/>
      <c r="CZ41" s="253" t="inlineStr">
        <is>
          <t>時間内</t>
        </is>
      </c>
      <c r="DA41" s="384" t="n"/>
      <c r="DB41" s="384" t="n"/>
      <c r="DC41" s="385" t="n"/>
      <c r="DD41" s="386">
        <f>IF(Q40="作業者3",H43-H40,0)</f>
        <v/>
      </c>
      <c r="DE41" s="387" t="n"/>
      <c r="DF41" s="387" t="n"/>
      <c r="DG41" s="387" t="n"/>
      <c r="DH41" s="388" t="n"/>
      <c r="DJ41" s="253" t="inlineStr">
        <is>
          <t>時間内</t>
        </is>
      </c>
      <c r="DK41" s="384" t="n"/>
      <c r="DL41" s="384" t="n"/>
      <c r="DM41" s="385" t="n"/>
      <c r="DN41" s="386">
        <f>IF(Q40="作業者4",H43-H40,0)</f>
        <v/>
      </c>
      <c r="DO41" s="387" t="n"/>
      <c r="DP41" s="387" t="n"/>
      <c r="DQ41" s="387" t="n"/>
      <c r="DR41" s="388" t="n"/>
      <c r="DT41" s="253" t="inlineStr">
        <is>
          <t>時間内</t>
        </is>
      </c>
      <c r="DU41" s="384" t="n"/>
      <c r="DV41" s="384" t="n"/>
      <c r="DW41" s="385" t="n"/>
      <c r="DX41" s="386">
        <f>IF(Q40="作業者5",H43-H40,0)</f>
        <v/>
      </c>
      <c r="DY41" s="387" t="n"/>
      <c r="DZ41" s="387" t="n"/>
      <c r="EA41" s="387" t="n"/>
      <c r="EB41" s="388" t="n"/>
    </row>
    <row r="42" ht="9" customHeight="1" s="337">
      <c r="B42" s="350" t="n"/>
      <c r="C42" s="338" t="n"/>
      <c r="D42" s="380" t="n"/>
      <c r="E42" s="23" t="n"/>
      <c r="F42" s="338" t="n"/>
      <c r="G42" s="24" t="n"/>
      <c r="H42" s="23" t="n"/>
      <c r="I42" s="338" t="n"/>
      <c r="J42" s="24" t="n"/>
      <c r="K42" s="23" t="n"/>
      <c r="L42" s="338" t="n"/>
      <c r="M42" s="24" t="n"/>
      <c r="N42" s="23" t="n"/>
      <c r="O42" s="338" t="n"/>
      <c r="P42" s="24" t="n"/>
      <c r="Q42" s="382" t="n"/>
      <c r="R42" s="338" t="n"/>
      <c r="S42" s="380" t="n"/>
      <c r="T42" s="382" t="n"/>
      <c r="U42" s="338" t="n"/>
      <c r="V42" s="380" t="n"/>
      <c r="W42" s="382" t="n"/>
      <c r="X42" s="338" t="n"/>
      <c r="Y42" s="338" t="n"/>
      <c r="Z42" s="338" t="n"/>
      <c r="AA42" s="338" t="n"/>
      <c r="AB42" s="338" t="n"/>
      <c r="AC42" s="338" t="n"/>
      <c r="AD42" s="338" t="n"/>
      <c r="AE42" s="338" t="n"/>
      <c r="AF42" s="338" t="n"/>
      <c r="AG42" s="338" t="n"/>
      <c r="AH42" s="338" t="n"/>
      <c r="AI42" s="338" t="n"/>
      <c r="AJ42" s="338" t="n"/>
      <c r="AK42" s="338" t="n"/>
      <c r="AL42" s="338" t="n"/>
      <c r="AM42" s="338" t="n"/>
      <c r="AN42" s="338" t="n"/>
      <c r="AO42" s="338" t="n"/>
      <c r="AP42" s="338" t="n"/>
      <c r="AQ42" s="338" t="n"/>
      <c r="AR42" s="338" t="n"/>
      <c r="AS42" s="338" t="n"/>
      <c r="AT42" s="338" t="n"/>
      <c r="AU42" s="338" t="n"/>
      <c r="AV42" s="338" t="n"/>
      <c r="AW42" s="338" t="n"/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8" t="n"/>
      <c r="BH42" s="338" t="n"/>
      <c r="BI42" s="338" t="n"/>
      <c r="BJ42" s="338" t="n"/>
      <c r="BK42" s="338" t="n"/>
      <c r="BL42" s="338" t="n"/>
      <c r="BM42" s="338" t="n"/>
      <c r="BN42" s="338" t="n"/>
      <c r="BO42" s="338" t="n"/>
      <c r="BP42" s="338" t="n"/>
      <c r="BQ42" s="338" t="n"/>
      <c r="BR42" s="338" t="n"/>
      <c r="BS42" s="338" t="n"/>
      <c r="BT42" s="338" t="n"/>
      <c r="BU42" s="338" t="n"/>
      <c r="BV42" s="338" t="n"/>
      <c r="BW42" s="338" t="n"/>
      <c r="BX42" s="338" t="n"/>
      <c r="BY42" s="338" t="n"/>
      <c r="BZ42" s="338" t="n"/>
      <c r="CA42" s="338" t="n"/>
      <c r="CB42" s="338" t="n"/>
      <c r="CC42" s="383" t="n"/>
      <c r="CF42" s="253" t="inlineStr">
        <is>
          <t>時間外</t>
        </is>
      </c>
      <c r="CG42" s="384" t="n"/>
      <c r="CH42" s="384" t="n"/>
      <c r="CI42" s="385" t="n"/>
      <c r="CJ42" s="386">
        <f>IF(Q40="作業者1",K43-K40,0)</f>
        <v/>
      </c>
      <c r="CK42" s="387" t="n"/>
      <c r="CL42" s="387" t="n"/>
      <c r="CM42" s="387" t="n"/>
      <c r="CN42" s="388" t="n"/>
      <c r="CP42" s="253" t="inlineStr">
        <is>
          <t>時間外</t>
        </is>
      </c>
      <c r="CQ42" s="384" t="n"/>
      <c r="CR42" s="384" t="n"/>
      <c r="CS42" s="385" t="n"/>
      <c r="CT42" s="386">
        <f>IF(Q40="作業者2",K43-K40,0)</f>
        <v/>
      </c>
      <c r="CU42" s="387" t="n"/>
      <c r="CV42" s="387" t="n"/>
      <c r="CW42" s="387" t="n"/>
      <c r="CX42" s="388" t="n"/>
      <c r="CZ42" s="253" t="inlineStr">
        <is>
          <t>時間外</t>
        </is>
      </c>
      <c r="DA42" s="384" t="n"/>
      <c r="DB42" s="384" t="n"/>
      <c r="DC42" s="385" t="n"/>
      <c r="DD42" s="386">
        <f>IF(Q40="作業者3",K43-K40,0)</f>
        <v/>
      </c>
      <c r="DE42" s="387" t="n"/>
      <c r="DF42" s="387" t="n"/>
      <c r="DG42" s="387" t="n"/>
      <c r="DH42" s="388" t="n"/>
      <c r="DJ42" s="253" t="inlineStr">
        <is>
          <t>時間外</t>
        </is>
      </c>
      <c r="DK42" s="384" t="n"/>
      <c r="DL42" s="384" t="n"/>
      <c r="DM42" s="385" t="n"/>
      <c r="DN42" s="386">
        <f>IF(Q40="作業者4",K43-K40,0)</f>
        <v/>
      </c>
      <c r="DO42" s="387" t="n"/>
      <c r="DP42" s="387" t="n"/>
      <c r="DQ42" s="387" t="n"/>
      <c r="DR42" s="388" t="n"/>
      <c r="DT42" s="253" t="inlineStr">
        <is>
          <t>時間外</t>
        </is>
      </c>
      <c r="DU42" s="384" t="n"/>
      <c r="DV42" s="384" t="n"/>
      <c r="DW42" s="385" t="n"/>
      <c r="DX42" s="386">
        <f>IF(Q40="作業者5",K43-K40,0)</f>
        <v/>
      </c>
      <c r="DY42" s="387" t="n"/>
      <c r="DZ42" s="387" t="n"/>
      <c r="EA42" s="387" t="n"/>
      <c r="EB42" s="388" t="n"/>
    </row>
    <row r="43" ht="9" customHeight="1" s="337">
      <c r="B43" s="389" t="n"/>
      <c r="C43" s="390" t="n"/>
      <c r="D43" s="391" t="n"/>
      <c r="E43" s="392" t="n"/>
      <c r="F43" s="390" t="n"/>
      <c r="G43" s="391" t="n"/>
      <c r="H43" s="392" t="n"/>
      <c r="I43" s="390" t="n"/>
      <c r="J43" s="391" t="n"/>
      <c r="K43" s="392" t="n"/>
      <c r="L43" s="390" t="n"/>
      <c r="M43" s="391" t="n"/>
      <c r="N43" s="392" t="n"/>
      <c r="O43" s="390" t="n"/>
      <c r="P43" s="391" t="n"/>
      <c r="Q43" s="393" t="n"/>
      <c r="R43" s="390" t="n"/>
      <c r="S43" s="391" t="n"/>
      <c r="T43" s="393" t="n"/>
      <c r="U43" s="390" t="n"/>
      <c r="V43" s="391" t="n"/>
      <c r="W43" s="393" t="n"/>
      <c r="X43" s="390" t="n"/>
      <c r="Y43" s="390" t="n"/>
      <c r="Z43" s="390" t="n"/>
      <c r="AA43" s="390" t="n"/>
      <c r="AB43" s="390" t="n"/>
      <c r="AC43" s="390" t="n"/>
      <c r="AD43" s="390" t="n"/>
      <c r="AE43" s="390" t="n"/>
      <c r="AF43" s="390" t="n"/>
      <c r="AG43" s="390" t="n"/>
      <c r="AH43" s="390" t="n"/>
      <c r="AI43" s="390" t="n"/>
      <c r="AJ43" s="390" t="n"/>
      <c r="AK43" s="390" t="n"/>
      <c r="AL43" s="390" t="n"/>
      <c r="AM43" s="390" t="n"/>
      <c r="AN43" s="390" t="n"/>
      <c r="AO43" s="390" t="n"/>
      <c r="AP43" s="390" t="n"/>
      <c r="AQ43" s="390" t="n"/>
      <c r="AR43" s="390" t="n"/>
      <c r="AS43" s="390" t="n"/>
      <c r="AT43" s="390" t="n"/>
      <c r="AU43" s="390" t="n"/>
      <c r="AV43" s="390" t="n"/>
      <c r="AW43" s="390" t="n"/>
      <c r="AX43" s="390" t="n"/>
      <c r="AY43" s="390" t="n"/>
      <c r="AZ43" s="390" t="n"/>
      <c r="BA43" s="390" t="n"/>
      <c r="BB43" s="390" t="n"/>
      <c r="BC43" s="390" t="n"/>
      <c r="BD43" s="390" t="n"/>
      <c r="BE43" s="390" t="n"/>
      <c r="BF43" s="390" t="n"/>
      <c r="BG43" s="390" t="n"/>
      <c r="BH43" s="390" t="n"/>
      <c r="BI43" s="390" t="n"/>
      <c r="BJ43" s="390" t="n"/>
      <c r="BK43" s="390" t="n"/>
      <c r="BL43" s="390" t="n"/>
      <c r="BM43" s="390" t="n"/>
      <c r="BN43" s="390" t="n"/>
      <c r="BO43" s="390" t="n"/>
      <c r="BP43" s="390" t="n"/>
      <c r="BQ43" s="390" t="n"/>
      <c r="BR43" s="390" t="n"/>
      <c r="BS43" s="390" t="n"/>
      <c r="BT43" s="390" t="n"/>
      <c r="BU43" s="390" t="n"/>
      <c r="BV43" s="390" t="n"/>
      <c r="BW43" s="390" t="n"/>
      <c r="BX43" s="390" t="n"/>
      <c r="BY43" s="390" t="n"/>
      <c r="BZ43" s="390" t="n"/>
      <c r="CA43" s="390" t="n"/>
      <c r="CB43" s="390" t="n"/>
      <c r="CC43" s="394" t="n"/>
      <c r="CF43" s="254" t="inlineStr">
        <is>
          <t>休日</t>
        </is>
      </c>
      <c r="CG43" s="395" t="n"/>
      <c r="CH43" s="395" t="n"/>
      <c r="CI43" s="396" t="n"/>
      <c r="CJ43" s="397">
        <f>IF(Q40="作業者1",N43-N40,0)</f>
        <v/>
      </c>
      <c r="CK43" s="395" t="n"/>
      <c r="CL43" s="395" t="n"/>
      <c r="CM43" s="395" t="n"/>
      <c r="CN43" s="396" t="n"/>
      <c r="CP43" s="254" t="inlineStr">
        <is>
          <t>休日</t>
        </is>
      </c>
      <c r="CQ43" s="395" t="n"/>
      <c r="CR43" s="395" t="n"/>
      <c r="CS43" s="396" t="n"/>
      <c r="CT43" s="397">
        <f>IF(Q40="作業者2",N43-N40,0)</f>
        <v/>
      </c>
      <c r="CU43" s="395" t="n"/>
      <c r="CV43" s="395" t="n"/>
      <c r="CW43" s="395" t="n"/>
      <c r="CX43" s="396" t="n"/>
      <c r="CZ43" s="254" t="inlineStr">
        <is>
          <t>休日</t>
        </is>
      </c>
      <c r="DA43" s="395" t="n"/>
      <c r="DB43" s="395" t="n"/>
      <c r="DC43" s="396" t="n"/>
      <c r="DD43" s="397">
        <f>IF(Q40="作業者3",N43-N40,0)</f>
        <v/>
      </c>
      <c r="DE43" s="395" t="n"/>
      <c r="DF43" s="395" t="n"/>
      <c r="DG43" s="395" t="n"/>
      <c r="DH43" s="396" t="n"/>
      <c r="DJ43" s="254" t="inlineStr">
        <is>
          <t>休日</t>
        </is>
      </c>
      <c r="DK43" s="395" t="n"/>
      <c r="DL43" s="395" t="n"/>
      <c r="DM43" s="396" t="n"/>
      <c r="DN43" s="397">
        <f>IF(Q40="作業者4",N43-N40,0)</f>
        <v/>
      </c>
      <c r="DO43" s="395" t="n"/>
      <c r="DP43" s="395" t="n"/>
      <c r="DQ43" s="395" t="n"/>
      <c r="DR43" s="396" t="n"/>
      <c r="DT43" s="254" t="inlineStr">
        <is>
          <t>休日</t>
        </is>
      </c>
      <c r="DU43" s="395" t="n"/>
      <c r="DV43" s="395" t="n"/>
      <c r="DW43" s="396" t="n"/>
      <c r="DX43" s="397">
        <f>IF(Q40="作業者5",N43-N40,0)</f>
        <v/>
      </c>
      <c r="DY43" s="395" t="n"/>
      <c r="DZ43" s="395" t="n"/>
      <c r="EA43" s="395" t="n"/>
      <c r="EB43" s="396" t="n"/>
    </row>
    <row r="44" ht="9" customHeight="1" s="337">
      <c r="B44" s="398" t="n"/>
      <c r="C44" s="372" t="n"/>
      <c r="D44" s="373" t="n"/>
      <c r="E44" s="399" t="n"/>
      <c r="F44" s="372" t="n"/>
      <c r="G44" s="373" t="n"/>
      <c r="H44" s="399" t="n"/>
      <c r="I44" s="372" t="n"/>
      <c r="J44" s="373" t="n"/>
      <c r="K44" s="399" t="n"/>
      <c r="L44" s="372" t="n"/>
      <c r="M44" s="373" t="n"/>
      <c r="N44" s="399" t="n"/>
      <c r="O44" s="372" t="n"/>
      <c r="P44" s="373" t="n"/>
      <c r="Q44" s="371" t="n"/>
      <c r="R44" s="372" t="n"/>
      <c r="S44" s="373" t="n"/>
      <c r="T44" s="371" t="n"/>
      <c r="U44" s="372" t="n"/>
      <c r="V44" s="373" t="n"/>
      <c r="W44" s="443" t="n"/>
      <c r="X44" s="372" t="n"/>
      <c r="Y44" s="372" t="n"/>
      <c r="Z44" s="372" t="n"/>
      <c r="AA44" s="372" t="n"/>
      <c r="AB44" s="372" t="n"/>
      <c r="AC44" s="372" t="n"/>
      <c r="AD44" s="372" t="n"/>
      <c r="AE44" s="372" t="n"/>
      <c r="AF44" s="372" t="n"/>
      <c r="AG44" s="372" t="n"/>
      <c r="AH44" s="372" t="n"/>
      <c r="AI44" s="372" t="n"/>
      <c r="AJ44" s="372" t="n"/>
      <c r="AK44" s="372" t="n"/>
      <c r="AL44" s="372" t="n"/>
      <c r="AM44" s="372" t="n"/>
      <c r="AN44" s="372" t="n"/>
      <c r="AO44" s="372" t="n"/>
      <c r="AP44" s="372" t="n"/>
      <c r="AQ44" s="372" t="n"/>
      <c r="AR44" s="372" t="n"/>
      <c r="AS44" s="372" t="n"/>
      <c r="AT44" s="372" t="n"/>
      <c r="AU44" s="372" t="n"/>
      <c r="AV44" s="372" t="n"/>
      <c r="AW44" s="372" t="n"/>
      <c r="AX44" s="372" t="n"/>
      <c r="AY44" s="372" t="n"/>
      <c r="AZ44" s="372" t="n"/>
      <c r="BA44" s="372" t="n"/>
      <c r="BB44" s="372" t="n"/>
      <c r="BC44" s="372" t="n"/>
      <c r="BD44" s="372" t="n"/>
      <c r="BE44" s="372" t="n"/>
      <c r="BF44" s="372" t="n"/>
      <c r="BG44" s="372" t="n"/>
      <c r="BH44" s="372" t="n"/>
      <c r="BI44" s="372" t="n"/>
      <c r="BJ44" s="372" t="n"/>
      <c r="BK44" s="372" t="n"/>
      <c r="BL44" s="372" t="n"/>
      <c r="BM44" s="372" t="n"/>
      <c r="BN44" s="372" t="n"/>
      <c r="BO44" s="372" t="n"/>
      <c r="BP44" s="372" t="n"/>
      <c r="BQ44" s="372" t="n"/>
      <c r="BR44" s="372" t="n"/>
      <c r="BS44" s="372" t="n"/>
      <c r="BT44" s="372" t="n"/>
      <c r="BU44" s="372" t="n"/>
      <c r="BV44" s="372" t="n"/>
      <c r="BW44" s="372" t="n"/>
      <c r="BX44" s="372" t="n"/>
      <c r="BY44" s="372" t="n"/>
      <c r="BZ44" s="372" t="n"/>
      <c r="CA44" s="372" t="n"/>
      <c r="CB44" s="372" t="n"/>
      <c r="CC44" s="402" t="n"/>
      <c r="CF44" s="248" t="inlineStr">
        <is>
          <t>移動</t>
        </is>
      </c>
      <c r="CG44" s="377" t="n"/>
      <c r="CH44" s="377" t="n"/>
      <c r="CI44" s="378" t="n"/>
      <c r="CJ44" s="379">
        <f>IF(Q44="作業者1",E47-E44,0)</f>
        <v/>
      </c>
      <c r="CK44" s="377" t="n"/>
      <c r="CL44" s="377" t="n"/>
      <c r="CM44" s="377" t="n"/>
      <c r="CN44" s="378" t="n"/>
      <c r="CP44" s="248" t="inlineStr">
        <is>
          <t>移動</t>
        </is>
      </c>
      <c r="CQ44" s="377" t="n"/>
      <c r="CR44" s="377" t="n"/>
      <c r="CS44" s="378" t="n"/>
      <c r="CT44" s="379">
        <f>IF(Q44="作業者2",E47-E44,0)</f>
        <v/>
      </c>
      <c r="CU44" s="377" t="n"/>
      <c r="CV44" s="377" t="n"/>
      <c r="CW44" s="377" t="n"/>
      <c r="CX44" s="378" t="n"/>
      <c r="CZ44" s="259" t="inlineStr">
        <is>
          <t>移動</t>
        </is>
      </c>
      <c r="DA44" s="403" t="n"/>
      <c r="DB44" s="403" t="n"/>
      <c r="DC44" s="404" t="n"/>
      <c r="DD44" s="405">
        <f>IF(Q44="作業者3",E47-E44,0)</f>
        <v/>
      </c>
      <c r="DE44" s="406" t="n"/>
      <c r="DF44" s="406" t="n"/>
      <c r="DG44" s="406" t="n"/>
      <c r="DH44" s="407" t="n"/>
      <c r="DJ44" s="259" t="inlineStr">
        <is>
          <t>移動</t>
        </is>
      </c>
      <c r="DK44" s="403" t="n"/>
      <c r="DL44" s="403" t="n"/>
      <c r="DM44" s="404" t="n"/>
      <c r="DN44" s="379">
        <f>IF(Q44="作業者4",E47-E44,0)</f>
        <v/>
      </c>
      <c r="DO44" s="377" t="n"/>
      <c r="DP44" s="377" t="n"/>
      <c r="DQ44" s="377" t="n"/>
      <c r="DR44" s="378" t="n"/>
      <c r="DT44" s="259" t="inlineStr">
        <is>
          <t>移動</t>
        </is>
      </c>
      <c r="DU44" s="403" t="n"/>
      <c r="DV44" s="403" t="n"/>
      <c r="DW44" s="404" t="n"/>
      <c r="DX44" s="379">
        <f>IF(Q44="作業者5",E47-E44,0)</f>
        <v/>
      </c>
      <c r="DY44" s="377" t="n"/>
      <c r="DZ44" s="377" t="n"/>
      <c r="EA44" s="377" t="n"/>
      <c r="EB44" s="378" t="n"/>
    </row>
    <row r="45" ht="9" customHeight="1" s="337">
      <c r="B45" s="350" t="n"/>
      <c r="C45" s="338" t="n"/>
      <c r="D45" s="380" t="n"/>
      <c r="E45" s="381" t="n"/>
      <c r="F45" s="122" t="inlineStr">
        <is>
          <t>～</t>
        </is>
      </c>
      <c r="G45" s="22" t="n"/>
      <c r="H45" s="381" t="n"/>
      <c r="I45" s="122" t="inlineStr">
        <is>
          <t>～</t>
        </is>
      </c>
      <c r="J45" s="22" t="n"/>
      <c r="K45" s="381" t="n"/>
      <c r="L45" s="122" t="inlineStr">
        <is>
          <t>～</t>
        </is>
      </c>
      <c r="M45" s="22" t="n"/>
      <c r="N45" s="381" t="n"/>
      <c r="O45" s="122" t="inlineStr">
        <is>
          <t>～</t>
        </is>
      </c>
      <c r="P45" s="22" t="n"/>
      <c r="Q45" s="382" t="n"/>
      <c r="R45" s="338" t="n"/>
      <c r="S45" s="380" t="n"/>
      <c r="T45" s="382" t="n"/>
      <c r="U45" s="338" t="n"/>
      <c r="V45" s="380" t="n"/>
      <c r="W45" s="382" t="n"/>
      <c r="X45" s="338" t="n"/>
      <c r="Y45" s="338" t="n"/>
      <c r="Z45" s="338" t="n"/>
      <c r="AA45" s="338" t="n"/>
      <c r="AB45" s="338" t="n"/>
      <c r="AC45" s="338" t="n"/>
      <c r="AD45" s="338" t="n"/>
      <c r="AE45" s="338" t="n"/>
      <c r="AF45" s="338" t="n"/>
      <c r="AG45" s="338" t="n"/>
      <c r="AH45" s="338" t="n"/>
      <c r="AI45" s="338" t="n"/>
      <c r="AJ45" s="338" t="n"/>
      <c r="AK45" s="338" t="n"/>
      <c r="AL45" s="338" t="n"/>
      <c r="AM45" s="338" t="n"/>
      <c r="AN45" s="338" t="n"/>
      <c r="AO45" s="338" t="n"/>
      <c r="AP45" s="338" t="n"/>
      <c r="AQ45" s="338" t="n"/>
      <c r="AR45" s="338" t="n"/>
      <c r="AS45" s="338" t="n"/>
      <c r="AT45" s="338" t="n"/>
      <c r="AU45" s="338" t="n"/>
      <c r="AV45" s="338" t="n"/>
      <c r="AW45" s="338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8" t="n"/>
      <c r="BH45" s="338" t="n"/>
      <c r="BI45" s="338" t="n"/>
      <c r="BJ45" s="338" t="n"/>
      <c r="BK45" s="338" t="n"/>
      <c r="BL45" s="338" t="n"/>
      <c r="BM45" s="338" t="n"/>
      <c r="BN45" s="338" t="n"/>
      <c r="BO45" s="338" t="n"/>
      <c r="BP45" s="338" t="n"/>
      <c r="BQ45" s="338" t="n"/>
      <c r="BR45" s="338" t="n"/>
      <c r="BS45" s="338" t="n"/>
      <c r="BT45" s="338" t="n"/>
      <c r="BU45" s="338" t="n"/>
      <c r="BV45" s="338" t="n"/>
      <c r="BW45" s="338" t="n"/>
      <c r="BX45" s="338" t="n"/>
      <c r="BY45" s="338" t="n"/>
      <c r="BZ45" s="338" t="n"/>
      <c r="CA45" s="338" t="n"/>
      <c r="CB45" s="338" t="n"/>
      <c r="CC45" s="383" t="n"/>
      <c r="CF45" s="253" t="inlineStr">
        <is>
          <t>時間内</t>
        </is>
      </c>
      <c r="CG45" s="384" t="n"/>
      <c r="CH45" s="384" t="n"/>
      <c r="CI45" s="385" t="n"/>
      <c r="CJ45" s="386">
        <f>IF(Q44="作業者1",H47-H44,0)</f>
        <v/>
      </c>
      <c r="CK45" s="387" t="n"/>
      <c r="CL45" s="387" t="n"/>
      <c r="CM45" s="387" t="n"/>
      <c r="CN45" s="388" t="n"/>
      <c r="CP45" s="253" t="inlineStr">
        <is>
          <t>時間内</t>
        </is>
      </c>
      <c r="CQ45" s="384" t="n"/>
      <c r="CR45" s="384" t="n"/>
      <c r="CS45" s="385" t="n"/>
      <c r="CT45" s="386">
        <f>IF(Q44="作業者2",H47-H44,0)</f>
        <v/>
      </c>
      <c r="CU45" s="387" t="n"/>
      <c r="CV45" s="387" t="n"/>
      <c r="CW45" s="387" t="n"/>
      <c r="CX45" s="388" t="n"/>
      <c r="CZ45" s="253" t="inlineStr">
        <is>
          <t>時間内</t>
        </is>
      </c>
      <c r="DA45" s="384" t="n"/>
      <c r="DB45" s="384" t="n"/>
      <c r="DC45" s="385" t="n"/>
      <c r="DD45" s="386">
        <f>IF(Q44="作業者3",H47-H44,0)</f>
        <v/>
      </c>
      <c r="DE45" s="387" t="n"/>
      <c r="DF45" s="387" t="n"/>
      <c r="DG45" s="387" t="n"/>
      <c r="DH45" s="388" t="n"/>
      <c r="DJ45" s="253" t="inlineStr">
        <is>
          <t>時間内</t>
        </is>
      </c>
      <c r="DK45" s="384" t="n"/>
      <c r="DL45" s="384" t="n"/>
      <c r="DM45" s="385" t="n"/>
      <c r="DN45" s="386">
        <f>IF(Q44="作業者4",H47-H44,0)</f>
        <v/>
      </c>
      <c r="DO45" s="387" t="n"/>
      <c r="DP45" s="387" t="n"/>
      <c r="DQ45" s="387" t="n"/>
      <c r="DR45" s="388" t="n"/>
      <c r="DT45" s="253" t="inlineStr">
        <is>
          <t>時間内</t>
        </is>
      </c>
      <c r="DU45" s="384" t="n"/>
      <c r="DV45" s="384" t="n"/>
      <c r="DW45" s="385" t="n"/>
      <c r="DX45" s="386">
        <f>IF(Q44="作業者5",H47-H44,0)</f>
        <v/>
      </c>
      <c r="DY45" s="387" t="n"/>
      <c r="DZ45" s="387" t="n"/>
      <c r="EA45" s="387" t="n"/>
      <c r="EB45" s="388" t="n"/>
    </row>
    <row r="46" ht="9" customHeight="1" s="337">
      <c r="B46" s="350" t="n"/>
      <c r="C46" s="338" t="n"/>
      <c r="D46" s="380" t="n"/>
      <c r="E46" s="23" t="n"/>
      <c r="F46" s="338" t="n"/>
      <c r="G46" s="24" t="n"/>
      <c r="H46" s="23" t="n"/>
      <c r="I46" s="338" t="n"/>
      <c r="J46" s="24" t="n"/>
      <c r="K46" s="23" t="n"/>
      <c r="L46" s="338" t="n"/>
      <c r="M46" s="24" t="n"/>
      <c r="N46" s="23" t="n"/>
      <c r="O46" s="338" t="n"/>
      <c r="P46" s="24" t="n"/>
      <c r="Q46" s="382" t="n"/>
      <c r="R46" s="338" t="n"/>
      <c r="S46" s="380" t="n"/>
      <c r="T46" s="382" t="n"/>
      <c r="U46" s="338" t="n"/>
      <c r="V46" s="380" t="n"/>
      <c r="W46" s="382" t="n"/>
      <c r="X46" s="338" t="n"/>
      <c r="Y46" s="338" t="n"/>
      <c r="Z46" s="338" t="n"/>
      <c r="AA46" s="338" t="n"/>
      <c r="AB46" s="338" t="n"/>
      <c r="AC46" s="338" t="n"/>
      <c r="AD46" s="338" t="n"/>
      <c r="AE46" s="338" t="n"/>
      <c r="AF46" s="338" t="n"/>
      <c r="AG46" s="338" t="n"/>
      <c r="AH46" s="338" t="n"/>
      <c r="AI46" s="338" t="n"/>
      <c r="AJ46" s="338" t="n"/>
      <c r="AK46" s="338" t="n"/>
      <c r="AL46" s="338" t="n"/>
      <c r="AM46" s="338" t="n"/>
      <c r="AN46" s="338" t="n"/>
      <c r="AO46" s="338" t="n"/>
      <c r="AP46" s="338" t="n"/>
      <c r="AQ46" s="338" t="n"/>
      <c r="AR46" s="338" t="n"/>
      <c r="AS46" s="338" t="n"/>
      <c r="AT46" s="338" t="n"/>
      <c r="AU46" s="338" t="n"/>
      <c r="AV46" s="338" t="n"/>
      <c r="AW46" s="338" t="n"/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8" t="n"/>
      <c r="BH46" s="338" t="n"/>
      <c r="BI46" s="338" t="n"/>
      <c r="BJ46" s="338" t="n"/>
      <c r="BK46" s="338" t="n"/>
      <c r="BL46" s="338" t="n"/>
      <c r="BM46" s="338" t="n"/>
      <c r="BN46" s="338" t="n"/>
      <c r="BO46" s="338" t="n"/>
      <c r="BP46" s="338" t="n"/>
      <c r="BQ46" s="338" t="n"/>
      <c r="BR46" s="338" t="n"/>
      <c r="BS46" s="338" t="n"/>
      <c r="BT46" s="338" t="n"/>
      <c r="BU46" s="338" t="n"/>
      <c r="BV46" s="338" t="n"/>
      <c r="BW46" s="338" t="n"/>
      <c r="BX46" s="338" t="n"/>
      <c r="BY46" s="338" t="n"/>
      <c r="BZ46" s="338" t="n"/>
      <c r="CA46" s="338" t="n"/>
      <c r="CB46" s="338" t="n"/>
      <c r="CC46" s="383" t="n"/>
      <c r="CF46" s="253" t="inlineStr">
        <is>
          <t>時間外</t>
        </is>
      </c>
      <c r="CG46" s="384" t="n"/>
      <c r="CH46" s="384" t="n"/>
      <c r="CI46" s="385" t="n"/>
      <c r="CJ46" s="386">
        <f>IF(Q44="作業者1",K47-K44,0)</f>
        <v/>
      </c>
      <c r="CK46" s="387" t="n"/>
      <c r="CL46" s="387" t="n"/>
      <c r="CM46" s="387" t="n"/>
      <c r="CN46" s="388" t="n"/>
      <c r="CP46" s="253" t="inlineStr">
        <is>
          <t>時間外</t>
        </is>
      </c>
      <c r="CQ46" s="384" t="n"/>
      <c r="CR46" s="384" t="n"/>
      <c r="CS46" s="385" t="n"/>
      <c r="CT46" s="386">
        <f>IF(Q44="作業者2",K47-K44,0)</f>
        <v/>
      </c>
      <c r="CU46" s="387" t="n"/>
      <c r="CV46" s="387" t="n"/>
      <c r="CW46" s="387" t="n"/>
      <c r="CX46" s="388" t="n"/>
      <c r="CZ46" s="253" t="inlineStr">
        <is>
          <t>時間外</t>
        </is>
      </c>
      <c r="DA46" s="384" t="n"/>
      <c r="DB46" s="384" t="n"/>
      <c r="DC46" s="385" t="n"/>
      <c r="DD46" s="386">
        <f>IF(Q44="作業者3",K47-K44,0)</f>
        <v/>
      </c>
      <c r="DE46" s="387" t="n"/>
      <c r="DF46" s="387" t="n"/>
      <c r="DG46" s="387" t="n"/>
      <c r="DH46" s="388" t="n"/>
      <c r="DJ46" s="253" t="inlineStr">
        <is>
          <t>時間外</t>
        </is>
      </c>
      <c r="DK46" s="384" t="n"/>
      <c r="DL46" s="384" t="n"/>
      <c r="DM46" s="385" t="n"/>
      <c r="DN46" s="386">
        <f>IF(Q44="作業者4",K47-K44,0)</f>
        <v/>
      </c>
      <c r="DO46" s="387" t="n"/>
      <c r="DP46" s="387" t="n"/>
      <c r="DQ46" s="387" t="n"/>
      <c r="DR46" s="388" t="n"/>
      <c r="DT46" s="253" t="inlineStr">
        <is>
          <t>時間外</t>
        </is>
      </c>
      <c r="DU46" s="384" t="n"/>
      <c r="DV46" s="384" t="n"/>
      <c r="DW46" s="385" t="n"/>
      <c r="DX46" s="386">
        <f>IF(Q44="作業者5",K47-K44,0)</f>
        <v/>
      </c>
      <c r="DY46" s="387" t="n"/>
      <c r="DZ46" s="387" t="n"/>
      <c r="EA46" s="387" t="n"/>
      <c r="EB46" s="388" t="n"/>
    </row>
    <row r="47" ht="9" customHeight="1" s="337">
      <c r="B47" s="389" t="n"/>
      <c r="C47" s="390" t="n"/>
      <c r="D47" s="391" t="n"/>
      <c r="E47" s="392" t="n"/>
      <c r="F47" s="390" t="n"/>
      <c r="G47" s="391" t="n"/>
      <c r="H47" s="392" t="n"/>
      <c r="I47" s="390" t="n"/>
      <c r="J47" s="391" t="n"/>
      <c r="K47" s="392" t="n"/>
      <c r="L47" s="390" t="n"/>
      <c r="M47" s="391" t="n"/>
      <c r="N47" s="392" t="n"/>
      <c r="O47" s="390" t="n"/>
      <c r="P47" s="391" t="n"/>
      <c r="Q47" s="393" t="n"/>
      <c r="R47" s="390" t="n"/>
      <c r="S47" s="391" t="n"/>
      <c r="T47" s="393" t="n"/>
      <c r="U47" s="390" t="n"/>
      <c r="V47" s="391" t="n"/>
      <c r="W47" s="393" t="n"/>
      <c r="X47" s="390" t="n"/>
      <c r="Y47" s="390" t="n"/>
      <c r="Z47" s="390" t="n"/>
      <c r="AA47" s="390" t="n"/>
      <c r="AB47" s="390" t="n"/>
      <c r="AC47" s="390" t="n"/>
      <c r="AD47" s="390" t="n"/>
      <c r="AE47" s="390" t="n"/>
      <c r="AF47" s="390" t="n"/>
      <c r="AG47" s="390" t="n"/>
      <c r="AH47" s="390" t="n"/>
      <c r="AI47" s="390" t="n"/>
      <c r="AJ47" s="390" t="n"/>
      <c r="AK47" s="390" t="n"/>
      <c r="AL47" s="390" t="n"/>
      <c r="AM47" s="390" t="n"/>
      <c r="AN47" s="390" t="n"/>
      <c r="AO47" s="390" t="n"/>
      <c r="AP47" s="390" t="n"/>
      <c r="AQ47" s="390" t="n"/>
      <c r="AR47" s="390" t="n"/>
      <c r="AS47" s="390" t="n"/>
      <c r="AT47" s="390" t="n"/>
      <c r="AU47" s="390" t="n"/>
      <c r="AV47" s="390" t="n"/>
      <c r="AW47" s="390" t="n"/>
      <c r="AX47" s="390" t="n"/>
      <c r="AY47" s="390" t="n"/>
      <c r="AZ47" s="390" t="n"/>
      <c r="BA47" s="390" t="n"/>
      <c r="BB47" s="390" t="n"/>
      <c r="BC47" s="390" t="n"/>
      <c r="BD47" s="390" t="n"/>
      <c r="BE47" s="390" t="n"/>
      <c r="BF47" s="390" t="n"/>
      <c r="BG47" s="390" t="n"/>
      <c r="BH47" s="390" t="n"/>
      <c r="BI47" s="390" t="n"/>
      <c r="BJ47" s="390" t="n"/>
      <c r="BK47" s="390" t="n"/>
      <c r="BL47" s="390" t="n"/>
      <c r="BM47" s="390" t="n"/>
      <c r="BN47" s="390" t="n"/>
      <c r="BO47" s="390" t="n"/>
      <c r="BP47" s="390" t="n"/>
      <c r="BQ47" s="390" t="n"/>
      <c r="BR47" s="390" t="n"/>
      <c r="BS47" s="390" t="n"/>
      <c r="BT47" s="390" t="n"/>
      <c r="BU47" s="390" t="n"/>
      <c r="BV47" s="390" t="n"/>
      <c r="BW47" s="390" t="n"/>
      <c r="BX47" s="390" t="n"/>
      <c r="BY47" s="390" t="n"/>
      <c r="BZ47" s="390" t="n"/>
      <c r="CA47" s="390" t="n"/>
      <c r="CB47" s="390" t="n"/>
      <c r="CC47" s="394" t="n"/>
      <c r="CF47" s="254" t="inlineStr">
        <is>
          <t>休日</t>
        </is>
      </c>
      <c r="CG47" s="395" t="n"/>
      <c r="CH47" s="395" t="n"/>
      <c r="CI47" s="396" t="n"/>
      <c r="CJ47" s="397">
        <f>IF(Q44="作業者1",N47-N44,0)</f>
        <v/>
      </c>
      <c r="CK47" s="395" t="n"/>
      <c r="CL47" s="395" t="n"/>
      <c r="CM47" s="395" t="n"/>
      <c r="CN47" s="396" t="n"/>
      <c r="CP47" s="254" t="inlineStr">
        <is>
          <t>休日</t>
        </is>
      </c>
      <c r="CQ47" s="395" t="n"/>
      <c r="CR47" s="395" t="n"/>
      <c r="CS47" s="396" t="n"/>
      <c r="CT47" s="397">
        <f>IF(Q44="作業者2",N47-N44,0)</f>
        <v/>
      </c>
      <c r="CU47" s="395" t="n"/>
      <c r="CV47" s="395" t="n"/>
      <c r="CW47" s="395" t="n"/>
      <c r="CX47" s="396" t="n"/>
      <c r="CZ47" s="254" t="inlineStr">
        <is>
          <t>休日</t>
        </is>
      </c>
      <c r="DA47" s="395" t="n"/>
      <c r="DB47" s="395" t="n"/>
      <c r="DC47" s="396" t="n"/>
      <c r="DD47" s="397">
        <f>IF(Q44="作業者3",N47-N44,0)</f>
        <v/>
      </c>
      <c r="DE47" s="395" t="n"/>
      <c r="DF47" s="395" t="n"/>
      <c r="DG47" s="395" t="n"/>
      <c r="DH47" s="396" t="n"/>
      <c r="DJ47" s="254" t="inlineStr">
        <is>
          <t>休日</t>
        </is>
      </c>
      <c r="DK47" s="395" t="n"/>
      <c r="DL47" s="395" t="n"/>
      <c r="DM47" s="396" t="n"/>
      <c r="DN47" s="397">
        <f>IF(Q44="作業者4",N47-N44,0)</f>
        <v/>
      </c>
      <c r="DO47" s="395" t="n"/>
      <c r="DP47" s="395" t="n"/>
      <c r="DQ47" s="395" t="n"/>
      <c r="DR47" s="396" t="n"/>
      <c r="DT47" s="254" t="inlineStr">
        <is>
          <t>休日</t>
        </is>
      </c>
      <c r="DU47" s="395" t="n"/>
      <c r="DV47" s="395" t="n"/>
      <c r="DW47" s="396" t="n"/>
      <c r="DX47" s="397">
        <f>IF(Q44="作業者5",N47-N44,0)</f>
        <v/>
      </c>
      <c r="DY47" s="395" t="n"/>
      <c r="DZ47" s="395" t="n"/>
      <c r="EA47" s="395" t="n"/>
      <c r="EB47" s="396" t="n"/>
    </row>
    <row r="48" ht="9" customHeight="1" s="337">
      <c r="B48" s="398" t="n"/>
      <c r="C48" s="372" t="n"/>
      <c r="D48" s="373" t="n"/>
      <c r="E48" s="399" t="n"/>
      <c r="F48" s="372" t="n"/>
      <c r="G48" s="373" t="n"/>
      <c r="H48" s="399" t="n"/>
      <c r="I48" s="372" t="n"/>
      <c r="J48" s="373" t="n"/>
      <c r="K48" s="399" t="n"/>
      <c r="L48" s="372" t="n"/>
      <c r="M48" s="373" t="n"/>
      <c r="N48" s="399" t="n"/>
      <c r="O48" s="372" t="n"/>
      <c r="P48" s="373" t="n"/>
      <c r="Q48" s="371" t="n"/>
      <c r="R48" s="372" t="n"/>
      <c r="S48" s="373" t="n"/>
      <c r="T48" s="371" t="n"/>
      <c r="U48" s="372" t="n"/>
      <c r="V48" s="373" t="n"/>
      <c r="W48" s="443" t="n"/>
      <c r="X48" s="372" t="n"/>
      <c r="Y48" s="372" t="n"/>
      <c r="Z48" s="372" t="n"/>
      <c r="AA48" s="372" t="n"/>
      <c r="AB48" s="372" t="n"/>
      <c r="AC48" s="372" t="n"/>
      <c r="AD48" s="372" t="n"/>
      <c r="AE48" s="372" t="n"/>
      <c r="AF48" s="372" t="n"/>
      <c r="AG48" s="372" t="n"/>
      <c r="AH48" s="372" t="n"/>
      <c r="AI48" s="372" t="n"/>
      <c r="AJ48" s="372" t="n"/>
      <c r="AK48" s="372" t="n"/>
      <c r="AL48" s="372" t="n"/>
      <c r="AM48" s="372" t="n"/>
      <c r="AN48" s="372" t="n"/>
      <c r="AO48" s="372" t="n"/>
      <c r="AP48" s="372" t="n"/>
      <c r="AQ48" s="372" t="n"/>
      <c r="AR48" s="372" t="n"/>
      <c r="AS48" s="372" t="n"/>
      <c r="AT48" s="372" t="n"/>
      <c r="AU48" s="372" t="n"/>
      <c r="AV48" s="372" t="n"/>
      <c r="AW48" s="372" t="n"/>
      <c r="AX48" s="372" t="n"/>
      <c r="AY48" s="372" t="n"/>
      <c r="AZ48" s="372" t="n"/>
      <c r="BA48" s="372" t="n"/>
      <c r="BB48" s="372" t="n"/>
      <c r="BC48" s="372" t="n"/>
      <c r="BD48" s="372" t="n"/>
      <c r="BE48" s="372" t="n"/>
      <c r="BF48" s="372" t="n"/>
      <c r="BG48" s="372" t="n"/>
      <c r="BH48" s="372" t="n"/>
      <c r="BI48" s="372" t="n"/>
      <c r="BJ48" s="372" t="n"/>
      <c r="BK48" s="372" t="n"/>
      <c r="BL48" s="372" t="n"/>
      <c r="BM48" s="372" t="n"/>
      <c r="BN48" s="372" t="n"/>
      <c r="BO48" s="372" t="n"/>
      <c r="BP48" s="372" t="n"/>
      <c r="BQ48" s="372" t="n"/>
      <c r="BR48" s="372" t="n"/>
      <c r="BS48" s="372" t="n"/>
      <c r="BT48" s="372" t="n"/>
      <c r="BU48" s="372" t="n"/>
      <c r="BV48" s="372" t="n"/>
      <c r="BW48" s="372" t="n"/>
      <c r="BX48" s="372" t="n"/>
      <c r="BY48" s="372" t="n"/>
      <c r="BZ48" s="372" t="n"/>
      <c r="CA48" s="372" t="n"/>
      <c r="CB48" s="372" t="n"/>
      <c r="CC48" s="402" t="n"/>
      <c r="CF48" s="248" t="inlineStr">
        <is>
          <t>移動</t>
        </is>
      </c>
      <c r="CG48" s="377" t="n"/>
      <c r="CH48" s="377" t="n"/>
      <c r="CI48" s="378" t="n"/>
      <c r="CJ48" s="379">
        <f>IF(Q48="作業者1",E51-E48,0)</f>
        <v/>
      </c>
      <c r="CK48" s="377" t="n"/>
      <c r="CL48" s="377" t="n"/>
      <c r="CM48" s="377" t="n"/>
      <c r="CN48" s="378" t="n"/>
      <c r="CP48" s="248" t="inlineStr">
        <is>
          <t>移動</t>
        </is>
      </c>
      <c r="CQ48" s="377" t="n"/>
      <c r="CR48" s="377" t="n"/>
      <c r="CS48" s="378" t="n"/>
      <c r="CT48" s="379">
        <f>IF(Q48="作業者2",E51-E48,0)</f>
        <v/>
      </c>
      <c r="CU48" s="377" t="n"/>
      <c r="CV48" s="377" t="n"/>
      <c r="CW48" s="377" t="n"/>
      <c r="CX48" s="378" t="n"/>
      <c r="CZ48" s="259" t="inlineStr">
        <is>
          <t>移動</t>
        </is>
      </c>
      <c r="DA48" s="403" t="n"/>
      <c r="DB48" s="403" t="n"/>
      <c r="DC48" s="404" t="n"/>
      <c r="DD48" s="405">
        <f>IF(Q48="作業者3",E51-E48,0)</f>
        <v/>
      </c>
      <c r="DE48" s="406" t="n"/>
      <c r="DF48" s="406" t="n"/>
      <c r="DG48" s="406" t="n"/>
      <c r="DH48" s="407" t="n"/>
      <c r="DJ48" s="259" t="inlineStr">
        <is>
          <t>移動</t>
        </is>
      </c>
      <c r="DK48" s="403" t="n"/>
      <c r="DL48" s="403" t="n"/>
      <c r="DM48" s="404" t="n"/>
      <c r="DN48" s="379">
        <f>IF(Q48="作業者4",E51-E48,0)</f>
        <v/>
      </c>
      <c r="DO48" s="377" t="n"/>
      <c r="DP48" s="377" t="n"/>
      <c r="DQ48" s="377" t="n"/>
      <c r="DR48" s="378" t="n"/>
      <c r="DT48" s="259" t="inlineStr">
        <is>
          <t>移動</t>
        </is>
      </c>
      <c r="DU48" s="403" t="n"/>
      <c r="DV48" s="403" t="n"/>
      <c r="DW48" s="404" t="n"/>
      <c r="DX48" s="379">
        <f>IF(Q48="作業者5",E51-E48,0)</f>
        <v/>
      </c>
      <c r="DY48" s="377" t="n"/>
      <c r="DZ48" s="377" t="n"/>
      <c r="EA48" s="377" t="n"/>
      <c r="EB48" s="378" t="n"/>
    </row>
    <row r="49" ht="9" customHeight="1" s="337">
      <c r="B49" s="350" t="n"/>
      <c r="C49" s="338" t="n"/>
      <c r="D49" s="380" t="n"/>
      <c r="E49" s="381" t="n"/>
      <c r="F49" s="122" t="inlineStr">
        <is>
          <t>～</t>
        </is>
      </c>
      <c r="G49" s="22" t="n"/>
      <c r="H49" s="381" t="n"/>
      <c r="I49" s="122" t="inlineStr">
        <is>
          <t>～</t>
        </is>
      </c>
      <c r="J49" s="22" t="n"/>
      <c r="K49" s="381" t="n"/>
      <c r="L49" s="122" t="inlineStr">
        <is>
          <t>～</t>
        </is>
      </c>
      <c r="M49" s="22" t="n"/>
      <c r="N49" s="381" t="n"/>
      <c r="O49" s="122" t="inlineStr">
        <is>
          <t>～</t>
        </is>
      </c>
      <c r="P49" s="22" t="n"/>
      <c r="Q49" s="382" t="n"/>
      <c r="R49" s="338" t="n"/>
      <c r="S49" s="380" t="n"/>
      <c r="T49" s="382" t="n"/>
      <c r="U49" s="338" t="n"/>
      <c r="V49" s="380" t="n"/>
      <c r="W49" s="382" t="n"/>
      <c r="X49" s="338" t="n"/>
      <c r="Y49" s="338" t="n"/>
      <c r="Z49" s="338" t="n"/>
      <c r="AA49" s="338" t="n"/>
      <c r="AB49" s="338" t="n"/>
      <c r="AC49" s="338" t="n"/>
      <c r="AD49" s="338" t="n"/>
      <c r="AE49" s="338" t="n"/>
      <c r="AF49" s="338" t="n"/>
      <c r="AG49" s="338" t="n"/>
      <c r="AH49" s="338" t="n"/>
      <c r="AI49" s="338" t="n"/>
      <c r="AJ49" s="338" t="n"/>
      <c r="AK49" s="338" t="n"/>
      <c r="AL49" s="338" t="n"/>
      <c r="AM49" s="338" t="n"/>
      <c r="AN49" s="338" t="n"/>
      <c r="AO49" s="338" t="n"/>
      <c r="AP49" s="338" t="n"/>
      <c r="AQ49" s="338" t="n"/>
      <c r="AR49" s="338" t="n"/>
      <c r="AS49" s="338" t="n"/>
      <c r="AT49" s="338" t="n"/>
      <c r="AU49" s="338" t="n"/>
      <c r="AV49" s="338" t="n"/>
      <c r="AW49" s="338" t="n"/>
      <c r="AX49" s="338" t="n"/>
      <c r="AY49" s="338" t="n"/>
      <c r="AZ49" s="338" t="n"/>
      <c r="BA49" s="338" t="n"/>
      <c r="BB49" s="338" t="n"/>
      <c r="BC49" s="338" t="n"/>
      <c r="BD49" s="338" t="n"/>
      <c r="BE49" s="338" t="n"/>
      <c r="BF49" s="338" t="n"/>
      <c r="BG49" s="338" t="n"/>
      <c r="BH49" s="338" t="n"/>
      <c r="BI49" s="338" t="n"/>
      <c r="BJ49" s="338" t="n"/>
      <c r="BK49" s="338" t="n"/>
      <c r="BL49" s="338" t="n"/>
      <c r="BM49" s="338" t="n"/>
      <c r="BN49" s="338" t="n"/>
      <c r="BO49" s="338" t="n"/>
      <c r="BP49" s="338" t="n"/>
      <c r="BQ49" s="338" t="n"/>
      <c r="BR49" s="338" t="n"/>
      <c r="BS49" s="338" t="n"/>
      <c r="BT49" s="338" t="n"/>
      <c r="BU49" s="338" t="n"/>
      <c r="BV49" s="338" t="n"/>
      <c r="BW49" s="338" t="n"/>
      <c r="BX49" s="338" t="n"/>
      <c r="BY49" s="338" t="n"/>
      <c r="BZ49" s="338" t="n"/>
      <c r="CA49" s="338" t="n"/>
      <c r="CB49" s="338" t="n"/>
      <c r="CC49" s="383" t="n"/>
      <c r="CF49" s="253" t="inlineStr">
        <is>
          <t>時間内</t>
        </is>
      </c>
      <c r="CG49" s="384" t="n"/>
      <c r="CH49" s="384" t="n"/>
      <c r="CI49" s="385" t="n"/>
      <c r="CJ49" s="386">
        <f>IF(Q48="作業者1",H51-H48,0)</f>
        <v/>
      </c>
      <c r="CK49" s="387" t="n"/>
      <c r="CL49" s="387" t="n"/>
      <c r="CM49" s="387" t="n"/>
      <c r="CN49" s="388" t="n"/>
      <c r="CP49" s="253" t="inlineStr">
        <is>
          <t>時間内</t>
        </is>
      </c>
      <c r="CQ49" s="384" t="n"/>
      <c r="CR49" s="384" t="n"/>
      <c r="CS49" s="385" t="n"/>
      <c r="CT49" s="386">
        <f>IF(Q48="作業者2",H51-H48,0)</f>
        <v/>
      </c>
      <c r="CU49" s="387" t="n"/>
      <c r="CV49" s="387" t="n"/>
      <c r="CW49" s="387" t="n"/>
      <c r="CX49" s="388" t="n"/>
      <c r="CZ49" s="253" t="inlineStr">
        <is>
          <t>時間内</t>
        </is>
      </c>
      <c r="DA49" s="384" t="n"/>
      <c r="DB49" s="384" t="n"/>
      <c r="DC49" s="385" t="n"/>
      <c r="DD49" s="386">
        <f>IF(Q48="作業者3",H51-H48,0)</f>
        <v/>
      </c>
      <c r="DE49" s="387" t="n"/>
      <c r="DF49" s="387" t="n"/>
      <c r="DG49" s="387" t="n"/>
      <c r="DH49" s="388" t="n"/>
      <c r="DJ49" s="253" t="inlineStr">
        <is>
          <t>時間内</t>
        </is>
      </c>
      <c r="DK49" s="384" t="n"/>
      <c r="DL49" s="384" t="n"/>
      <c r="DM49" s="385" t="n"/>
      <c r="DN49" s="386">
        <f>IF(Q48="作業者4",H51-H48,0)</f>
        <v/>
      </c>
      <c r="DO49" s="387" t="n"/>
      <c r="DP49" s="387" t="n"/>
      <c r="DQ49" s="387" t="n"/>
      <c r="DR49" s="388" t="n"/>
      <c r="DT49" s="253" t="inlineStr">
        <is>
          <t>時間内</t>
        </is>
      </c>
      <c r="DU49" s="384" t="n"/>
      <c r="DV49" s="384" t="n"/>
      <c r="DW49" s="385" t="n"/>
      <c r="DX49" s="386">
        <f>IF(Q48="作業者5",H51-H48,0)</f>
        <v/>
      </c>
      <c r="DY49" s="387" t="n"/>
      <c r="DZ49" s="387" t="n"/>
      <c r="EA49" s="387" t="n"/>
      <c r="EB49" s="388" t="n"/>
    </row>
    <row r="50" ht="9" customHeight="1" s="337">
      <c r="B50" s="350" t="n"/>
      <c r="C50" s="338" t="n"/>
      <c r="D50" s="380" t="n"/>
      <c r="E50" s="23" t="n"/>
      <c r="F50" s="338" t="n"/>
      <c r="G50" s="24" t="n"/>
      <c r="H50" s="23" t="n"/>
      <c r="I50" s="338" t="n"/>
      <c r="J50" s="24" t="n"/>
      <c r="K50" s="23" t="n"/>
      <c r="L50" s="338" t="n"/>
      <c r="M50" s="24" t="n"/>
      <c r="N50" s="23" t="n"/>
      <c r="O50" s="338" t="n"/>
      <c r="P50" s="24" t="n"/>
      <c r="Q50" s="382" t="n"/>
      <c r="R50" s="338" t="n"/>
      <c r="S50" s="380" t="n"/>
      <c r="T50" s="382" t="n"/>
      <c r="U50" s="338" t="n"/>
      <c r="V50" s="380" t="n"/>
      <c r="W50" s="382" t="n"/>
      <c r="X50" s="338" t="n"/>
      <c r="Y50" s="338" t="n"/>
      <c r="Z50" s="338" t="n"/>
      <c r="AA50" s="338" t="n"/>
      <c r="AB50" s="338" t="n"/>
      <c r="AC50" s="338" t="n"/>
      <c r="AD50" s="338" t="n"/>
      <c r="AE50" s="338" t="n"/>
      <c r="AF50" s="338" t="n"/>
      <c r="AG50" s="338" t="n"/>
      <c r="AH50" s="338" t="n"/>
      <c r="AI50" s="338" t="n"/>
      <c r="AJ50" s="338" t="n"/>
      <c r="AK50" s="338" t="n"/>
      <c r="AL50" s="338" t="n"/>
      <c r="AM50" s="338" t="n"/>
      <c r="AN50" s="338" t="n"/>
      <c r="AO50" s="338" t="n"/>
      <c r="AP50" s="338" t="n"/>
      <c r="AQ50" s="338" t="n"/>
      <c r="AR50" s="338" t="n"/>
      <c r="AS50" s="338" t="n"/>
      <c r="AT50" s="338" t="n"/>
      <c r="AU50" s="338" t="n"/>
      <c r="AV50" s="338" t="n"/>
      <c r="AW50" s="338" t="n"/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8" t="n"/>
      <c r="BH50" s="338" t="n"/>
      <c r="BI50" s="338" t="n"/>
      <c r="BJ50" s="338" t="n"/>
      <c r="BK50" s="338" t="n"/>
      <c r="BL50" s="338" t="n"/>
      <c r="BM50" s="338" t="n"/>
      <c r="BN50" s="338" t="n"/>
      <c r="BO50" s="338" t="n"/>
      <c r="BP50" s="338" t="n"/>
      <c r="BQ50" s="338" t="n"/>
      <c r="BR50" s="338" t="n"/>
      <c r="BS50" s="338" t="n"/>
      <c r="BT50" s="338" t="n"/>
      <c r="BU50" s="338" t="n"/>
      <c r="BV50" s="338" t="n"/>
      <c r="BW50" s="338" t="n"/>
      <c r="BX50" s="338" t="n"/>
      <c r="BY50" s="338" t="n"/>
      <c r="BZ50" s="338" t="n"/>
      <c r="CA50" s="338" t="n"/>
      <c r="CB50" s="338" t="n"/>
      <c r="CC50" s="383" t="n"/>
      <c r="CF50" s="253" t="inlineStr">
        <is>
          <t>時間外</t>
        </is>
      </c>
      <c r="CG50" s="384" t="n"/>
      <c r="CH50" s="384" t="n"/>
      <c r="CI50" s="385" t="n"/>
      <c r="CJ50" s="386">
        <f>IF(Q48="作業者1",K51-K48,0)</f>
        <v/>
      </c>
      <c r="CK50" s="387" t="n"/>
      <c r="CL50" s="387" t="n"/>
      <c r="CM50" s="387" t="n"/>
      <c r="CN50" s="388" t="n"/>
      <c r="CP50" s="253" t="inlineStr">
        <is>
          <t>時間外</t>
        </is>
      </c>
      <c r="CQ50" s="384" t="n"/>
      <c r="CR50" s="384" t="n"/>
      <c r="CS50" s="385" t="n"/>
      <c r="CT50" s="386">
        <f>IF(Q48="作業者2",K51-K48,0)</f>
        <v/>
      </c>
      <c r="CU50" s="387" t="n"/>
      <c r="CV50" s="387" t="n"/>
      <c r="CW50" s="387" t="n"/>
      <c r="CX50" s="388" t="n"/>
      <c r="CZ50" s="253" t="inlineStr">
        <is>
          <t>時間外</t>
        </is>
      </c>
      <c r="DA50" s="384" t="n"/>
      <c r="DB50" s="384" t="n"/>
      <c r="DC50" s="385" t="n"/>
      <c r="DD50" s="386">
        <f>IF(Q48="作業者3",K51-K48,0)</f>
        <v/>
      </c>
      <c r="DE50" s="387" t="n"/>
      <c r="DF50" s="387" t="n"/>
      <c r="DG50" s="387" t="n"/>
      <c r="DH50" s="388" t="n"/>
      <c r="DJ50" s="253" t="inlineStr">
        <is>
          <t>時間外</t>
        </is>
      </c>
      <c r="DK50" s="384" t="n"/>
      <c r="DL50" s="384" t="n"/>
      <c r="DM50" s="385" t="n"/>
      <c r="DN50" s="386">
        <f>IF(Q48="作業者4",K51-K48,0)</f>
        <v/>
      </c>
      <c r="DO50" s="387" t="n"/>
      <c r="DP50" s="387" t="n"/>
      <c r="DQ50" s="387" t="n"/>
      <c r="DR50" s="388" t="n"/>
      <c r="DT50" s="253" t="inlineStr">
        <is>
          <t>時間外</t>
        </is>
      </c>
      <c r="DU50" s="384" t="n"/>
      <c r="DV50" s="384" t="n"/>
      <c r="DW50" s="385" t="n"/>
      <c r="DX50" s="386">
        <f>IF(Q48="作業者5",K51-K48,0)</f>
        <v/>
      </c>
      <c r="DY50" s="387" t="n"/>
      <c r="DZ50" s="387" t="n"/>
      <c r="EA50" s="387" t="n"/>
      <c r="EB50" s="388" t="n"/>
    </row>
    <row r="51" ht="9" customHeight="1" s="337">
      <c r="B51" s="389" t="n"/>
      <c r="C51" s="390" t="n"/>
      <c r="D51" s="391" t="n"/>
      <c r="E51" s="392" t="n"/>
      <c r="F51" s="390" t="n"/>
      <c r="G51" s="391" t="n"/>
      <c r="H51" s="392" t="n"/>
      <c r="I51" s="390" t="n"/>
      <c r="J51" s="391" t="n"/>
      <c r="K51" s="392" t="n"/>
      <c r="L51" s="390" t="n"/>
      <c r="M51" s="391" t="n"/>
      <c r="N51" s="392" t="n"/>
      <c r="O51" s="390" t="n"/>
      <c r="P51" s="391" t="n"/>
      <c r="Q51" s="393" t="n"/>
      <c r="R51" s="390" t="n"/>
      <c r="S51" s="391" t="n"/>
      <c r="T51" s="393" t="n"/>
      <c r="U51" s="390" t="n"/>
      <c r="V51" s="391" t="n"/>
      <c r="W51" s="393" t="n"/>
      <c r="X51" s="390" t="n"/>
      <c r="Y51" s="390" t="n"/>
      <c r="Z51" s="390" t="n"/>
      <c r="AA51" s="390" t="n"/>
      <c r="AB51" s="390" t="n"/>
      <c r="AC51" s="390" t="n"/>
      <c r="AD51" s="390" t="n"/>
      <c r="AE51" s="390" t="n"/>
      <c r="AF51" s="390" t="n"/>
      <c r="AG51" s="390" t="n"/>
      <c r="AH51" s="390" t="n"/>
      <c r="AI51" s="390" t="n"/>
      <c r="AJ51" s="390" t="n"/>
      <c r="AK51" s="390" t="n"/>
      <c r="AL51" s="390" t="n"/>
      <c r="AM51" s="390" t="n"/>
      <c r="AN51" s="390" t="n"/>
      <c r="AO51" s="390" t="n"/>
      <c r="AP51" s="390" t="n"/>
      <c r="AQ51" s="390" t="n"/>
      <c r="AR51" s="390" t="n"/>
      <c r="AS51" s="390" t="n"/>
      <c r="AT51" s="390" t="n"/>
      <c r="AU51" s="390" t="n"/>
      <c r="AV51" s="390" t="n"/>
      <c r="AW51" s="390" t="n"/>
      <c r="AX51" s="390" t="n"/>
      <c r="AY51" s="390" t="n"/>
      <c r="AZ51" s="390" t="n"/>
      <c r="BA51" s="390" t="n"/>
      <c r="BB51" s="390" t="n"/>
      <c r="BC51" s="390" t="n"/>
      <c r="BD51" s="390" t="n"/>
      <c r="BE51" s="390" t="n"/>
      <c r="BF51" s="390" t="n"/>
      <c r="BG51" s="390" t="n"/>
      <c r="BH51" s="390" t="n"/>
      <c r="BI51" s="390" t="n"/>
      <c r="BJ51" s="390" t="n"/>
      <c r="BK51" s="390" t="n"/>
      <c r="BL51" s="390" t="n"/>
      <c r="BM51" s="390" t="n"/>
      <c r="BN51" s="390" t="n"/>
      <c r="BO51" s="390" t="n"/>
      <c r="BP51" s="390" t="n"/>
      <c r="BQ51" s="390" t="n"/>
      <c r="BR51" s="390" t="n"/>
      <c r="BS51" s="390" t="n"/>
      <c r="BT51" s="390" t="n"/>
      <c r="BU51" s="390" t="n"/>
      <c r="BV51" s="390" t="n"/>
      <c r="BW51" s="390" t="n"/>
      <c r="BX51" s="390" t="n"/>
      <c r="BY51" s="390" t="n"/>
      <c r="BZ51" s="390" t="n"/>
      <c r="CA51" s="390" t="n"/>
      <c r="CB51" s="390" t="n"/>
      <c r="CC51" s="394" t="n"/>
      <c r="CF51" s="254" t="inlineStr">
        <is>
          <t>休日</t>
        </is>
      </c>
      <c r="CG51" s="395" t="n"/>
      <c r="CH51" s="395" t="n"/>
      <c r="CI51" s="396" t="n"/>
      <c r="CJ51" s="397">
        <f>IF(Q48="作業者1",N51-N48,0)</f>
        <v/>
      </c>
      <c r="CK51" s="395" t="n"/>
      <c r="CL51" s="395" t="n"/>
      <c r="CM51" s="395" t="n"/>
      <c r="CN51" s="396" t="n"/>
      <c r="CP51" s="254" t="inlineStr">
        <is>
          <t>休日</t>
        </is>
      </c>
      <c r="CQ51" s="395" t="n"/>
      <c r="CR51" s="395" t="n"/>
      <c r="CS51" s="396" t="n"/>
      <c r="CT51" s="397">
        <f>IF(Q48="作業者2",N51-N48,0)</f>
        <v/>
      </c>
      <c r="CU51" s="395" t="n"/>
      <c r="CV51" s="395" t="n"/>
      <c r="CW51" s="395" t="n"/>
      <c r="CX51" s="396" t="n"/>
      <c r="CZ51" s="254" t="inlineStr">
        <is>
          <t>休日</t>
        </is>
      </c>
      <c r="DA51" s="395" t="n"/>
      <c r="DB51" s="395" t="n"/>
      <c r="DC51" s="396" t="n"/>
      <c r="DD51" s="397">
        <f>IF(Q48="作業者3",N51-N48,0)</f>
        <v/>
      </c>
      <c r="DE51" s="395" t="n"/>
      <c r="DF51" s="395" t="n"/>
      <c r="DG51" s="395" t="n"/>
      <c r="DH51" s="396" t="n"/>
      <c r="DJ51" s="254" t="inlineStr">
        <is>
          <t>休日</t>
        </is>
      </c>
      <c r="DK51" s="395" t="n"/>
      <c r="DL51" s="395" t="n"/>
      <c r="DM51" s="396" t="n"/>
      <c r="DN51" s="397">
        <f>IF(Q48="作業者4",N51-N48,0)</f>
        <v/>
      </c>
      <c r="DO51" s="395" t="n"/>
      <c r="DP51" s="395" t="n"/>
      <c r="DQ51" s="395" t="n"/>
      <c r="DR51" s="396" t="n"/>
      <c r="DT51" s="254" t="inlineStr">
        <is>
          <t>休日</t>
        </is>
      </c>
      <c r="DU51" s="395" t="n"/>
      <c r="DV51" s="395" t="n"/>
      <c r="DW51" s="396" t="n"/>
      <c r="DX51" s="397">
        <f>IF(Q48="作業者5",N51-N48,0)</f>
        <v/>
      </c>
      <c r="DY51" s="395" t="n"/>
      <c r="DZ51" s="395" t="n"/>
      <c r="EA51" s="395" t="n"/>
      <c r="EB51" s="396" t="n"/>
    </row>
    <row r="52" ht="9" customHeight="1" s="337">
      <c r="B52" s="398" t="n"/>
      <c r="C52" s="372" t="n"/>
      <c r="D52" s="373" t="n"/>
      <c r="E52" s="399" t="n"/>
      <c r="F52" s="372" t="n"/>
      <c r="G52" s="373" t="n"/>
      <c r="H52" s="399" t="n"/>
      <c r="I52" s="372" t="n"/>
      <c r="J52" s="373" t="n"/>
      <c r="K52" s="399" t="n"/>
      <c r="L52" s="372" t="n"/>
      <c r="M52" s="373" t="n"/>
      <c r="N52" s="399" t="n"/>
      <c r="O52" s="372" t="n"/>
      <c r="P52" s="373" t="n"/>
      <c r="Q52" s="371" t="n"/>
      <c r="R52" s="372" t="n"/>
      <c r="S52" s="373" t="n"/>
      <c r="T52" s="371" t="n"/>
      <c r="U52" s="372" t="n"/>
      <c r="V52" s="373" t="n"/>
      <c r="W52" s="443" t="n"/>
      <c r="X52" s="372" t="n"/>
      <c r="Y52" s="372" t="n"/>
      <c r="Z52" s="372" t="n"/>
      <c r="AA52" s="372" t="n"/>
      <c r="AB52" s="372" t="n"/>
      <c r="AC52" s="372" t="n"/>
      <c r="AD52" s="372" t="n"/>
      <c r="AE52" s="372" t="n"/>
      <c r="AF52" s="372" t="n"/>
      <c r="AG52" s="372" t="n"/>
      <c r="AH52" s="372" t="n"/>
      <c r="AI52" s="372" t="n"/>
      <c r="AJ52" s="372" t="n"/>
      <c r="AK52" s="372" t="n"/>
      <c r="AL52" s="372" t="n"/>
      <c r="AM52" s="372" t="n"/>
      <c r="AN52" s="372" t="n"/>
      <c r="AO52" s="372" t="n"/>
      <c r="AP52" s="372" t="n"/>
      <c r="AQ52" s="372" t="n"/>
      <c r="AR52" s="372" t="n"/>
      <c r="AS52" s="372" t="n"/>
      <c r="AT52" s="372" t="n"/>
      <c r="AU52" s="372" t="n"/>
      <c r="AV52" s="372" t="n"/>
      <c r="AW52" s="372" t="n"/>
      <c r="AX52" s="372" t="n"/>
      <c r="AY52" s="372" t="n"/>
      <c r="AZ52" s="372" t="n"/>
      <c r="BA52" s="372" t="n"/>
      <c r="BB52" s="372" t="n"/>
      <c r="BC52" s="372" t="n"/>
      <c r="BD52" s="372" t="n"/>
      <c r="BE52" s="372" t="n"/>
      <c r="BF52" s="372" t="n"/>
      <c r="BG52" s="372" t="n"/>
      <c r="BH52" s="372" t="n"/>
      <c r="BI52" s="372" t="n"/>
      <c r="BJ52" s="372" t="n"/>
      <c r="BK52" s="372" t="n"/>
      <c r="BL52" s="372" t="n"/>
      <c r="BM52" s="372" t="n"/>
      <c r="BN52" s="372" t="n"/>
      <c r="BO52" s="372" t="n"/>
      <c r="BP52" s="372" t="n"/>
      <c r="BQ52" s="372" t="n"/>
      <c r="BR52" s="372" t="n"/>
      <c r="BS52" s="372" t="n"/>
      <c r="BT52" s="372" t="n"/>
      <c r="BU52" s="372" t="n"/>
      <c r="BV52" s="372" t="n"/>
      <c r="BW52" s="372" t="n"/>
      <c r="BX52" s="372" t="n"/>
      <c r="BY52" s="372" t="n"/>
      <c r="BZ52" s="372" t="n"/>
      <c r="CA52" s="372" t="n"/>
      <c r="CB52" s="372" t="n"/>
      <c r="CC52" s="402" t="n"/>
      <c r="CF52" s="248" t="inlineStr">
        <is>
          <t>移動</t>
        </is>
      </c>
      <c r="CG52" s="377" t="n"/>
      <c r="CH52" s="377" t="n"/>
      <c r="CI52" s="378" t="n"/>
      <c r="CJ52" s="379">
        <f>IF(Q52="作業者1",E55-E52,0)</f>
        <v/>
      </c>
      <c r="CK52" s="377" t="n"/>
      <c r="CL52" s="377" t="n"/>
      <c r="CM52" s="377" t="n"/>
      <c r="CN52" s="378" t="n"/>
      <c r="CP52" s="248" t="inlineStr">
        <is>
          <t>移動</t>
        </is>
      </c>
      <c r="CQ52" s="377" t="n"/>
      <c r="CR52" s="377" t="n"/>
      <c r="CS52" s="378" t="n"/>
      <c r="CT52" s="379">
        <f>IF(Q52="作業者2",E55-E52,0)</f>
        <v/>
      </c>
      <c r="CU52" s="377" t="n"/>
      <c r="CV52" s="377" t="n"/>
      <c r="CW52" s="377" t="n"/>
      <c r="CX52" s="378" t="n"/>
      <c r="CZ52" s="259" t="inlineStr">
        <is>
          <t>移動</t>
        </is>
      </c>
      <c r="DA52" s="403" t="n"/>
      <c r="DB52" s="403" t="n"/>
      <c r="DC52" s="404" t="n"/>
      <c r="DD52" s="405">
        <f>IF(Q52="作業者3",E55-E52,0)</f>
        <v/>
      </c>
      <c r="DE52" s="406" t="n"/>
      <c r="DF52" s="406" t="n"/>
      <c r="DG52" s="406" t="n"/>
      <c r="DH52" s="407" t="n"/>
      <c r="DJ52" s="259" t="inlineStr">
        <is>
          <t>移動</t>
        </is>
      </c>
      <c r="DK52" s="403" t="n"/>
      <c r="DL52" s="403" t="n"/>
      <c r="DM52" s="404" t="n"/>
      <c r="DN52" s="379">
        <f>IF(Q52="作業者4",E55-E52,0)</f>
        <v/>
      </c>
      <c r="DO52" s="377" t="n"/>
      <c r="DP52" s="377" t="n"/>
      <c r="DQ52" s="377" t="n"/>
      <c r="DR52" s="378" t="n"/>
      <c r="DT52" s="259" t="inlineStr">
        <is>
          <t>移動</t>
        </is>
      </c>
      <c r="DU52" s="403" t="n"/>
      <c r="DV52" s="403" t="n"/>
      <c r="DW52" s="404" t="n"/>
      <c r="DX52" s="379">
        <f>IF(Q52="作業者5",E55-E52,0)</f>
        <v/>
      </c>
      <c r="DY52" s="377" t="n"/>
      <c r="DZ52" s="377" t="n"/>
      <c r="EA52" s="377" t="n"/>
      <c r="EB52" s="378" t="n"/>
    </row>
    <row r="53" ht="9" customHeight="1" s="337">
      <c r="B53" s="350" t="n"/>
      <c r="C53" s="338" t="n"/>
      <c r="D53" s="380" t="n"/>
      <c r="E53" s="381" t="n"/>
      <c r="F53" s="122" t="inlineStr">
        <is>
          <t>～</t>
        </is>
      </c>
      <c r="G53" s="22" t="n"/>
      <c r="H53" s="381" t="n"/>
      <c r="I53" s="122" t="inlineStr">
        <is>
          <t>～</t>
        </is>
      </c>
      <c r="J53" s="22" t="n"/>
      <c r="K53" s="381" t="n"/>
      <c r="L53" s="122" t="inlineStr">
        <is>
          <t>～</t>
        </is>
      </c>
      <c r="M53" s="22" t="n"/>
      <c r="N53" s="381" t="n"/>
      <c r="O53" s="122" t="inlineStr">
        <is>
          <t>～</t>
        </is>
      </c>
      <c r="P53" s="22" t="n"/>
      <c r="Q53" s="382" t="n"/>
      <c r="R53" s="338" t="n"/>
      <c r="S53" s="380" t="n"/>
      <c r="T53" s="382" t="n"/>
      <c r="U53" s="338" t="n"/>
      <c r="V53" s="380" t="n"/>
      <c r="W53" s="382" t="n"/>
      <c r="X53" s="338" t="n"/>
      <c r="Y53" s="338" t="n"/>
      <c r="Z53" s="338" t="n"/>
      <c r="AA53" s="338" t="n"/>
      <c r="AB53" s="338" t="n"/>
      <c r="AC53" s="338" t="n"/>
      <c r="AD53" s="338" t="n"/>
      <c r="AE53" s="338" t="n"/>
      <c r="AF53" s="338" t="n"/>
      <c r="AG53" s="338" t="n"/>
      <c r="AH53" s="338" t="n"/>
      <c r="AI53" s="338" t="n"/>
      <c r="AJ53" s="338" t="n"/>
      <c r="AK53" s="338" t="n"/>
      <c r="AL53" s="338" t="n"/>
      <c r="AM53" s="338" t="n"/>
      <c r="AN53" s="338" t="n"/>
      <c r="AO53" s="338" t="n"/>
      <c r="AP53" s="338" t="n"/>
      <c r="AQ53" s="338" t="n"/>
      <c r="AR53" s="338" t="n"/>
      <c r="AS53" s="338" t="n"/>
      <c r="AT53" s="338" t="n"/>
      <c r="AU53" s="338" t="n"/>
      <c r="AV53" s="338" t="n"/>
      <c r="AW53" s="338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8" t="n"/>
      <c r="BH53" s="338" t="n"/>
      <c r="BI53" s="338" t="n"/>
      <c r="BJ53" s="338" t="n"/>
      <c r="BK53" s="338" t="n"/>
      <c r="BL53" s="338" t="n"/>
      <c r="BM53" s="338" t="n"/>
      <c r="BN53" s="338" t="n"/>
      <c r="BO53" s="338" t="n"/>
      <c r="BP53" s="338" t="n"/>
      <c r="BQ53" s="338" t="n"/>
      <c r="BR53" s="338" t="n"/>
      <c r="BS53" s="338" t="n"/>
      <c r="BT53" s="338" t="n"/>
      <c r="BU53" s="338" t="n"/>
      <c r="BV53" s="338" t="n"/>
      <c r="BW53" s="338" t="n"/>
      <c r="BX53" s="338" t="n"/>
      <c r="BY53" s="338" t="n"/>
      <c r="BZ53" s="338" t="n"/>
      <c r="CA53" s="338" t="n"/>
      <c r="CB53" s="338" t="n"/>
      <c r="CC53" s="383" t="n"/>
      <c r="CF53" s="253" t="inlineStr">
        <is>
          <t>時間内</t>
        </is>
      </c>
      <c r="CG53" s="384" t="n"/>
      <c r="CH53" s="384" t="n"/>
      <c r="CI53" s="385" t="n"/>
      <c r="CJ53" s="386">
        <f>IF(Q52="作業者1",H55-H52,0)</f>
        <v/>
      </c>
      <c r="CK53" s="387" t="n"/>
      <c r="CL53" s="387" t="n"/>
      <c r="CM53" s="387" t="n"/>
      <c r="CN53" s="388" t="n"/>
      <c r="CP53" s="253" t="inlineStr">
        <is>
          <t>時間内</t>
        </is>
      </c>
      <c r="CQ53" s="384" t="n"/>
      <c r="CR53" s="384" t="n"/>
      <c r="CS53" s="385" t="n"/>
      <c r="CT53" s="386">
        <f>IF(Q52="作業者2",H55-H52,0)</f>
        <v/>
      </c>
      <c r="CU53" s="387" t="n"/>
      <c r="CV53" s="387" t="n"/>
      <c r="CW53" s="387" t="n"/>
      <c r="CX53" s="388" t="n"/>
      <c r="CZ53" s="253" t="inlineStr">
        <is>
          <t>時間内</t>
        </is>
      </c>
      <c r="DA53" s="384" t="n"/>
      <c r="DB53" s="384" t="n"/>
      <c r="DC53" s="385" t="n"/>
      <c r="DD53" s="386">
        <f>IF(Q52="作業者3",H55-H52,0)</f>
        <v/>
      </c>
      <c r="DE53" s="387" t="n"/>
      <c r="DF53" s="387" t="n"/>
      <c r="DG53" s="387" t="n"/>
      <c r="DH53" s="388" t="n"/>
      <c r="DJ53" s="253" t="inlineStr">
        <is>
          <t>時間内</t>
        </is>
      </c>
      <c r="DK53" s="384" t="n"/>
      <c r="DL53" s="384" t="n"/>
      <c r="DM53" s="385" t="n"/>
      <c r="DN53" s="386">
        <f>IF(Q52="作業者4",H55-H52,0)</f>
        <v/>
      </c>
      <c r="DO53" s="387" t="n"/>
      <c r="DP53" s="387" t="n"/>
      <c r="DQ53" s="387" t="n"/>
      <c r="DR53" s="388" t="n"/>
      <c r="DT53" s="253" t="inlineStr">
        <is>
          <t>時間内</t>
        </is>
      </c>
      <c r="DU53" s="384" t="n"/>
      <c r="DV53" s="384" t="n"/>
      <c r="DW53" s="385" t="n"/>
      <c r="DX53" s="386">
        <f>IF(Q52="作業者5",H55-H52,0)</f>
        <v/>
      </c>
      <c r="DY53" s="387" t="n"/>
      <c r="DZ53" s="387" t="n"/>
      <c r="EA53" s="387" t="n"/>
      <c r="EB53" s="388" t="n"/>
    </row>
    <row r="54" ht="9" customHeight="1" s="337">
      <c r="B54" s="350" t="n"/>
      <c r="C54" s="338" t="n"/>
      <c r="D54" s="380" t="n"/>
      <c r="E54" s="23" t="n"/>
      <c r="F54" s="338" t="n"/>
      <c r="G54" s="24" t="n"/>
      <c r="H54" s="23" t="n"/>
      <c r="I54" s="338" t="n"/>
      <c r="J54" s="24" t="n"/>
      <c r="K54" s="23" t="n"/>
      <c r="L54" s="338" t="n"/>
      <c r="M54" s="24" t="n"/>
      <c r="N54" s="23" t="n"/>
      <c r="O54" s="338" t="n"/>
      <c r="P54" s="24" t="n"/>
      <c r="Q54" s="382" t="n"/>
      <c r="R54" s="338" t="n"/>
      <c r="S54" s="380" t="n"/>
      <c r="T54" s="382" t="n"/>
      <c r="U54" s="338" t="n"/>
      <c r="V54" s="380" t="n"/>
      <c r="W54" s="382" t="n"/>
      <c r="X54" s="338" t="n"/>
      <c r="Y54" s="338" t="n"/>
      <c r="Z54" s="338" t="n"/>
      <c r="AA54" s="338" t="n"/>
      <c r="AB54" s="338" t="n"/>
      <c r="AC54" s="338" t="n"/>
      <c r="AD54" s="338" t="n"/>
      <c r="AE54" s="338" t="n"/>
      <c r="AF54" s="338" t="n"/>
      <c r="AG54" s="338" t="n"/>
      <c r="AH54" s="338" t="n"/>
      <c r="AI54" s="338" t="n"/>
      <c r="AJ54" s="338" t="n"/>
      <c r="AK54" s="338" t="n"/>
      <c r="AL54" s="338" t="n"/>
      <c r="AM54" s="338" t="n"/>
      <c r="AN54" s="338" t="n"/>
      <c r="AO54" s="338" t="n"/>
      <c r="AP54" s="338" t="n"/>
      <c r="AQ54" s="338" t="n"/>
      <c r="AR54" s="338" t="n"/>
      <c r="AS54" s="338" t="n"/>
      <c r="AT54" s="338" t="n"/>
      <c r="AU54" s="338" t="n"/>
      <c r="AV54" s="338" t="n"/>
      <c r="AW54" s="338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8" t="n"/>
      <c r="BH54" s="338" t="n"/>
      <c r="BI54" s="338" t="n"/>
      <c r="BJ54" s="338" t="n"/>
      <c r="BK54" s="338" t="n"/>
      <c r="BL54" s="338" t="n"/>
      <c r="BM54" s="338" t="n"/>
      <c r="BN54" s="338" t="n"/>
      <c r="BO54" s="338" t="n"/>
      <c r="BP54" s="338" t="n"/>
      <c r="BQ54" s="338" t="n"/>
      <c r="BR54" s="338" t="n"/>
      <c r="BS54" s="338" t="n"/>
      <c r="BT54" s="338" t="n"/>
      <c r="BU54" s="338" t="n"/>
      <c r="BV54" s="338" t="n"/>
      <c r="BW54" s="338" t="n"/>
      <c r="BX54" s="338" t="n"/>
      <c r="BY54" s="338" t="n"/>
      <c r="BZ54" s="338" t="n"/>
      <c r="CA54" s="338" t="n"/>
      <c r="CB54" s="338" t="n"/>
      <c r="CC54" s="383" t="n"/>
      <c r="CF54" s="253" t="inlineStr">
        <is>
          <t>時間外</t>
        </is>
      </c>
      <c r="CG54" s="384" t="n"/>
      <c r="CH54" s="384" t="n"/>
      <c r="CI54" s="385" t="n"/>
      <c r="CJ54" s="386">
        <f>IF(Q52="作業者1",K55-K52,0)</f>
        <v/>
      </c>
      <c r="CK54" s="387" t="n"/>
      <c r="CL54" s="387" t="n"/>
      <c r="CM54" s="387" t="n"/>
      <c r="CN54" s="388" t="n"/>
      <c r="CP54" s="253" t="inlineStr">
        <is>
          <t>時間外</t>
        </is>
      </c>
      <c r="CQ54" s="384" t="n"/>
      <c r="CR54" s="384" t="n"/>
      <c r="CS54" s="385" t="n"/>
      <c r="CT54" s="386">
        <f>IF(Q52="作業者2",K55-K52,0)</f>
        <v/>
      </c>
      <c r="CU54" s="387" t="n"/>
      <c r="CV54" s="387" t="n"/>
      <c r="CW54" s="387" t="n"/>
      <c r="CX54" s="388" t="n"/>
      <c r="CZ54" s="253" t="inlineStr">
        <is>
          <t>時間外</t>
        </is>
      </c>
      <c r="DA54" s="384" t="n"/>
      <c r="DB54" s="384" t="n"/>
      <c r="DC54" s="385" t="n"/>
      <c r="DD54" s="386">
        <f>IF(Q52="作業者3",K55-K52,0)</f>
        <v/>
      </c>
      <c r="DE54" s="387" t="n"/>
      <c r="DF54" s="387" t="n"/>
      <c r="DG54" s="387" t="n"/>
      <c r="DH54" s="388" t="n"/>
      <c r="DJ54" s="253" t="inlineStr">
        <is>
          <t>時間外</t>
        </is>
      </c>
      <c r="DK54" s="384" t="n"/>
      <c r="DL54" s="384" t="n"/>
      <c r="DM54" s="385" t="n"/>
      <c r="DN54" s="386">
        <f>IF(Q52="作業者4",K55-K52,0)</f>
        <v/>
      </c>
      <c r="DO54" s="387" t="n"/>
      <c r="DP54" s="387" t="n"/>
      <c r="DQ54" s="387" t="n"/>
      <c r="DR54" s="388" t="n"/>
      <c r="DT54" s="253" t="inlineStr">
        <is>
          <t>時間外</t>
        </is>
      </c>
      <c r="DU54" s="384" t="n"/>
      <c r="DV54" s="384" t="n"/>
      <c r="DW54" s="385" t="n"/>
      <c r="DX54" s="386">
        <f>IF(Q52="作業者5",K55-K52,0)</f>
        <v/>
      </c>
      <c r="DY54" s="387" t="n"/>
      <c r="DZ54" s="387" t="n"/>
      <c r="EA54" s="387" t="n"/>
      <c r="EB54" s="388" t="n"/>
    </row>
    <row r="55" ht="9" customHeight="1" s="337">
      <c r="B55" s="389" t="n"/>
      <c r="C55" s="390" t="n"/>
      <c r="D55" s="391" t="n"/>
      <c r="E55" s="392" t="n"/>
      <c r="F55" s="390" t="n"/>
      <c r="G55" s="391" t="n"/>
      <c r="H55" s="392" t="n"/>
      <c r="I55" s="390" t="n"/>
      <c r="J55" s="391" t="n"/>
      <c r="K55" s="392" t="n"/>
      <c r="L55" s="390" t="n"/>
      <c r="M55" s="391" t="n"/>
      <c r="N55" s="392" t="n"/>
      <c r="O55" s="390" t="n"/>
      <c r="P55" s="391" t="n"/>
      <c r="Q55" s="393" t="n"/>
      <c r="R55" s="390" t="n"/>
      <c r="S55" s="391" t="n"/>
      <c r="T55" s="393" t="n"/>
      <c r="U55" s="390" t="n"/>
      <c r="V55" s="391" t="n"/>
      <c r="W55" s="393" t="n"/>
      <c r="X55" s="390" t="n"/>
      <c r="Y55" s="390" t="n"/>
      <c r="Z55" s="390" t="n"/>
      <c r="AA55" s="390" t="n"/>
      <c r="AB55" s="390" t="n"/>
      <c r="AC55" s="390" t="n"/>
      <c r="AD55" s="390" t="n"/>
      <c r="AE55" s="390" t="n"/>
      <c r="AF55" s="390" t="n"/>
      <c r="AG55" s="390" t="n"/>
      <c r="AH55" s="390" t="n"/>
      <c r="AI55" s="390" t="n"/>
      <c r="AJ55" s="390" t="n"/>
      <c r="AK55" s="390" t="n"/>
      <c r="AL55" s="390" t="n"/>
      <c r="AM55" s="390" t="n"/>
      <c r="AN55" s="390" t="n"/>
      <c r="AO55" s="390" t="n"/>
      <c r="AP55" s="390" t="n"/>
      <c r="AQ55" s="390" t="n"/>
      <c r="AR55" s="390" t="n"/>
      <c r="AS55" s="390" t="n"/>
      <c r="AT55" s="390" t="n"/>
      <c r="AU55" s="390" t="n"/>
      <c r="AV55" s="390" t="n"/>
      <c r="AW55" s="390" t="n"/>
      <c r="AX55" s="390" t="n"/>
      <c r="AY55" s="390" t="n"/>
      <c r="AZ55" s="390" t="n"/>
      <c r="BA55" s="390" t="n"/>
      <c r="BB55" s="390" t="n"/>
      <c r="BC55" s="390" t="n"/>
      <c r="BD55" s="390" t="n"/>
      <c r="BE55" s="390" t="n"/>
      <c r="BF55" s="390" t="n"/>
      <c r="BG55" s="390" t="n"/>
      <c r="BH55" s="390" t="n"/>
      <c r="BI55" s="390" t="n"/>
      <c r="BJ55" s="390" t="n"/>
      <c r="BK55" s="390" t="n"/>
      <c r="BL55" s="390" t="n"/>
      <c r="BM55" s="390" t="n"/>
      <c r="BN55" s="390" t="n"/>
      <c r="BO55" s="390" t="n"/>
      <c r="BP55" s="390" t="n"/>
      <c r="BQ55" s="390" t="n"/>
      <c r="BR55" s="390" t="n"/>
      <c r="BS55" s="390" t="n"/>
      <c r="BT55" s="390" t="n"/>
      <c r="BU55" s="390" t="n"/>
      <c r="BV55" s="390" t="n"/>
      <c r="BW55" s="390" t="n"/>
      <c r="BX55" s="390" t="n"/>
      <c r="BY55" s="390" t="n"/>
      <c r="BZ55" s="390" t="n"/>
      <c r="CA55" s="390" t="n"/>
      <c r="CB55" s="390" t="n"/>
      <c r="CC55" s="394" t="n"/>
      <c r="CF55" s="254" t="inlineStr">
        <is>
          <t>休日</t>
        </is>
      </c>
      <c r="CG55" s="395" t="n"/>
      <c r="CH55" s="395" t="n"/>
      <c r="CI55" s="396" t="n"/>
      <c r="CJ55" s="397">
        <f>IF(Q52="作業者1",N55-N52,0)</f>
        <v/>
      </c>
      <c r="CK55" s="395" t="n"/>
      <c r="CL55" s="395" t="n"/>
      <c r="CM55" s="395" t="n"/>
      <c r="CN55" s="396" t="n"/>
      <c r="CP55" s="254" t="inlineStr">
        <is>
          <t>休日</t>
        </is>
      </c>
      <c r="CQ55" s="395" t="n"/>
      <c r="CR55" s="395" t="n"/>
      <c r="CS55" s="396" t="n"/>
      <c r="CT55" s="397">
        <f>IF(Q52="作業者2",N55-N52,0)</f>
        <v/>
      </c>
      <c r="CU55" s="395" t="n"/>
      <c r="CV55" s="395" t="n"/>
      <c r="CW55" s="395" t="n"/>
      <c r="CX55" s="396" t="n"/>
      <c r="CZ55" s="254" t="inlineStr">
        <is>
          <t>休日</t>
        </is>
      </c>
      <c r="DA55" s="395" t="n"/>
      <c r="DB55" s="395" t="n"/>
      <c r="DC55" s="396" t="n"/>
      <c r="DD55" s="397">
        <f>IF(Q52="作業者3",N55-N52,0)</f>
        <v/>
      </c>
      <c r="DE55" s="395" t="n"/>
      <c r="DF55" s="395" t="n"/>
      <c r="DG55" s="395" t="n"/>
      <c r="DH55" s="396" t="n"/>
      <c r="DJ55" s="254" t="inlineStr">
        <is>
          <t>休日</t>
        </is>
      </c>
      <c r="DK55" s="395" t="n"/>
      <c r="DL55" s="395" t="n"/>
      <c r="DM55" s="396" t="n"/>
      <c r="DN55" s="397">
        <f>IF(Q52="作業者4",N55-N52,0)</f>
        <v/>
      </c>
      <c r="DO55" s="395" t="n"/>
      <c r="DP55" s="395" t="n"/>
      <c r="DQ55" s="395" t="n"/>
      <c r="DR55" s="396" t="n"/>
      <c r="DT55" s="254" t="inlineStr">
        <is>
          <t>休日</t>
        </is>
      </c>
      <c r="DU55" s="395" t="n"/>
      <c r="DV55" s="395" t="n"/>
      <c r="DW55" s="396" t="n"/>
      <c r="DX55" s="397">
        <f>IF(Q52="作業者5",N55-N52,0)</f>
        <v/>
      </c>
      <c r="DY55" s="395" t="n"/>
      <c r="DZ55" s="395" t="n"/>
      <c r="EA55" s="395" t="n"/>
      <c r="EB55" s="396" t="n"/>
    </row>
    <row r="56" ht="9" customHeight="1" s="337">
      <c r="B56" s="398" t="n"/>
      <c r="C56" s="372" t="n"/>
      <c r="D56" s="373" t="n"/>
      <c r="E56" s="399" t="n"/>
      <c r="F56" s="372" t="n"/>
      <c r="G56" s="373" t="n"/>
      <c r="H56" s="399" t="n"/>
      <c r="I56" s="372" t="n"/>
      <c r="J56" s="373" t="n"/>
      <c r="K56" s="399" t="n"/>
      <c r="L56" s="372" t="n"/>
      <c r="M56" s="373" t="n"/>
      <c r="N56" s="399" t="n"/>
      <c r="O56" s="372" t="n"/>
      <c r="P56" s="373" t="n"/>
      <c r="Q56" s="371" t="n"/>
      <c r="R56" s="372" t="n"/>
      <c r="S56" s="373" t="n"/>
      <c r="T56" s="371" t="n"/>
      <c r="U56" s="372" t="n"/>
      <c r="V56" s="373" t="n"/>
      <c r="W56" s="443" t="n"/>
      <c r="X56" s="372" t="n"/>
      <c r="Y56" s="372" t="n"/>
      <c r="Z56" s="372" t="n"/>
      <c r="AA56" s="372" t="n"/>
      <c r="AB56" s="372" t="n"/>
      <c r="AC56" s="372" t="n"/>
      <c r="AD56" s="372" t="n"/>
      <c r="AE56" s="372" t="n"/>
      <c r="AF56" s="372" t="n"/>
      <c r="AG56" s="372" t="n"/>
      <c r="AH56" s="372" t="n"/>
      <c r="AI56" s="372" t="n"/>
      <c r="AJ56" s="372" t="n"/>
      <c r="AK56" s="372" t="n"/>
      <c r="AL56" s="372" t="n"/>
      <c r="AM56" s="372" t="n"/>
      <c r="AN56" s="372" t="n"/>
      <c r="AO56" s="372" t="n"/>
      <c r="AP56" s="372" t="n"/>
      <c r="AQ56" s="372" t="n"/>
      <c r="AR56" s="372" t="n"/>
      <c r="AS56" s="372" t="n"/>
      <c r="AT56" s="372" t="n"/>
      <c r="AU56" s="372" t="n"/>
      <c r="AV56" s="372" t="n"/>
      <c r="AW56" s="372" t="n"/>
      <c r="AX56" s="372" t="n"/>
      <c r="AY56" s="372" t="n"/>
      <c r="AZ56" s="372" t="n"/>
      <c r="BA56" s="372" t="n"/>
      <c r="BB56" s="372" t="n"/>
      <c r="BC56" s="372" t="n"/>
      <c r="BD56" s="372" t="n"/>
      <c r="BE56" s="372" t="n"/>
      <c r="BF56" s="372" t="n"/>
      <c r="BG56" s="372" t="n"/>
      <c r="BH56" s="372" t="n"/>
      <c r="BI56" s="372" t="n"/>
      <c r="BJ56" s="372" t="n"/>
      <c r="BK56" s="372" t="n"/>
      <c r="BL56" s="372" t="n"/>
      <c r="BM56" s="372" t="n"/>
      <c r="BN56" s="372" t="n"/>
      <c r="BO56" s="372" t="n"/>
      <c r="BP56" s="372" t="n"/>
      <c r="BQ56" s="372" t="n"/>
      <c r="BR56" s="372" t="n"/>
      <c r="BS56" s="372" t="n"/>
      <c r="BT56" s="372" t="n"/>
      <c r="BU56" s="372" t="n"/>
      <c r="BV56" s="372" t="n"/>
      <c r="BW56" s="372" t="n"/>
      <c r="BX56" s="372" t="n"/>
      <c r="BY56" s="372" t="n"/>
      <c r="BZ56" s="372" t="n"/>
      <c r="CA56" s="372" t="n"/>
      <c r="CB56" s="372" t="n"/>
      <c r="CC56" s="402" t="n"/>
      <c r="CF56" s="248" t="inlineStr">
        <is>
          <t>移動</t>
        </is>
      </c>
      <c r="CG56" s="377" t="n"/>
      <c r="CH56" s="377" t="n"/>
      <c r="CI56" s="378" t="n"/>
      <c r="CJ56" s="379">
        <f>IF(Q56="作業者1",E59-E56,0)</f>
        <v/>
      </c>
      <c r="CK56" s="377" t="n"/>
      <c r="CL56" s="377" t="n"/>
      <c r="CM56" s="377" t="n"/>
      <c r="CN56" s="378" t="n"/>
      <c r="CP56" s="248" t="inlineStr">
        <is>
          <t>移動</t>
        </is>
      </c>
      <c r="CQ56" s="377" t="n"/>
      <c r="CR56" s="377" t="n"/>
      <c r="CS56" s="378" t="n"/>
      <c r="CT56" s="379">
        <f>IF(Q56="作業者2",E59-E56,0)</f>
        <v/>
      </c>
      <c r="CU56" s="377" t="n"/>
      <c r="CV56" s="377" t="n"/>
      <c r="CW56" s="377" t="n"/>
      <c r="CX56" s="378" t="n"/>
      <c r="CZ56" s="259" t="inlineStr">
        <is>
          <t>移動</t>
        </is>
      </c>
      <c r="DA56" s="403" t="n"/>
      <c r="DB56" s="403" t="n"/>
      <c r="DC56" s="404" t="n"/>
      <c r="DD56" s="405">
        <f>IF(Q56="作業者3",E59-E56,0)</f>
        <v/>
      </c>
      <c r="DE56" s="406" t="n"/>
      <c r="DF56" s="406" t="n"/>
      <c r="DG56" s="406" t="n"/>
      <c r="DH56" s="407" t="n"/>
      <c r="DJ56" s="259" t="inlineStr">
        <is>
          <t>移動</t>
        </is>
      </c>
      <c r="DK56" s="403" t="n"/>
      <c r="DL56" s="403" t="n"/>
      <c r="DM56" s="404" t="n"/>
      <c r="DN56" s="379">
        <f>IF(Q56="作業者4",E59-E56,0)</f>
        <v/>
      </c>
      <c r="DO56" s="377" t="n"/>
      <c r="DP56" s="377" t="n"/>
      <c r="DQ56" s="377" t="n"/>
      <c r="DR56" s="378" t="n"/>
      <c r="DT56" s="259" t="inlineStr">
        <is>
          <t>移動</t>
        </is>
      </c>
      <c r="DU56" s="403" t="n"/>
      <c r="DV56" s="403" t="n"/>
      <c r="DW56" s="404" t="n"/>
      <c r="DX56" s="379">
        <f>IF(Q56="作業者5",E59-E56,0)</f>
        <v/>
      </c>
      <c r="DY56" s="377" t="n"/>
      <c r="DZ56" s="377" t="n"/>
      <c r="EA56" s="377" t="n"/>
      <c r="EB56" s="378" t="n"/>
    </row>
    <row r="57" ht="9" customHeight="1" s="337">
      <c r="B57" s="350" t="n"/>
      <c r="C57" s="338" t="n"/>
      <c r="D57" s="380" t="n"/>
      <c r="E57" s="381" t="n"/>
      <c r="F57" s="122" t="inlineStr">
        <is>
          <t>～</t>
        </is>
      </c>
      <c r="G57" s="22" t="n"/>
      <c r="H57" s="381" t="n"/>
      <c r="I57" s="122" t="inlineStr">
        <is>
          <t>～</t>
        </is>
      </c>
      <c r="J57" s="22" t="n"/>
      <c r="K57" s="381" t="n"/>
      <c r="L57" s="122" t="inlineStr">
        <is>
          <t>～</t>
        </is>
      </c>
      <c r="M57" s="22" t="n"/>
      <c r="N57" s="381" t="n"/>
      <c r="O57" s="122" t="inlineStr">
        <is>
          <t>～</t>
        </is>
      </c>
      <c r="P57" s="22" t="n"/>
      <c r="Q57" s="382" t="n"/>
      <c r="R57" s="338" t="n"/>
      <c r="S57" s="380" t="n"/>
      <c r="T57" s="382" t="n"/>
      <c r="U57" s="338" t="n"/>
      <c r="V57" s="380" t="n"/>
      <c r="W57" s="382" t="n"/>
      <c r="X57" s="338" t="n"/>
      <c r="Y57" s="338" t="n"/>
      <c r="Z57" s="338" t="n"/>
      <c r="AA57" s="338" t="n"/>
      <c r="AB57" s="338" t="n"/>
      <c r="AC57" s="338" t="n"/>
      <c r="AD57" s="338" t="n"/>
      <c r="AE57" s="338" t="n"/>
      <c r="AF57" s="338" t="n"/>
      <c r="AG57" s="338" t="n"/>
      <c r="AH57" s="338" t="n"/>
      <c r="AI57" s="338" t="n"/>
      <c r="AJ57" s="338" t="n"/>
      <c r="AK57" s="338" t="n"/>
      <c r="AL57" s="338" t="n"/>
      <c r="AM57" s="338" t="n"/>
      <c r="AN57" s="338" t="n"/>
      <c r="AO57" s="338" t="n"/>
      <c r="AP57" s="338" t="n"/>
      <c r="AQ57" s="338" t="n"/>
      <c r="AR57" s="338" t="n"/>
      <c r="AS57" s="338" t="n"/>
      <c r="AT57" s="338" t="n"/>
      <c r="AU57" s="338" t="n"/>
      <c r="AV57" s="338" t="n"/>
      <c r="AW57" s="338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8" t="n"/>
      <c r="BH57" s="338" t="n"/>
      <c r="BI57" s="338" t="n"/>
      <c r="BJ57" s="338" t="n"/>
      <c r="BK57" s="338" t="n"/>
      <c r="BL57" s="338" t="n"/>
      <c r="BM57" s="338" t="n"/>
      <c r="BN57" s="338" t="n"/>
      <c r="BO57" s="338" t="n"/>
      <c r="BP57" s="338" t="n"/>
      <c r="BQ57" s="338" t="n"/>
      <c r="BR57" s="338" t="n"/>
      <c r="BS57" s="338" t="n"/>
      <c r="BT57" s="338" t="n"/>
      <c r="BU57" s="338" t="n"/>
      <c r="BV57" s="338" t="n"/>
      <c r="BW57" s="338" t="n"/>
      <c r="BX57" s="338" t="n"/>
      <c r="BY57" s="338" t="n"/>
      <c r="BZ57" s="338" t="n"/>
      <c r="CA57" s="338" t="n"/>
      <c r="CB57" s="338" t="n"/>
      <c r="CC57" s="383" t="n"/>
      <c r="CF57" s="253" t="inlineStr">
        <is>
          <t>時間内</t>
        </is>
      </c>
      <c r="CG57" s="384" t="n"/>
      <c r="CH57" s="384" t="n"/>
      <c r="CI57" s="385" t="n"/>
      <c r="CJ57" s="386">
        <f>IF(Q56="作業者1",H59-H56,0)</f>
        <v/>
      </c>
      <c r="CK57" s="387" t="n"/>
      <c r="CL57" s="387" t="n"/>
      <c r="CM57" s="387" t="n"/>
      <c r="CN57" s="388" t="n"/>
      <c r="CP57" s="253" t="inlineStr">
        <is>
          <t>時間内</t>
        </is>
      </c>
      <c r="CQ57" s="384" t="n"/>
      <c r="CR57" s="384" t="n"/>
      <c r="CS57" s="385" t="n"/>
      <c r="CT57" s="386">
        <f>IF(Q56="作業者2",H59-H56,0)</f>
        <v/>
      </c>
      <c r="CU57" s="387" t="n"/>
      <c r="CV57" s="387" t="n"/>
      <c r="CW57" s="387" t="n"/>
      <c r="CX57" s="388" t="n"/>
      <c r="CZ57" s="253" t="inlineStr">
        <is>
          <t>時間内</t>
        </is>
      </c>
      <c r="DA57" s="384" t="n"/>
      <c r="DB57" s="384" t="n"/>
      <c r="DC57" s="385" t="n"/>
      <c r="DD57" s="386">
        <f>IF(Q56="作業者3",H59-H56,0)</f>
        <v/>
      </c>
      <c r="DE57" s="387" t="n"/>
      <c r="DF57" s="387" t="n"/>
      <c r="DG57" s="387" t="n"/>
      <c r="DH57" s="388" t="n"/>
      <c r="DJ57" s="253" t="inlineStr">
        <is>
          <t>時間内</t>
        </is>
      </c>
      <c r="DK57" s="384" t="n"/>
      <c r="DL57" s="384" t="n"/>
      <c r="DM57" s="385" t="n"/>
      <c r="DN57" s="386">
        <f>IF(Q56="作業者4",H59-H56,0)</f>
        <v/>
      </c>
      <c r="DO57" s="387" t="n"/>
      <c r="DP57" s="387" t="n"/>
      <c r="DQ57" s="387" t="n"/>
      <c r="DR57" s="388" t="n"/>
      <c r="DT57" s="253" t="inlineStr">
        <is>
          <t>時間内</t>
        </is>
      </c>
      <c r="DU57" s="384" t="n"/>
      <c r="DV57" s="384" t="n"/>
      <c r="DW57" s="385" t="n"/>
      <c r="DX57" s="386">
        <f>IF(Q56="作業者5",H59-H56,0)</f>
        <v/>
      </c>
      <c r="DY57" s="387" t="n"/>
      <c r="DZ57" s="387" t="n"/>
      <c r="EA57" s="387" t="n"/>
      <c r="EB57" s="388" t="n"/>
    </row>
    <row r="58" ht="9" customHeight="1" s="337">
      <c r="B58" s="350" t="n"/>
      <c r="C58" s="338" t="n"/>
      <c r="D58" s="380" t="n"/>
      <c r="E58" s="23" t="n"/>
      <c r="F58" s="338" t="n"/>
      <c r="G58" s="24" t="n"/>
      <c r="H58" s="23" t="n"/>
      <c r="I58" s="338" t="n"/>
      <c r="J58" s="24" t="n"/>
      <c r="K58" s="23" t="n"/>
      <c r="L58" s="338" t="n"/>
      <c r="M58" s="24" t="n"/>
      <c r="N58" s="23" t="n"/>
      <c r="O58" s="338" t="n"/>
      <c r="P58" s="24" t="n"/>
      <c r="Q58" s="382" t="n"/>
      <c r="R58" s="338" t="n"/>
      <c r="S58" s="380" t="n"/>
      <c r="T58" s="382" t="n"/>
      <c r="U58" s="338" t="n"/>
      <c r="V58" s="380" t="n"/>
      <c r="W58" s="382" t="n"/>
      <c r="X58" s="338" t="n"/>
      <c r="Y58" s="338" t="n"/>
      <c r="Z58" s="338" t="n"/>
      <c r="AA58" s="338" t="n"/>
      <c r="AB58" s="338" t="n"/>
      <c r="AC58" s="338" t="n"/>
      <c r="AD58" s="338" t="n"/>
      <c r="AE58" s="338" t="n"/>
      <c r="AF58" s="338" t="n"/>
      <c r="AG58" s="338" t="n"/>
      <c r="AH58" s="338" t="n"/>
      <c r="AI58" s="338" t="n"/>
      <c r="AJ58" s="338" t="n"/>
      <c r="AK58" s="338" t="n"/>
      <c r="AL58" s="338" t="n"/>
      <c r="AM58" s="338" t="n"/>
      <c r="AN58" s="338" t="n"/>
      <c r="AO58" s="338" t="n"/>
      <c r="AP58" s="338" t="n"/>
      <c r="AQ58" s="338" t="n"/>
      <c r="AR58" s="338" t="n"/>
      <c r="AS58" s="338" t="n"/>
      <c r="AT58" s="338" t="n"/>
      <c r="AU58" s="338" t="n"/>
      <c r="AV58" s="338" t="n"/>
      <c r="AW58" s="338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8" t="n"/>
      <c r="BH58" s="338" t="n"/>
      <c r="BI58" s="338" t="n"/>
      <c r="BJ58" s="338" t="n"/>
      <c r="BK58" s="338" t="n"/>
      <c r="BL58" s="338" t="n"/>
      <c r="BM58" s="338" t="n"/>
      <c r="BN58" s="338" t="n"/>
      <c r="BO58" s="338" t="n"/>
      <c r="BP58" s="338" t="n"/>
      <c r="BQ58" s="338" t="n"/>
      <c r="BR58" s="338" t="n"/>
      <c r="BS58" s="338" t="n"/>
      <c r="BT58" s="338" t="n"/>
      <c r="BU58" s="338" t="n"/>
      <c r="BV58" s="338" t="n"/>
      <c r="BW58" s="338" t="n"/>
      <c r="BX58" s="338" t="n"/>
      <c r="BY58" s="338" t="n"/>
      <c r="BZ58" s="338" t="n"/>
      <c r="CA58" s="338" t="n"/>
      <c r="CB58" s="338" t="n"/>
      <c r="CC58" s="383" t="n"/>
      <c r="CF58" s="253" t="inlineStr">
        <is>
          <t>時間外</t>
        </is>
      </c>
      <c r="CG58" s="384" t="n"/>
      <c r="CH58" s="384" t="n"/>
      <c r="CI58" s="385" t="n"/>
      <c r="CJ58" s="386">
        <f>IF(Q56="作業者1",K59-K56,0)</f>
        <v/>
      </c>
      <c r="CK58" s="387" t="n"/>
      <c r="CL58" s="387" t="n"/>
      <c r="CM58" s="387" t="n"/>
      <c r="CN58" s="388" t="n"/>
      <c r="CP58" s="253" t="inlineStr">
        <is>
          <t>時間外</t>
        </is>
      </c>
      <c r="CQ58" s="384" t="n"/>
      <c r="CR58" s="384" t="n"/>
      <c r="CS58" s="385" t="n"/>
      <c r="CT58" s="386">
        <f>IF(Q56="作業者2",K59-K56,0)</f>
        <v/>
      </c>
      <c r="CU58" s="387" t="n"/>
      <c r="CV58" s="387" t="n"/>
      <c r="CW58" s="387" t="n"/>
      <c r="CX58" s="388" t="n"/>
      <c r="CZ58" s="253" t="inlineStr">
        <is>
          <t>時間外</t>
        </is>
      </c>
      <c r="DA58" s="384" t="n"/>
      <c r="DB58" s="384" t="n"/>
      <c r="DC58" s="385" t="n"/>
      <c r="DD58" s="386">
        <f>IF(Q56="作業者3",K59-K56,0)</f>
        <v/>
      </c>
      <c r="DE58" s="387" t="n"/>
      <c r="DF58" s="387" t="n"/>
      <c r="DG58" s="387" t="n"/>
      <c r="DH58" s="388" t="n"/>
      <c r="DJ58" s="253" t="inlineStr">
        <is>
          <t>時間外</t>
        </is>
      </c>
      <c r="DK58" s="384" t="n"/>
      <c r="DL58" s="384" t="n"/>
      <c r="DM58" s="385" t="n"/>
      <c r="DN58" s="386">
        <f>IF(Q56="作業者4",K59-K56,0)</f>
        <v/>
      </c>
      <c r="DO58" s="387" t="n"/>
      <c r="DP58" s="387" t="n"/>
      <c r="DQ58" s="387" t="n"/>
      <c r="DR58" s="388" t="n"/>
      <c r="DT58" s="253" t="inlineStr">
        <is>
          <t>時間外</t>
        </is>
      </c>
      <c r="DU58" s="384" t="n"/>
      <c r="DV58" s="384" t="n"/>
      <c r="DW58" s="385" t="n"/>
      <c r="DX58" s="386">
        <f>IF(Q56="作業者5",K59-K56,0)</f>
        <v/>
      </c>
      <c r="DY58" s="387" t="n"/>
      <c r="DZ58" s="387" t="n"/>
      <c r="EA58" s="387" t="n"/>
      <c r="EB58" s="388" t="n"/>
    </row>
    <row r="59" ht="9" customHeight="1" s="337">
      <c r="B59" s="389" t="n"/>
      <c r="C59" s="390" t="n"/>
      <c r="D59" s="391" t="n"/>
      <c r="E59" s="392" t="n"/>
      <c r="F59" s="390" t="n"/>
      <c r="G59" s="391" t="n"/>
      <c r="H59" s="392" t="n"/>
      <c r="I59" s="390" t="n"/>
      <c r="J59" s="391" t="n"/>
      <c r="K59" s="392" t="n"/>
      <c r="L59" s="390" t="n"/>
      <c r="M59" s="391" t="n"/>
      <c r="N59" s="392" t="n"/>
      <c r="O59" s="390" t="n"/>
      <c r="P59" s="391" t="n"/>
      <c r="Q59" s="393" t="n"/>
      <c r="R59" s="390" t="n"/>
      <c r="S59" s="391" t="n"/>
      <c r="T59" s="393" t="n"/>
      <c r="U59" s="390" t="n"/>
      <c r="V59" s="391" t="n"/>
      <c r="W59" s="393" t="n"/>
      <c r="X59" s="390" t="n"/>
      <c r="Y59" s="390" t="n"/>
      <c r="Z59" s="390" t="n"/>
      <c r="AA59" s="390" t="n"/>
      <c r="AB59" s="390" t="n"/>
      <c r="AC59" s="390" t="n"/>
      <c r="AD59" s="390" t="n"/>
      <c r="AE59" s="390" t="n"/>
      <c r="AF59" s="390" t="n"/>
      <c r="AG59" s="390" t="n"/>
      <c r="AH59" s="390" t="n"/>
      <c r="AI59" s="390" t="n"/>
      <c r="AJ59" s="390" t="n"/>
      <c r="AK59" s="390" t="n"/>
      <c r="AL59" s="390" t="n"/>
      <c r="AM59" s="390" t="n"/>
      <c r="AN59" s="390" t="n"/>
      <c r="AO59" s="390" t="n"/>
      <c r="AP59" s="390" t="n"/>
      <c r="AQ59" s="390" t="n"/>
      <c r="AR59" s="390" t="n"/>
      <c r="AS59" s="390" t="n"/>
      <c r="AT59" s="390" t="n"/>
      <c r="AU59" s="390" t="n"/>
      <c r="AV59" s="390" t="n"/>
      <c r="AW59" s="390" t="n"/>
      <c r="AX59" s="390" t="n"/>
      <c r="AY59" s="390" t="n"/>
      <c r="AZ59" s="390" t="n"/>
      <c r="BA59" s="390" t="n"/>
      <c r="BB59" s="390" t="n"/>
      <c r="BC59" s="390" t="n"/>
      <c r="BD59" s="390" t="n"/>
      <c r="BE59" s="390" t="n"/>
      <c r="BF59" s="390" t="n"/>
      <c r="BG59" s="390" t="n"/>
      <c r="BH59" s="390" t="n"/>
      <c r="BI59" s="390" t="n"/>
      <c r="BJ59" s="390" t="n"/>
      <c r="BK59" s="390" t="n"/>
      <c r="BL59" s="390" t="n"/>
      <c r="BM59" s="390" t="n"/>
      <c r="BN59" s="390" t="n"/>
      <c r="BO59" s="390" t="n"/>
      <c r="BP59" s="390" t="n"/>
      <c r="BQ59" s="390" t="n"/>
      <c r="BR59" s="390" t="n"/>
      <c r="BS59" s="390" t="n"/>
      <c r="BT59" s="390" t="n"/>
      <c r="BU59" s="390" t="n"/>
      <c r="BV59" s="390" t="n"/>
      <c r="BW59" s="390" t="n"/>
      <c r="BX59" s="390" t="n"/>
      <c r="BY59" s="390" t="n"/>
      <c r="BZ59" s="390" t="n"/>
      <c r="CA59" s="390" t="n"/>
      <c r="CB59" s="390" t="n"/>
      <c r="CC59" s="394" t="n"/>
      <c r="CF59" s="254" t="inlineStr">
        <is>
          <t>休日</t>
        </is>
      </c>
      <c r="CG59" s="395" t="n"/>
      <c r="CH59" s="395" t="n"/>
      <c r="CI59" s="396" t="n"/>
      <c r="CJ59" s="397">
        <f>IF(Q56="作業者1",N59-N56,0)</f>
        <v/>
      </c>
      <c r="CK59" s="395" t="n"/>
      <c r="CL59" s="395" t="n"/>
      <c r="CM59" s="395" t="n"/>
      <c r="CN59" s="396" t="n"/>
      <c r="CP59" s="254" t="inlineStr">
        <is>
          <t>休日</t>
        </is>
      </c>
      <c r="CQ59" s="395" t="n"/>
      <c r="CR59" s="395" t="n"/>
      <c r="CS59" s="396" t="n"/>
      <c r="CT59" s="397">
        <f>IF(Q56="作業者2",N59-N56,0)</f>
        <v/>
      </c>
      <c r="CU59" s="395" t="n"/>
      <c r="CV59" s="395" t="n"/>
      <c r="CW59" s="395" t="n"/>
      <c r="CX59" s="396" t="n"/>
      <c r="CZ59" s="254" t="inlineStr">
        <is>
          <t>休日</t>
        </is>
      </c>
      <c r="DA59" s="395" t="n"/>
      <c r="DB59" s="395" t="n"/>
      <c r="DC59" s="396" t="n"/>
      <c r="DD59" s="397">
        <f>IF(Q56="作業者3",N59-N56,0)</f>
        <v/>
      </c>
      <c r="DE59" s="395" t="n"/>
      <c r="DF59" s="395" t="n"/>
      <c r="DG59" s="395" t="n"/>
      <c r="DH59" s="396" t="n"/>
      <c r="DJ59" s="254" t="inlineStr">
        <is>
          <t>休日</t>
        </is>
      </c>
      <c r="DK59" s="395" t="n"/>
      <c r="DL59" s="395" t="n"/>
      <c r="DM59" s="396" t="n"/>
      <c r="DN59" s="397">
        <f>IF(Q56="作業者4",N59-N56,0)</f>
        <v/>
      </c>
      <c r="DO59" s="395" t="n"/>
      <c r="DP59" s="395" t="n"/>
      <c r="DQ59" s="395" t="n"/>
      <c r="DR59" s="396" t="n"/>
      <c r="DT59" s="254" t="inlineStr">
        <is>
          <t>休日</t>
        </is>
      </c>
      <c r="DU59" s="395" t="n"/>
      <c r="DV59" s="395" t="n"/>
      <c r="DW59" s="396" t="n"/>
      <c r="DX59" s="397">
        <f>IF(Q56="作業者5",N59-N56,0)</f>
        <v/>
      </c>
      <c r="DY59" s="395" t="n"/>
      <c r="DZ59" s="395" t="n"/>
      <c r="EA59" s="395" t="n"/>
      <c r="EB59" s="396" t="n"/>
    </row>
    <row r="60" ht="9" customHeight="1" s="337">
      <c r="B60" s="398" t="n"/>
      <c r="C60" s="372" t="n"/>
      <c r="D60" s="373" t="n"/>
      <c r="E60" s="399" t="n"/>
      <c r="F60" s="372" t="n"/>
      <c r="G60" s="373" t="n"/>
      <c r="H60" s="399" t="n"/>
      <c r="I60" s="372" t="n"/>
      <c r="J60" s="373" t="n"/>
      <c r="K60" s="399" t="n"/>
      <c r="L60" s="372" t="n"/>
      <c r="M60" s="373" t="n"/>
      <c r="N60" s="399" t="n"/>
      <c r="O60" s="372" t="n"/>
      <c r="P60" s="373" t="n"/>
      <c r="Q60" s="371" t="n"/>
      <c r="R60" s="372" t="n"/>
      <c r="S60" s="373" t="n"/>
      <c r="T60" s="371" t="n"/>
      <c r="U60" s="372" t="n"/>
      <c r="V60" s="373" t="n"/>
      <c r="W60" s="443" t="n"/>
      <c r="X60" s="372" t="n"/>
      <c r="Y60" s="372" t="n"/>
      <c r="Z60" s="372" t="n"/>
      <c r="AA60" s="372" t="n"/>
      <c r="AB60" s="372" t="n"/>
      <c r="AC60" s="372" t="n"/>
      <c r="AD60" s="372" t="n"/>
      <c r="AE60" s="372" t="n"/>
      <c r="AF60" s="372" t="n"/>
      <c r="AG60" s="372" t="n"/>
      <c r="AH60" s="372" t="n"/>
      <c r="AI60" s="372" t="n"/>
      <c r="AJ60" s="372" t="n"/>
      <c r="AK60" s="372" t="n"/>
      <c r="AL60" s="372" t="n"/>
      <c r="AM60" s="372" t="n"/>
      <c r="AN60" s="372" t="n"/>
      <c r="AO60" s="372" t="n"/>
      <c r="AP60" s="372" t="n"/>
      <c r="AQ60" s="372" t="n"/>
      <c r="AR60" s="372" t="n"/>
      <c r="AS60" s="372" t="n"/>
      <c r="AT60" s="372" t="n"/>
      <c r="AU60" s="372" t="n"/>
      <c r="AV60" s="372" t="n"/>
      <c r="AW60" s="372" t="n"/>
      <c r="AX60" s="372" t="n"/>
      <c r="AY60" s="372" t="n"/>
      <c r="AZ60" s="372" t="n"/>
      <c r="BA60" s="372" t="n"/>
      <c r="BB60" s="372" t="n"/>
      <c r="BC60" s="372" t="n"/>
      <c r="BD60" s="372" t="n"/>
      <c r="BE60" s="372" t="n"/>
      <c r="BF60" s="372" t="n"/>
      <c r="BG60" s="372" t="n"/>
      <c r="BH60" s="372" t="n"/>
      <c r="BI60" s="372" t="n"/>
      <c r="BJ60" s="372" t="n"/>
      <c r="BK60" s="372" t="n"/>
      <c r="BL60" s="372" t="n"/>
      <c r="BM60" s="372" t="n"/>
      <c r="BN60" s="372" t="n"/>
      <c r="BO60" s="372" t="n"/>
      <c r="BP60" s="372" t="n"/>
      <c r="BQ60" s="372" t="n"/>
      <c r="BR60" s="372" t="n"/>
      <c r="BS60" s="372" t="n"/>
      <c r="BT60" s="372" t="n"/>
      <c r="BU60" s="372" t="n"/>
      <c r="BV60" s="372" t="n"/>
      <c r="BW60" s="372" t="n"/>
      <c r="BX60" s="372" t="n"/>
      <c r="BY60" s="372" t="n"/>
      <c r="BZ60" s="372" t="n"/>
      <c r="CA60" s="372" t="n"/>
      <c r="CB60" s="372" t="n"/>
      <c r="CC60" s="402" t="n"/>
      <c r="CF60" s="248" t="inlineStr">
        <is>
          <t>移動</t>
        </is>
      </c>
      <c r="CG60" s="377" t="n"/>
      <c r="CH60" s="377" t="n"/>
      <c r="CI60" s="378" t="n"/>
      <c r="CJ60" s="379">
        <f>IF(Q60="作業者1",E63-E60,0)</f>
        <v/>
      </c>
      <c r="CK60" s="377" t="n"/>
      <c r="CL60" s="377" t="n"/>
      <c r="CM60" s="377" t="n"/>
      <c r="CN60" s="378" t="n"/>
      <c r="CP60" s="248" t="inlineStr">
        <is>
          <t>移動</t>
        </is>
      </c>
      <c r="CQ60" s="377" t="n"/>
      <c r="CR60" s="377" t="n"/>
      <c r="CS60" s="378" t="n"/>
      <c r="CT60" s="379">
        <f>IF(Q60="作業者2",E63-E60,0)</f>
        <v/>
      </c>
      <c r="CU60" s="377" t="n"/>
      <c r="CV60" s="377" t="n"/>
      <c r="CW60" s="377" t="n"/>
      <c r="CX60" s="378" t="n"/>
      <c r="CZ60" s="259" t="inlineStr">
        <is>
          <t>移動</t>
        </is>
      </c>
      <c r="DA60" s="403" t="n"/>
      <c r="DB60" s="403" t="n"/>
      <c r="DC60" s="404" t="n"/>
      <c r="DD60" s="405">
        <f>IF(Q60="作業者3",E63-E60,0)</f>
        <v/>
      </c>
      <c r="DE60" s="406" t="n"/>
      <c r="DF60" s="406" t="n"/>
      <c r="DG60" s="406" t="n"/>
      <c r="DH60" s="407" t="n"/>
      <c r="DJ60" s="259" t="inlineStr">
        <is>
          <t>移動</t>
        </is>
      </c>
      <c r="DK60" s="403" t="n"/>
      <c r="DL60" s="403" t="n"/>
      <c r="DM60" s="404" t="n"/>
      <c r="DN60" s="379">
        <f>IF(Q60="作業者4",E63-E60,0)</f>
        <v/>
      </c>
      <c r="DO60" s="377" t="n"/>
      <c r="DP60" s="377" t="n"/>
      <c r="DQ60" s="377" t="n"/>
      <c r="DR60" s="378" t="n"/>
      <c r="DT60" s="259" t="inlineStr">
        <is>
          <t>移動</t>
        </is>
      </c>
      <c r="DU60" s="403" t="n"/>
      <c r="DV60" s="403" t="n"/>
      <c r="DW60" s="404" t="n"/>
      <c r="DX60" s="379">
        <f>IF(Q60="作業者5",E63-E60,0)</f>
        <v/>
      </c>
      <c r="DY60" s="377" t="n"/>
      <c r="DZ60" s="377" t="n"/>
      <c r="EA60" s="377" t="n"/>
      <c r="EB60" s="378" t="n"/>
    </row>
    <row r="61" ht="9" customHeight="1" s="337">
      <c r="B61" s="350" t="n"/>
      <c r="C61" s="338" t="n"/>
      <c r="D61" s="380" t="n"/>
      <c r="E61" s="381" t="n"/>
      <c r="F61" s="122" t="inlineStr">
        <is>
          <t>～</t>
        </is>
      </c>
      <c r="G61" s="22" t="n"/>
      <c r="H61" s="381" t="n"/>
      <c r="I61" s="122" t="inlineStr">
        <is>
          <t>～</t>
        </is>
      </c>
      <c r="J61" s="22" t="n"/>
      <c r="K61" s="381" t="n"/>
      <c r="L61" s="122" t="inlineStr">
        <is>
          <t>～</t>
        </is>
      </c>
      <c r="M61" s="22" t="n"/>
      <c r="N61" s="381" t="n"/>
      <c r="O61" s="122" t="inlineStr">
        <is>
          <t>～</t>
        </is>
      </c>
      <c r="P61" s="22" t="n"/>
      <c r="Q61" s="382" t="n"/>
      <c r="R61" s="338" t="n"/>
      <c r="S61" s="380" t="n"/>
      <c r="T61" s="382" t="n"/>
      <c r="U61" s="338" t="n"/>
      <c r="V61" s="380" t="n"/>
      <c r="W61" s="382" t="n"/>
      <c r="X61" s="338" t="n"/>
      <c r="Y61" s="338" t="n"/>
      <c r="Z61" s="338" t="n"/>
      <c r="AA61" s="338" t="n"/>
      <c r="AB61" s="338" t="n"/>
      <c r="AC61" s="338" t="n"/>
      <c r="AD61" s="338" t="n"/>
      <c r="AE61" s="338" t="n"/>
      <c r="AF61" s="338" t="n"/>
      <c r="AG61" s="338" t="n"/>
      <c r="AH61" s="338" t="n"/>
      <c r="AI61" s="338" t="n"/>
      <c r="AJ61" s="338" t="n"/>
      <c r="AK61" s="338" t="n"/>
      <c r="AL61" s="338" t="n"/>
      <c r="AM61" s="338" t="n"/>
      <c r="AN61" s="338" t="n"/>
      <c r="AO61" s="338" t="n"/>
      <c r="AP61" s="338" t="n"/>
      <c r="AQ61" s="338" t="n"/>
      <c r="AR61" s="338" t="n"/>
      <c r="AS61" s="338" t="n"/>
      <c r="AT61" s="338" t="n"/>
      <c r="AU61" s="338" t="n"/>
      <c r="AV61" s="338" t="n"/>
      <c r="AW61" s="338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8" t="n"/>
      <c r="BH61" s="338" t="n"/>
      <c r="BI61" s="338" t="n"/>
      <c r="BJ61" s="338" t="n"/>
      <c r="BK61" s="338" t="n"/>
      <c r="BL61" s="338" t="n"/>
      <c r="BM61" s="338" t="n"/>
      <c r="BN61" s="338" t="n"/>
      <c r="BO61" s="338" t="n"/>
      <c r="BP61" s="338" t="n"/>
      <c r="BQ61" s="338" t="n"/>
      <c r="BR61" s="338" t="n"/>
      <c r="BS61" s="338" t="n"/>
      <c r="BT61" s="338" t="n"/>
      <c r="BU61" s="338" t="n"/>
      <c r="BV61" s="338" t="n"/>
      <c r="BW61" s="338" t="n"/>
      <c r="BX61" s="338" t="n"/>
      <c r="BY61" s="338" t="n"/>
      <c r="BZ61" s="338" t="n"/>
      <c r="CA61" s="338" t="n"/>
      <c r="CB61" s="338" t="n"/>
      <c r="CC61" s="383" t="n"/>
      <c r="CF61" s="253" t="inlineStr">
        <is>
          <t>時間内</t>
        </is>
      </c>
      <c r="CG61" s="384" t="n"/>
      <c r="CH61" s="384" t="n"/>
      <c r="CI61" s="385" t="n"/>
      <c r="CJ61" s="386">
        <f>IF(Q60="作業者1",H63-H60,0)</f>
        <v/>
      </c>
      <c r="CK61" s="387" t="n"/>
      <c r="CL61" s="387" t="n"/>
      <c r="CM61" s="387" t="n"/>
      <c r="CN61" s="388" t="n"/>
      <c r="CP61" s="253" t="inlineStr">
        <is>
          <t>時間内</t>
        </is>
      </c>
      <c r="CQ61" s="384" t="n"/>
      <c r="CR61" s="384" t="n"/>
      <c r="CS61" s="385" t="n"/>
      <c r="CT61" s="386">
        <f>IF(Q60="作業者2",H63-H60,0)</f>
        <v/>
      </c>
      <c r="CU61" s="387" t="n"/>
      <c r="CV61" s="387" t="n"/>
      <c r="CW61" s="387" t="n"/>
      <c r="CX61" s="388" t="n"/>
      <c r="CZ61" s="253" t="inlineStr">
        <is>
          <t>時間内</t>
        </is>
      </c>
      <c r="DA61" s="384" t="n"/>
      <c r="DB61" s="384" t="n"/>
      <c r="DC61" s="385" t="n"/>
      <c r="DD61" s="386">
        <f>IF(Q60="作業者3",H63-H60,0)</f>
        <v/>
      </c>
      <c r="DE61" s="387" t="n"/>
      <c r="DF61" s="387" t="n"/>
      <c r="DG61" s="387" t="n"/>
      <c r="DH61" s="388" t="n"/>
      <c r="DJ61" s="253" t="inlineStr">
        <is>
          <t>時間内</t>
        </is>
      </c>
      <c r="DK61" s="384" t="n"/>
      <c r="DL61" s="384" t="n"/>
      <c r="DM61" s="385" t="n"/>
      <c r="DN61" s="386">
        <f>IF(Q60="作業者4",H63-H60,0)</f>
        <v/>
      </c>
      <c r="DO61" s="387" t="n"/>
      <c r="DP61" s="387" t="n"/>
      <c r="DQ61" s="387" t="n"/>
      <c r="DR61" s="388" t="n"/>
      <c r="DT61" s="253" t="inlineStr">
        <is>
          <t>時間内</t>
        </is>
      </c>
      <c r="DU61" s="384" t="n"/>
      <c r="DV61" s="384" t="n"/>
      <c r="DW61" s="385" t="n"/>
      <c r="DX61" s="386">
        <f>IF(Q60="作業者5",H63-H60,0)</f>
        <v/>
      </c>
      <c r="DY61" s="387" t="n"/>
      <c r="DZ61" s="387" t="n"/>
      <c r="EA61" s="387" t="n"/>
      <c r="EB61" s="388" t="n"/>
    </row>
    <row r="62" ht="9" customHeight="1" s="337">
      <c r="B62" s="350" t="n"/>
      <c r="C62" s="338" t="n"/>
      <c r="D62" s="380" t="n"/>
      <c r="E62" s="23" t="n"/>
      <c r="F62" s="338" t="n"/>
      <c r="G62" s="24" t="n"/>
      <c r="H62" s="23" t="n"/>
      <c r="I62" s="338" t="n"/>
      <c r="J62" s="24" t="n"/>
      <c r="K62" s="23" t="n"/>
      <c r="L62" s="338" t="n"/>
      <c r="M62" s="24" t="n"/>
      <c r="N62" s="23" t="n"/>
      <c r="O62" s="338" t="n"/>
      <c r="P62" s="24" t="n"/>
      <c r="Q62" s="382" t="n"/>
      <c r="R62" s="338" t="n"/>
      <c r="S62" s="380" t="n"/>
      <c r="T62" s="382" t="n"/>
      <c r="U62" s="338" t="n"/>
      <c r="V62" s="380" t="n"/>
      <c r="W62" s="382" t="n"/>
      <c r="X62" s="338" t="n"/>
      <c r="Y62" s="338" t="n"/>
      <c r="Z62" s="338" t="n"/>
      <c r="AA62" s="338" t="n"/>
      <c r="AB62" s="338" t="n"/>
      <c r="AC62" s="338" t="n"/>
      <c r="AD62" s="338" t="n"/>
      <c r="AE62" s="338" t="n"/>
      <c r="AF62" s="338" t="n"/>
      <c r="AG62" s="338" t="n"/>
      <c r="AH62" s="338" t="n"/>
      <c r="AI62" s="338" t="n"/>
      <c r="AJ62" s="338" t="n"/>
      <c r="AK62" s="338" t="n"/>
      <c r="AL62" s="338" t="n"/>
      <c r="AM62" s="338" t="n"/>
      <c r="AN62" s="338" t="n"/>
      <c r="AO62" s="338" t="n"/>
      <c r="AP62" s="338" t="n"/>
      <c r="AQ62" s="338" t="n"/>
      <c r="AR62" s="338" t="n"/>
      <c r="AS62" s="338" t="n"/>
      <c r="AT62" s="338" t="n"/>
      <c r="AU62" s="338" t="n"/>
      <c r="AV62" s="338" t="n"/>
      <c r="AW62" s="338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8" t="n"/>
      <c r="BH62" s="338" t="n"/>
      <c r="BI62" s="338" t="n"/>
      <c r="BJ62" s="338" t="n"/>
      <c r="BK62" s="338" t="n"/>
      <c r="BL62" s="338" t="n"/>
      <c r="BM62" s="338" t="n"/>
      <c r="BN62" s="338" t="n"/>
      <c r="BO62" s="338" t="n"/>
      <c r="BP62" s="338" t="n"/>
      <c r="BQ62" s="338" t="n"/>
      <c r="BR62" s="338" t="n"/>
      <c r="BS62" s="338" t="n"/>
      <c r="BT62" s="338" t="n"/>
      <c r="BU62" s="338" t="n"/>
      <c r="BV62" s="338" t="n"/>
      <c r="BW62" s="338" t="n"/>
      <c r="BX62" s="338" t="n"/>
      <c r="BY62" s="338" t="n"/>
      <c r="BZ62" s="338" t="n"/>
      <c r="CA62" s="338" t="n"/>
      <c r="CB62" s="338" t="n"/>
      <c r="CC62" s="383" t="n"/>
      <c r="CF62" s="253" t="inlineStr">
        <is>
          <t>時間外</t>
        </is>
      </c>
      <c r="CG62" s="384" t="n"/>
      <c r="CH62" s="384" t="n"/>
      <c r="CI62" s="385" t="n"/>
      <c r="CJ62" s="386">
        <f>IF(Q60="作業者1",K63-K60,0)</f>
        <v/>
      </c>
      <c r="CK62" s="387" t="n"/>
      <c r="CL62" s="387" t="n"/>
      <c r="CM62" s="387" t="n"/>
      <c r="CN62" s="388" t="n"/>
      <c r="CP62" s="253" t="inlineStr">
        <is>
          <t>時間外</t>
        </is>
      </c>
      <c r="CQ62" s="384" t="n"/>
      <c r="CR62" s="384" t="n"/>
      <c r="CS62" s="385" t="n"/>
      <c r="CT62" s="386">
        <f>IF(Q60="作業者2",K63-K60,0)</f>
        <v/>
      </c>
      <c r="CU62" s="387" t="n"/>
      <c r="CV62" s="387" t="n"/>
      <c r="CW62" s="387" t="n"/>
      <c r="CX62" s="388" t="n"/>
      <c r="CZ62" s="253" t="inlineStr">
        <is>
          <t>時間外</t>
        </is>
      </c>
      <c r="DA62" s="384" t="n"/>
      <c r="DB62" s="384" t="n"/>
      <c r="DC62" s="385" t="n"/>
      <c r="DD62" s="386">
        <f>IF(Q60="作業者3",K63-K60,0)</f>
        <v/>
      </c>
      <c r="DE62" s="387" t="n"/>
      <c r="DF62" s="387" t="n"/>
      <c r="DG62" s="387" t="n"/>
      <c r="DH62" s="388" t="n"/>
      <c r="DJ62" s="253" t="inlineStr">
        <is>
          <t>時間外</t>
        </is>
      </c>
      <c r="DK62" s="384" t="n"/>
      <c r="DL62" s="384" t="n"/>
      <c r="DM62" s="385" t="n"/>
      <c r="DN62" s="386">
        <f>IF(Q60="作業者4",K63-K60,0)</f>
        <v/>
      </c>
      <c r="DO62" s="387" t="n"/>
      <c r="DP62" s="387" t="n"/>
      <c r="DQ62" s="387" t="n"/>
      <c r="DR62" s="388" t="n"/>
      <c r="DT62" s="253" t="inlineStr">
        <is>
          <t>時間外</t>
        </is>
      </c>
      <c r="DU62" s="384" t="n"/>
      <c r="DV62" s="384" t="n"/>
      <c r="DW62" s="385" t="n"/>
      <c r="DX62" s="386">
        <f>IF(Q60="作業者5",K63-K60,0)</f>
        <v/>
      </c>
      <c r="DY62" s="387" t="n"/>
      <c r="DZ62" s="387" t="n"/>
      <c r="EA62" s="387" t="n"/>
      <c r="EB62" s="388" t="n"/>
    </row>
    <row r="63" ht="9" customHeight="1" s="337">
      <c r="B63" s="389" t="n"/>
      <c r="C63" s="390" t="n"/>
      <c r="D63" s="391" t="n"/>
      <c r="E63" s="392" t="n"/>
      <c r="F63" s="390" t="n"/>
      <c r="G63" s="391" t="n"/>
      <c r="H63" s="392" t="n"/>
      <c r="I63" s="390" t="n"/>
      <c r="J63" s="391" t="n"/>
      <c r="K63" s="392" t="n"/>
      <c r="L63" s="390" t="n"/>
      <c r="M63" s="391" t="n"/>
      <c r="N63" s="392" t="n"/>
      <c r="O63" s="390" t="n"/>
      <c r="P63" s="391" t="n"/>
      <c r="Q63" s="393" t="n"/>
      <c r="R63" s="390" t="n"/>
      <c r="S63" s="391" t="n"/>
      <c r="T63" s="393" t="n"/>
      <c r="U63" s="390" t="n"/>
      <c r="V63" s="391" t="n"/>
      <c r="W63" s="393" t="n"/>
      <c r="X63" s="390" t="n"/>
      <c r="Y63" s="390" t="n"/>
      <c r="Z63" s="390" t="n"/>
      <c r="AA63" s="390" t="n"/>
      <c r="AB63" s="390" t="n"/>
      <c r="AC63" s="390" t="n"/>
      <c r="AD63" s="390" t="n"/>
      <c r="AE63" s="390" t="n"/>
      <c r="AF63" s="390" t="n"/>
      <c r="AG63" s="390" t="n"/>
      <c r="AH63" s="390" t="n"/>
      <c r="AI63" s="390" t="n"/>
      <c r="AJ63" s="390" t="n"/>
      <c r="AK63" s="390" t="n"/>
      <c r="AL63" s="390" t="n"/>
      <c r="AM63" s="390" t="n"/>
      <c r="AN63" s="390" t="n"/>
      <c r="AO63" s="390" t="n"/>
      <c r="AP63" s="390" t="n"/>
      <c r="AQ63" s="390" t="n"/>
      <c r="AR63" s="390" t="n"/>
      <c r="AS63" s="390" t="n"/>
      <c r="AT63" s="390" t="n"/>
      <c r="AU63" s="390" t="n"/>
      <c r="AV63" s="390" t="n"/>
      <c r="AW63" s="390" t="n"/>
      <c r="AX63" s="390" t="n"/>
      <c r="AY63" s="390" t="n"/>
      <c r="AZ63" s="390" t="n"/>
      <c r="BA63" s="390" t="n"/>
      <c r="BB63" s="390" t="n"/>
      <c r="BC63" s="390" t="n"/>
      <c r="BD63" s="390" t="n"/>
      <c r="BE63" s="390" t="n"/>
      <c r="BF63" s="390" t="n"/>
      <c r="BG63" s="390" t="n"/>
      <c r="BH63" s="390" t="n"/>
      <c r="BI63" s="390" t="n"/>
      <c r="BJ63" s="390" t="n"/>
      <c r="BK63" s="390" t="n"/>
      <c r="BL63" s="390" t="n"/>
      <c r="BM63" s="390" t="n"/>
      <c r="BN63" s="390" t="n"/>
      <c r="BO63" s="390" t="n"/>
      <c r="BP63" s="390" t="n"/>
      <c r="BQ63" s="390" t="n"/>
      <c r="BR63" s="390" t="n"/>
      <c r="BS63" s="390" t="n"/>
      <c r="BT63" s="390" t="n"/>
      <c r="BU63" s="390" t="n"/>
      <c r="BV63" s="390" t="n"/>
      <c r="BW63" s="390" t="n"/>
      <c r="BX63" s="390" t="n"/>
      <c r="BY63" s="390" t="n"/>
      <c r="BZ63" s="390" t="n"/>
      <c r="CA63" s="390" t="n"/>
      <c r="CB63" s="390" t="n"/>
      <c r="CC63" s="394" t="n"/>
      <c r="CF63" s="254" t="inlineStr">
        <is>
          <t>休日</t>
        </is>
      </c>
      <c r="CG63" s="395" t="n"/>
      <c r="CH63" s="395" t="n"/>
      <c r="CI63" s="396" t="n"/>
      <c r="CJ63" s="397">
        <f>IF(Q60="作業者1",N63-N60,0)</f>
        <v/>
      </c>
      <c r="CK63" s="395" t="n"/>
      <c r="CL63" s="395" t="n"/>
      <c r="CM63" s="395" t="n"/>
      <c r="CN63" s="396" t="n"/>
      <c r="CP63" s="254" t="inlineStr">
        <is>
          <t>休日</t>
        </is>
      </c>
      <c r="CQ63" s="395" t="n"/>
      <c r="CR63" s="395" t="n"/>
      <c r="CS63" s="396" t="n"/>
      <c r="CT63" s="397">
        <f>IF(Q60="作業者2",N63-N60,0)</f>
        <v/>
      </c>
      <c r="CU63" s="395" t="n"/>
      <c r="CV63" s="395" t="n"/>
      <c r="CW63" s="395" t="n"/>
      <c r="CX63" s="396" t="n"/>
      <c r="CZ63" s="254" t="inlineStr">
        <is>
          <t>休日</t>
        </is>
      </c>
      <c r="DA63" s="395" t="n"/>
      <c r="DB63" s="395" t="n"/>
      <c r="DC63" s="396" t="n"/>
      <c r="DD63" s="397">
        <f>IF(Q60="作業者3",N63-N60,0)</f>
        <v/>
      </c>
      <c r="DE63" s="395" t="n"/>
      <c r="DF63" s="395" t="n"/>
      <c r="DG63" s="395" t="n"/>
      <c r="DH63" s="396" t="n"/>
      <c r="DJ63" s="254" t="inlineStr">
        <is>
          <t>休日</t>
        </is>
      </c>
      <c r="DK63" s="395" t="n"/>
      <c r="DL63" s="395" t="n"/>
      <c r="DM63" s="396" t="n"/>
      <c r="DN63" s="397">
        <f>IF(Q60="作業者4",N63-N60,0)</f>
        <v/>
      </c>
      <c r="DO63" s="395" t="n"/>
      <c r="DP63" s="395" t="n"/>
      <c r="DQ63" s="395" t="n"/>
      <c r="DR63" s="396" t="n"/>
      <c r="DT63" s="254" t="inlineStr">
        <is>
          <t>休日</t>
        </is>
      </c>
      <c r="DU63" s="395" t="n"/>
      <c r="DV63" s="395" t="n"/>
      <c r="DW63" s="396" t="n"/>
      <c r="DX63" s="397">
        <f>IF(Q60="作業者5",N63-N60,0)</f>
        <v/>
      </c>
      <c r="DY63" s="395" t="n"/>
      <c r="DZ63" s="395" t="n"/>
      <c r="EA63" s="395" t="n"/>
      <c r="EB63" s="396" t="n"/>
    </row>
    <row r="64" ht="9" customHeight="1" s="337">
      <c r="B64" s="410" t="n"/>
      <c r="C64" s="372" t="n"/>
      <c r="D64" s="373" t="n"/>
      <c r="E64" s="399" t="n"/>
      <c r="F64" s="372" t="n"/>
      <c r="G64" s="373" t="n"/>
      <c r="H64" s="399" t="n"/>
      <c r="I64" s="372" t="n"/>
      <c r="J64" s="373" t="n"/>
      <c r="K64" s="399" t="n"/>
      <c r="L64" s="372" t="n"/>
      <c r="M64" s="373" t="n"/>
      <c r="N64" s="399" t="n"/>
      <c r="O64" s="372" t="n"/>
      <c r="P64" s="373" t="n"/>
      <c r="Q64" s="444" t="n"/>
      <c r="R64" s="372" t="n"/>
      <c r="S64" s="445" t="n"/>
      <c r="T64" s="411" t="n"/>
      <c r="U64" s="372" t="n"/>
      <c r="V64" s="373" t="n"/>
      <c r="W64" s="443" t="n"/>
      <c r="X64" s="372" t="n"/>
      <c r="Y64" s="372" t="n"/>
      <c r="Z64" s="372" t="n"/>
      <c r="AA64" s="372" t="n"/>
      <c r="AB64" s="372" t="n"/>
      <c r="AC64" s="372" t="n"/>
      <c r="AD64" s="372" t="n"/>
      <c r="AE64" s="372" t="n"/>
      <c r="AF64" s="372" t="n"/>
      <c r="AG64" s="372" t="n"/>
      <c r="AH64" s="372" t="n"/>
      <c r="AI64" s="372" t="n"/>
      <c r="AJ64" s="372" t="n"/>
      <c r="AK64" s="372" t="n"/>
      <c r="AL64" s="372" t="n"/>
      <c r="AM64" s="372" t="n"/>
      <c r="AN64" s="372" t="n"/>
      <c r="AO64" s="372" t="n"/>
      <c r="AP64" s="372" t="n"/>
      <c r="AQ64" s="372" t="n"/>
      <c r="AR64" s="372" t="n"/>
      <c r="AS64" s="372" t="n"/>
      <c r="AT64" s="372" t="n"/>
      <c r="AU64" s="372" t="n"/>
      <c r="AV64" s="372" t="n"/>
      <c r="AW64" s="372" t="n"/>
      <c r="AX64" s="372" t="n"/>
      <c r="AY64" s="372" t="n"/>
      <c r="AZ64" s="372" t="n"/>
      <c r="BA64" s="372" t="n"/>
      <c r="BB64" s="372" t="n"/>
      <c r="BC64" s="372" t="n"/>
      <c r="BD64" s="372" t="n"/>
      <c r="BE64" s="372" t="n"/>
      <c r="BF64" s="372" t="n"/>
      <c r="BG64" s="372" t="n"/>
      <c r="BH64" s="372" t="n"/>
      <c r="BI64" s="372" t="n"/>
      <c r="BJ64" s="372" t="n"/>
      <c r="BK64" s="372" t="n"/>
      <c r="BL64" s="372" t="n"/>
      <c r="BM64" s="372" t="n"/>
      <c r="BN64" s="372" t="n"/>
      <c r="BO64" s="372" t="n"/>
      <c r="BP64" s="372" t="n"/>
      <c r="BQ64" s="372" t="n"/>
      <c r="BR64" s="372" t="n"/>
      <c r="BS64" s="372" t="n"/>
      <c r="BT64" s="372" t="n"/>
      <c r="BU64" s="372" t="n"/>
      <c r="BV64" s="372" t="n"/>
      <c r="BW64" s="372" t="n"/>
      <c r="BX64" s="372" t="n"/>
      <c r="BY64" s="372" t="n"/>
      <c r="BZ64" s="372" t="n"/>
      <c r="CA64" s="372" t="n"/>
      <c r="CB64" s="372" t="n"/>
      <c r="CC64" s="402" t="n"/>
      <c r="CF64" s="248" t="inlineStr">
        <is>
          <t>移動</t>
        </is>
      </c>
      <c r="CG64" s="377" t="n"/>
      <c r="CH64" s="377" t="n"/>
      <c r="CI64" s="378" t="n"/>
      <c r="CJ64" s="379">
        <f>IF(Q64="作業者1",E67-E64,0)</f>
        <v/>
      </c>
      <c r="CK64" s="377" t="n"/>
      <c r="CL64" s="377" t="n"/>
      <c r="CM64" s="377" t="n"/>
      <c r="CN64" s="378" t="n"/>
      <c r="CP64" s="248" t="inlineStr">
        <is>
          <t>移動</t>
        </is>
      </c>
      <c r="CQ64" s="377" t="n"/>
      <c r="CR64" s="377" t="n"/>
      <c r="CS64" s="378" t="n"/>
      <c r="CT64" s="379">
        <f>IF(Q64="作業者2",E67-E64,0)</f>
        <v/>
      </c>
      <c r="CU64" s="377" t="n"/>
      <c r="CV64" s="377" t="n"/>
      <c r="CW64" s="377" t="n"/>
      <c r="CX64" s="378" t="n"/>
      <c r="CZ64" s="259" t="inlineStr">
        <is>
          <t>移動</t>
        </is>
      </c>
      <c r="DA64" s="403" t="n"/>
      <c r="DB64" s="403" t="n"/>
      <c r="DC64" s="404" t="n"/>
      <c r="DD64" s="405">
        <f>IF(Q64="作業者3",E67-E64,0)</f>
        <v/>
      </c>
      <c r="DE64" s="406" t="n"/>
      <c r="DF64" s="406" t="n"/>
      <c r="DG64" s="406" t="n"/>
      <c r="DH64" s="407" t="n"/>
      <c r="DJ64" s="259" t="inlineStr">
        <is>
          <t>移動</t>
        </is>
      </c>
      <c r="DK64" s="403" t="n"/>
      <c r="DL64" s="403" t="n"/>
      <c r="DM64" s="404" t="n"/>
      <c r="DN64" s="379">
        <f>IF(Q64="作業者4",E67-E64,0)</f>
        <v/>
      </c>
      <c r="DO64" s="377" t="n"/>
      <c r="DP64" s="377" t="n"/>
      <c r="DQ64" s="377" t="n"/>
      <c r="DR64" s="378" t="n"/>
      <c r="DT64" s="259" t="inlineStr">
        <is>
          <t>移動</t>
        </is>
      </c>
      <c r="DU64" s="403" t="n"/>
      <c r="DV64" s="403" t="n"/>
      <c r="DW64" s="404" t="n"/>
      <c r="DX64" s="379">
        <f>IF(Q64="作業者5",E67-E64,0)</f>
        <v/>
      </c>
      <c r="DY64" s="377" t="n"/>
      <c r="DZ64" s="377" t="n"/>
      <c r="EA64" s="377" t="n"/>
      <c r="EB64" s="378" t="n"/>
    </row>
    <row r="65" ht="9" customHeight="1" s="337">
      <c r="B65" s="350" t="n"/>
      <c r="C65" s="338" t="n"/>
      <c r="D65" s="380" t="n"/>
      <c r="E65" s="381" t="n"/>
      <c r="F65" s="122" t="inlineStr">
        <is>
          <t>～</t>
        </is>
      </c>
      <c r="G65" s="22" t="n"/>
      <c r="H65" s="381" t="n"/>
      <c r="I65" s="122" t="inlineStr">
        <is>
          <t>～</t>
        </is>
      </c>
      <c r="J65" s="22" t="n"/>
      <c r="K65" s="381" t="n"/>
      <c r="L65" s="122" t="inlineStr">
        <is>
          <t>～</t>
        </is>
      </c>
      <c r="M65" s="22" t="n"/>
      <c r="N65" s="381" t="n"/>
      <c r="O65" s="122" t="inlineStr">
        <is>
          <t>～</t>
        </is>
      </c>
      <c r="P65" s="22" t="n"/>
      <c r="Q65" s="382" t="n"/>
      <c r="R65" s="338" t="n"/>
      <c r="S65" s="446" t="n"/>
      <c r="T65" s="382" t="n"/>
      <c r="U65" s="338" t="n"/>
      <c r="V65" s="380" t="n"/>
      <c r="W65" s="382" t="n"/>
      <c r="X65" s="338" t="n"/>
      <c r="Y65" s="338" t="n"/>
      <c r="Z65" s="338" t="n"/>
      <c r="AA65" s="338" t="n"/>
      <c r="AB65" s="338" t="n"/>
      <c r="AC65" s="338" t="n"/>
      <c r="AD65" s="338" t="n"/>
      <c r="AE65" s="338" t="n"/>
      <c r="AF65" s="338" t="n"/>
      <c r="AG65" s="338" t="n"/>
      <c r="AH65" s="338" t="n"/>
      <c r="AI65" s="338" t="n"/>
      <c r="AJ65" s="338" t="n"/>
      <c r="AK65" s="338" t="n"/>
      <c r="AL65" s="338" t="n"/>
      <c r="AM65" s="338" t="n"/>
      <c r="AN65" s="338" t="n"/>
      <c r="AO65" s="338" t="n"/>
      <c r="AP65" s="338" t="n"/>
      <c r="AQ65" s="338" t="n"/>
      <c r="AR65" s="338" t="n"/>
      <c r="AS65" s="338" t="n"/>
      <c r="AT65" s="338" t="n"/>
      <c r="AU65" s="338" t="n"/>
      <c r="AV65" s="338" t="n"/>
      <c r="AW65" s="338" t="n"/>
      <c r="AX65" s="338" t="n"/>
      <c r="AY65" s="338" t="n"/>
      <c r="AZ65" s="338" t="n"/>
      <c r="BA65" s="338" t="n"/>
      <c r="BB65" s="338" t="n"/>
      <c r="BC65" s="338" t="n"/>
      <c r="BD65" s="338" t="n"/>
      <c r="BE65" s="338" t="n"/>
      <c r="BF65" s="338" t="n"/>
      <c r="BG65" s="338" t="n"/>
      <c r="BH65" s="338" t="n"/>
      <c r="BI65" s="338" t="n"/>
      <c r="BJ65" s="338" t="n"/>
      <c r="BK65" s="338" t="n"/>
      <c r="BL65" s="338" t="n"/>
      <c r="BM65" s="338" t="n"/>
      <c r="BN65" s="338" t="n"/>
      <c r="BO65" s="338" t="n"/>
      <c r="BP65" s="338" t="n"/>
      <c r="BQ65" s="338" t="n"/>
      <c r="BR65" s="338" t="n"/>
      <c r="BS65" s="338" t="n"/>
      <c r="BT65" s="338" t="n"/>
      <c r="BU65" s="338" t="n"/>
      <c r="BV65" s="338" t="n"/>
      <c r="BW65" s="338" t="n"/>
      <c r="BX65" s="338" t="n"/>
      <c r="BY65" s="338" t="n"/>
      <c r="BZ65" s="338" t="n"/>
      <c r="CA65" s="338" t="n"/>
      <c r="CB65" s="338" t="n"/>
      <c r="CC65" s="383" t="n"/>
      <c r="CF65" s="253" t="inlineStr">
        <is>
          <t>時間内</t>
        </is>
      </c>
      <c r="CG65" s="384" t="n"/>
      <c r="CH65" s="384" t="n"/>
      <c r="CI65" s="385" t="n"/>
      <c r="CJ65" s="386">
        <f>IF(Q64="作業者1",H67-H64,0)</f>
        <v/>
      </c>
      <c r="CK65" s="387" t="n"/>
      <c r="CL65" s="387" t="n"/>
      <c r="CM65" s="387" t="n"/>
      <c r="CN65" s="388" t="n"/>
      <c r="CP65" s="253" t="inlineStr">
        <is>
          <t>時間内</t>
        </is>
      </c>
      <c r="CQ65" s="384" t="n"/>
      <c r="CR65" s="384" t="n"/>
      <c r="CS65" s="385" t="n"/>
      <c r="CT65" s="386">
        <f>IF(Q64="作業者2",H67-H64,0)</f>
        <v/>
      </c>
      <c r="CU65" s="387" t="n"/>
      <c r="CV65" s="387" t="n"/>
      <c r="CW65" s="387" t="n"/>
      <c r="CX65" s="388" t="n"/>
      <c r="CZ65" s="253" t="inlineStr">
        <is>
          <t>時間内</t>
        </is>
      </c>
      <c r="DA65" s="384" t="n"/>
      <c r="DB65" s="384" t="n"/>
      <c r="DC65" s="385" t="n"/>
      <c r="DD65" s="386">
        <f>IF(Q64="作業者3",H67-H64,0)</f>
        <v/>
      </c>
      <c r="DE65" s="387" t="n"/>
      <c r="DF65" s="387" t="n"/>
      <c r="DG65" s="387" t="n"/>
      <c r="DH65" s="388" t="n"/>
      <c r="DJ65" s="253" t="inlineStr">
        <is>
          <t>時間内</t>
        </is>
      </c>
      <c r="DK65" s="384" t="n"/>
      <c r="DL65" s="384" t="n"/>
      <c r="DM65" s="385" t="n"/>
      <c r="DN65" s="386">
        <f>IF(Q64="作業者4",H67-H64,0)</f>
        <v/>
      </c>
      <c r="DO65" s="387" t="n"/>
      <c r="DP65" s="387" t="n"/>
      <c r="DQ65" s="387" t="n"/>
      <c r="DR65" s="388" t="n"/>
      <c r="DT65" s="253" t="inlineStr">
        <is>
          <t>時間内</t>
        </is>
      </c>
      <c r="DU65" s="384" t="n"/>
      <c r="DV65" s="384" t="n"/>
      <c r="DW65" s="385" t="n"/>
      <c r="DX65" s="386">
        <f>IF(Q64="作業者5",H67-H64,0)</f>
        <v/>
      </c>
      <c r="DY65" s="387" t="n"/>
      <c r="DZ65" s="387" t="n"/>
      <c r="EA65" s="387" t="n"/>
      <c r="EB65" s="388" t="n"/>
    </row>
    <row r="66" ht="9" customHeight="1" s="337">
      <c r="B66" s="350" t="n"/>
      <c r="C66" s="338" t="n"/>
      <c r="D66" s="380" t="n"/>
      <c r="E66" s="23" t="n"/>
      <c r="F66" s="338" t="n"/>
      <c r="G66" s="24" t="n"/>
      <c r="H66" s="23" t="n"/>
      <c r="I66" s="338" t="n"/>
      <c r="J66" s="24" t="n"/>
      <c r="K66" s="23" t="n"/>
      <c r="L66" s="338" t="n"/>
      <c r="M66" s="24" t="n"/>
      <c r="N66" s="23" t="n"/>
      <c r="O66" s="338" t="n"/>
      <c r="P66" s="24" t="n"/>
      <c r="Q66" s="382" t="n"/>
      <c r="R66" s="338" t="n"/>
      <c r="S66" s="446" t="n"/>
      <c r="T66" s="382" t="n"/>
      <c r="U66" s="338" t="n"/>
      <c r="V66" s="380" t="n"/>
      <c r="W66" s="382" t="n"/>
      <c r="X66" s="338" t="n"/>
      <c r="Y66" s="338" t="n"/>
      <c r="Z66" s="338" t="n"/>
      <c r="AA66" s="338" t="n"/>
      <c r="AB66" s="338" t="n"/>
      <c r="AC66" s="338" t="n"/>
      <c r="AD66" s="338" t="n"/>
      <c r="AE66" s="338" t="n"/>
      <c r="AF66" s="338" t="n"/>
      <c r="AG66" s="338" t="n"/>
      <c r="AH66" s="338" t="n"/>
      <c r="AI66" s="338" t="n"/>
      <c r="AJ66" s="338" t="n"/>
      <c r="AK66" s="338" t="n"/>
      <c r="AL66" s="338" t="n"/>
      <c r="AM66" s="338" t="n"/>
      <c r="AN66" s="338" t="n"/>
      <c r="AO66" s="338" t="n"/>
      <c r="AP66" s="338" t="n"/>
      <c r="AQ66" s="338" t="n"/>
      <c r="AR66" s="338" t="n"/>
      <c r="AS66" s="338" t="n"/>
      <c r="AT66" s="338" t="n"/>
      <c r="AU66" s="338" t="n"/>
      <c r="AV66" s="338" t="n"/>
      <c r="AW66" s="338" t="n"/>
      <c r="AX66" s="338" t="n"/>
      <c r="AY66" s="338" t="n"/>
      <c r="AZ66" s="338" t="n"/>
      <c r="BA66" s="338" t="n"/>
      <c r="BB66" s="338" t="n"/>
      <c r="BC66" s="338" t="n"/>
      <c r="BD66" s="338" t="n"/>
      <c r="BE66" s="338" t="n"/>
      <c r="BF66" s="338" t="n"/>
      <c r="BG66" s="338" t="n"/>
      <c r="BH66" s="338" t="n"/>
      <c r="BI66" s="338" t="n"/>
      <c r="BJ66" s="338" t="n"/>
      <c r="BK66" s="338" t="n"/>
      <c r="BL66" s="338" t="n"/>
      <c r="BM66" s="338" t="n"/>
      <c r="BN66" s="338" t="n"/>
      <c r="BO66" s="338" t="n"/>
      <c r="BP66" s="338" t="n"/>
      <c r="BQ66" s="338" t="n"/>
      <c r="BR66" s="338" t="n"/>
      <c r="BS66" s="338" t="n"/>
      <c r="BT66" s="338" t="n"/>
      <c r="BU66" s="338" t="n"/>
      <c r="BV66" s="338" t="n"/>
      <c r="BW66" s="338" t="n"/>
      <c r="BX66" s="338" t="n"/>
      <c r="BY66" s="338" t="n"/>
      <c r="BZ66" s="338" t="n"/>
      <c r="CA66" s="338" t="n"/>
      <c r="CB66" s="338" t="n"/>
      <c r="CC66" s="383" t="n"/>
      <c r="CF66" s="253" t="inlineStr">
        <is>
          <t>時間外</t>
        </is>
      </c>
      <c r="CG66" s="384" t="n"/>
      <c r="CH66" s="384" t="n"/>
      <c r="CI66" s="385" t="n"/>
      <c r="CJ66" s="386">
        <f>IF(Q64="作業者1",K67-K64,0)</f>
        <v/>
      </c>
      <c r="CK66" s="387" t="n"/>
      <c r="CL66" s="387" t="n"/>
      <c r="CM66" s="387" t="n"/>
      <c r="CN66" s="388" t="n"/>
      <c r="CP66" s="253" t="inlineStr">
        <is>
          <t>時間外</t>
        </is>
      </c>
      <c r="CQ66" s="384" t="n"/>
      <c r="CR66" s="384" t="n"/>
      <c r="CS66" s="385" t="n"/>
      <c r="CT66" s="386">
        <f>IF(Q64="作業者2",K67-K64,0)</f>
        <v/>
      </c>
      <c r="CU66" s="387" t="n"/>
      <c r="CV66" s="387" t="n"/>
      <c r="CW66" s="387" t="n"/>
      <c r="CX66" s="388" t="n"/>
      <c r="CZ66" s="253" t="inlineStr">
        <is>
          <t>時間外</t>
        </is>
      </c>
      <c r="DA66" s="384" t="n"/>
      <c r="DB66" s="384" t="n"/>
      <c r="DC66" s="385" t="n"/>
      <c r="DD66" s="386">
        <f>IF(Q64="作業者3",K67-K64,0)</f>
        <v/>
      </c>
      <c r="DE66" s="387" t="n"/>
      <c r="DF66" s="387" t="n"/>
      <c r="DG66" s="387" t="n"/>
      <c r="DH66" s="388" t="n"/>
      <c r="DJ66" s="253" t="inlineStr">
        <is>
          <t>時間外</t>
        </is>
      </c>
      <c r="DK66" s="384" t="n"/>
      <c r="DL66" s="384" t="n"/>
      <c r="DM66" s="385" t="n"/>
      <c r="DN66" s="386">
        <f>IF(Q64="作業者4",K67-K64,0)</f>
        <v/>
      </c>
      <c r="DO66" s="387" t="n"/>
      <c r="DP66" s="387" t="n"/>
      <c r="DQ66" s="387" t="n"/>
      <c r="DR66" s="388" t="n"/>
      <c r="DT66" s="253" t="inlineStr">
        <is>
          <t>時間外</t>
        </is>
      </c>
      <c r="DU66" s="384" t="n"/>
      <c r="DV66" s="384" t="n"/>
      <c r="DW66" s="385" t="n"/>
      <c r="DX66" s="386">
        <f>IF(Q64="作業者5",K67-K64,0)</f>
        <v/>
      </c>
      <c r="DY66" s="387" t="n"/>
      <c r="DZ66" s="387" t="n"/>
      <c r="EA66" s="387" t="n"/>
      <c r="EB66" s="388" t="n"/>
    </row>
    <row r="67" ht="9" customHeight="1" s="337">
      <c r="B67" s="353" t="n"/>
      <c r="C67" s="339" t="n"/>
      <c r="D67" s="364" t="n"/>
      <c r="E67" s="412" t="n"/>
      <c r="F67" s="339" t="n"/>
      <c r="G67" s="364" t="n"/>
      <c r="H67" s="412" t="n"/>
      <c r="I67" s="339" t="n"/>
      <c r="J67" s="364" t="n"/>
      <c r="K67" s="412" t="n"/>
      <c r="L67" s="339" t="n"/>
      <c r="M67" s="364" t="n"/>
      <c r="N67" s="412" t="n"/>
      <c r="O67" s="339" t="n"/>
      <c r="P67" s="364" t="n"/>
      <c r="Q67" s="393" t="n"/>
      <c r="R67" s="390" t="n"/>
      <c r="S67" s="447" t="n"/>
      <c r="T67" s="365" t="n"/>
      <c r="U67" s="339" t="n"/>
      <c r="V67" s="364" t="n"/>
      <c r="W67" s="393" t="n"/>
      <c r="X67" s="390" t="n"/>
      <c r="Y67" s="390" t="n"/>
      <c r="Z67" s="390" t="n"/>
      <c r="AA67" s="390" t="n"/>
      <c r="AB67" s="390" t="n"/>
      <c r="AC67" s="390" t="n"/>
      <c r="AD67" s="390" t="n"/>
      <c r="AE67" s="390" t="n"/>
      <c r="AF67" s="390" t="n"/>
      <c r="AG67" s="390" t="n"/>
      <c r="AH67" s="390" t="n"/>
      <c r="AI67" s="390" t="n"/>
      <c r="AJ67" s="390" t="n"/>
      <c r="AK67" s="390" t="n"/>
      <c r="AL67" s="390" t="n"/>
      <c r="AM67" s="390" t="n"/>
      <c r="AN67" s="390" t="n"/>
      <c r="AO67" s="390" t="n"/>
      <c r="AP67" s="390" t="n"/>
      <c r="AQ67" s="390" t="n"/>
      <c r="AR67" s="390" t="n"/>
      <c r="AS67" s="390" t="n"/>
      <c r="AT67" s="390" t="n"/>
      <c r="AU67" s="390" t="n"/>
      <c r="AV67" s="390" t="n"/>
      <c r="AW67" s="390" t="n"/>
      <c r="AX67" s="390" t="n"/>
      <c r="AY67" s="390" t="n"/>
      <c r="AZ67" s="390" t="n"/>
      <c r="BA67" s="390" t="n"/>
      <c r="BB67" s="390" t="n"/>
      <c r="BC67" s="390" t="n"/>
      <c r="BD67" s="390" t="n"/>
      <c r="BE67" s="390" t="n"/>
      <c r="BF67" s="390" t="n"/>
      <c r="BG67" s="390" t="n"/>
      <c r="BH67" s="390" t="n"/>
      <c r="BI67" s="390" t="n"/>
      <c r="BJ67" s="390" t="n"/>
      <c r="BK67" s="390" t="n"/>
      <c r="BL67" s="390" t="n"/>
      <c r="BM67" s="390" t="n"/>
      <c r="BN67" s="390" t="n"/>
      <c r="BO67" s="390" t="n"/>
      <c r="BP67" s="390" t="n"/>
      <c r="BQ67" s="390" t="n"/>
      <c r="BR67" s="390" t="n"/>
      <c r="BS67" s="390" t="n"/>
      <c r="BT67" s="390" t="n"/>
      <c r="BU67" s="390" t="n"/>
      <c r="BV67" s="390" t="n"/>
      <c r="BW67" s="390" t="n"/>
      <c r="BX67" s="390" t="n"/>
      <c r="BY67" s="390" t="n"/>
      <c r="BZ67" s="390" t="n"/>
      <c r="CA67" s="390" t="n"/>
      <c r="CB67" s="390" t="n"/>
      <c r="CC67" s="394" t="n"/>
      <c r="CF67" s="254" t="inlineStr">
        <is>
          <t>休日</t>
        </is>
      </c>
      <c r="CG67" s="395" t="n"/>
      <c r="CH67" s="395" t="n"/>
      <c r="CI67" s="396" t="n"/>
      <c r="CJ67" s="397">
        <f>IF(Q64="作業者1",N67-N64,0)</f>
        <v/>
      </c>
      <c r="CK67" s="395" t="n"/>
      <c r="CL67" s="395" t="n"/>
      <c r="CM67" s="395" t="n"/>
      <c r="CN67" s="396" t="n"/>
      <c r="CP67" s="254" t="inlineStr">
        <is>
          <t>休日</t>
        </is>
      </c>
      <c r="CQ67" s="395" t="n"/>
      <c r="CR67" s="395" t="n"/>
      <c r="CS67" s="396" t="n"/>
      <c r="CT67" s="397">
        <f>IF(Q64="作業者2",N67-N64,0)</f>
        <v/>
      </c>
      <c r="CU67" s="395" t="n"/>
      <c r="CV67" s="395" t="n"/>
      <c r="CW67" s="395" t="n"/>
      <c r="CX67" s="396" t="n"/>
      <c r="CZ67" s="254" t="inlineStr">
        <is>
          <t>休日</t>
        </is>
      </c>
      <c r="DA67" s="395" t="n"/>
      <c r="DB67" s="395" t="n"/>
      <c r="DC67" s="396" t="n"/>
      <c r="DD67" s="397">
        <f>IF(Q64="作業者3",N67-N64,0)</f>
        <v/>
      </c>
      <c r="DE67" s="395" t="n"/>
      <c r="DF67" s="395" t="n"/>
      <c r="DG67" s="395" t="n"/>
      <c r="DH67" s="396" t="n"/>
      <c r="DJ67" s="254" t="inlineStr">
        <is>
          <t>休日</t>
        </is>
      </c>
      <c r="DK67" s="395" t="n"/>
      <c r="DL67" s="395" t="n"/>
      <c r="DM67" s="396" t="n"/>
      <c r="DN67" s="397">
        <f>IF(Q64="作業者4",N67-N64,0)</f>
        <v/>
      </c>
      <c r="DO67" s="395" t="n"/>
      <c r="DP67" s="395" t="n"/>
      <c r="DQ67" s="395" t="n"/>
      <c r="DR67" s="396" t="n"/>
      <c r="DT67" s="254" t="inlineStr">
        <is>
          <t>休日</t>
        </is>
      </c>
      <c r="DU67" s="395" t="n"/>
      <c r="DV67" s="395" t="n"/>
      <c r="DW67" s="396" t="n"/>
      <c r="DX67" s="397">
        <f>IF(Q64="作業者5",N67-N64,0)</f>
        <v/>
      </c>
      <c r="DY67" s="395" t="n"/>
      <c r="DZ67" s="395" t="n"/>
      <c r="EA67" s="395" t="n"/>
      <c r="EB67" s="396" t="n"/>
    </row>
    <row r="68" ht="9.75" customHeight="1" s="337">
      <c r="B68" s="413" t="n"/>
      <c r="C68" s="413" t="n"/>
      <c r="D68" s="413" t="n"/>
      <c r="E68" s="414" t="n"/>
      <c r="F68" s="27" t="n"/>
      <c r="G68" s="27" t="n"/>
      <c r="H68" s="414" t="n"/>
      <c r="I68" s="27" t="n"/>
      <c r="J68" s="27" t="n"/>
      <c r="K68" s="414" t="n"/>
      <c r="L68" s="27" t="n"/>
      <c r="M68" s="27" t="n"/>
      <c r="N68" s="414" t="n"/>
      <c r="O68" s="27" t="n"/>
      <c r="P68" s="27" t="n"/>
      <c r="Q68" s="128" t="n"/>
      <c r="R68" s="128" t="n"/>
      <c r="S68" s="128" t="n"/>
      <c r="T68" s="128" t="n"/>
      <c r="U68" s="128" t="n"/>
      <c r="V68" s="128" t="n"/>
      <c r="W68" s="29" t="n"/>
      <c r="X68" s="29" t="n"/>
      <c r="Y68" s="29" t="n"/>
      <c r="Z68" s="29" t="n"/>
      <c r="AA68" s="29" t="n"/>
      <c r="AB68" s="29" t="n"/>
      <c r="AC68" s="29" t="n"/>
      <c r="AD68" s="29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14" t="n"/>
      <c r="BX68" s="14" t="n"/>
      <c r="BY68" s="14" t="n"/>
      <c r="BZ68" s="14" t="n"/>
      <c r="CA68" s="415" t="n"/>
      <c r="CB68" s="87" t="n"/>
      <c r="CC68" s="87" t="n"/>
      <c r="CD68" s="87" t="n"/>
      <c r="CE68" s="416" t="n"/>
      <c r="CF68" s="34" t="n"/>
      <c r="CG68" s="34" t="n"/>
    </row>
    <row r="69" ht="14.1" customHeight="1" s="337">
      <c r="B69" s="417" t="inlineStr">
        <is>
          <t>月／日</t>
        </is>
      </c>
      <c r="C69" s="342" t="n"/>
      <c r="D69" s="356" t="n"/>
      <c r="E69" s="357" t="inlineStr">
        <is>
          <t>移 動</t>
        </is>
      </c>
      <c r="F69" s="342" t="n"/>
      <c r="G69" s="356" t="n"/>
      <c r="H69" s="358" t="inlineStr">
        <is>
          <t>作業内　(平日)</t>
        </is>
      </c>
      <c r="I69" s="342" t="n"/>
      <c r="J69" s="356" t="n"/>
      <c r="K69" s="358" t="inlineStr">
        <is>
          <t>作業外　(平日)</t>
        </is>
      </c>
      <c r="L69" s="342" t="n"/>
      <c r="M69" s="356" t="n"/>
      <c r="N69" s="357" t="inlineStr">
        <is>
          <t>休日</t>
        </is>
      </c>
      <c r="O69" s="342" t="n"/>
      <c r="P69" s="356" t="n"/>
      <c r="Q69" s="359" t="inlineStr">
        <is>
          <t>作業者</t>
        </is>
      </c>
      <c r="R69" s="342" t="n"/>
      <c r="S69" s="356" t="n"/>
      <c r="T69" s="359" t="inlineStr">
        <is>
          <t>場  所</t>
        </is>
      </c>
      <c r="U69" s="342" t="n"/>
      <c r="V69" s="356" t="n"/>
      <c r="W69" s="360" t="inlineStr">
        <is>
          <t xml:space="preserve">   作　　　　    　　業　　　    　 　内　　　  　  　　容　</t>
        </is>
      </c>
      <c r="X69" s="342" t="n"/>
      <c r="Y69" s="342" t="n"/>
      <c r="Z69" s="342" t="n"/>
      <c r="AA69" s="342" t="n"/>
      <c r="AB69" s="342" t="n"/>
      <c r="AC69" s="342" t="n"/>
      <c r="AD69" s="342" t="n"/>
      <c r="AE69" s="342" t="n"/>
      <c r="AF69" s="342" t="n"/>
      <c r="AG69" s="342" t="n"/>
      <c r="AH69" s="342" t="n"/>
      <c r="AI69" s="342" t="n"/>
      <c r="AJ69" s="342" t="n"/>
      <c r="AK69" s="342" t="n"/>
      <c r="AL69" s="342" t="n"/>
      <c r="AM69" s="342" t="n"/>
      <c r="AN69" s="342" t="n"/>
      <c r="AO69" s="342" t="n"/>
      <c r="AP69" s="342" t="n"/>
      <c r="AQ69" s="342" t="n"/>
      <c r="AR69" s="342" t="n"/>
      <c r="AS69" s="342" t="n"/>
      <c r="AT69" s="342" t="n"/>
      <c r="AU69" s="342" t="n"/>
      <c r="AV69" s="342" t="n"/>
      <c r="AW69" s="342" t="n"/>
      <c r="AX69" s="342" t="n"/>
      <c r="AY69" s="342" t="n"/>
      <c r="AZ69" s="342" t="n"/>
      <c r="BA69" s="342" t="n"/>
      <c r="BB69" s="342" t="n"/>
      <c r="BC69" s="342" t="n"/>
      <c r="BD69" s="342" t="n"/>
      <c r="BE69" s="342" t="n"/>
      <c r="BF69" s="342" t="n"/>
      <c r="BG69" s="342" t="n"/>
      <c r="BH69" s="342" t="n"/>
      <c r="BI69" s="342" t="n"/>
      <c r="BJ69" s="342" t="n"/>
      <c r="BK69" s="342" t="n"/>
      <c r="BL69" s="342" t="n"/>
      <c r="BM69" s="342" t="n"/>
      <c r="BN69" s="342" t="n"/>
      <c r="BO69" s="342" t="n"/>
      <c r="BP69" s="342" t="n"/>
      <c r="BQ69" s="342" t="n"/>
      <c r="BR69" s="342" t="n"/>
      <c r="BS69" s="342" t="n"/>
      <c r="BT69" s="342" t="n"/>
      <c r="BU69" s="342" t="n"/>
      <c r="BV69" s="342" t="n"/>
      <c r="BW69" s="342" t="n"/>
      <c r="BX69" s="342" t="n"/>
      <c r="BY69" s="342" t="n"/>
      <c r="BZ69" s="342" t="n"/>
      <c r="CA69" s="342" t="n"/>
      <c r="CB69" s="342" t="n"/>
      <c r="CC69" s="343" t="n"/>
      <c r="CF69" s="361" t="inlineStr">
        <is>
          <t>所要時間　作業者1</t>
        </is>
      </c>
      <c r="CG69" s="362" t="n"/>
      <c r="CH69" s="362" t="n"/>
      <c r="CI69" s="362" t="n"/>
      <c r="CJ69" s="362" t="n"/>
      <c r="CK69" s="362" t="n"/>
      <c r="CL69" s="362" t="n"/>
      <c r="CM69" s="362" t="n"/>
      <c r="CN69" s="363" t="n"/>
      <c r="CP69" s="361" t="inlineStr">
        <is>
          <t>所要時間　作業者2</t>
        </is>
      </c>
      <c r="CQ69" s="362" t="n"/>
      <c r="CR69" s="362" t="n"/>
      <c r="CS69" s="362" t="n"/>
      <c r="CT69" s="362" t="n"/>
      <c r="CU69" s="362" t="n"/>
      <c r="CV69" s="362" t="n"/>
      <c r="CW69" s="362" t="n"/>
      <c r="CX69" s="363" t="n"/>
      <c r="CZ69" s="361" t="inlineStr">
        <is>
          <t>所要時間　作業者3</t>
        </is>
      </c>
      <c r="DA69" s="362" t="n"/>
      <c r="DB69" s="362" t="n"/>
      <c r="DC69" s="362" t="n"/>
      <c r="DD69" s="362" t="n"/>
      <c r="DE69" s="362" t="n"/>
      <c r="DF69" s="362" t="n"/>
      <c r="DG69" s="362" t="n"/>
      <c r="DH69" s="363" t="n"/>
      <c r="DJ69" s="361" t="inlineStr">
        <is>
          <t>所要時間　作業者4</t>
        </is>
      </c>
      <c r="DK69" s="362" t="n"/>
      <c r="DL69" s="362" t="n"/>
      <c r="DM69" s="362" t="n"/>
      <c r="DN69" s="362" t="n"/>
      <c r="DO69" s="362" t="n"/>
      <c r="DP69" s="362" t="n"/>
      <c r="DQ69" s="362" t="n"/>
      <c r="DR69" s="363" t="n"/>
      <c r="DT69" s="361" t="inlineStr">
        <is>
          <t>所要時間　作業者5</t>
        </is>
      </c>
      <c r="DU69" s="362" t="n"/>
      <c r="DV69" s="362" t="n"/>
      <c r="DW69" s="362" t="n"/>
      <c r="DX69" s="362" t="n"/>
      <c r="DY69" s="362" t="n"/>
      <c r="DZ69" s="362" t="n"/>
      <c r="EA69" s="362" t="n"/>
      <c r="EB69" s="363" t="n"/>
    </row>
    <row r="70" ht="14.1" customHeight="1" s="337">
      <c r="B70" s="353" t="n"/>
      <c r="C70" s="339" t="n"/>
      <c r="D70" s="364" t="n"/>
      <c r="E70" s="365" t="n"/>
      <c r="F70" s="339" t="n"/>
      <c r="G70" s="364" t="n"/>
      <c r="H70" s="365" t="n"/>
      <c r="I70" s="339" t="n"/>
      <c r="J70" s="364" t="n"/>
      <c r="K70" s="365" t="n"/>
      <c r="L70" s="339" t="n"/>
      <c r="M70" s="364" t="n"/>
      <c r="N70" s="365" t="n"/>
      <c r="O70" s="339" t="n"/>
      <c r="P70" s="364" t="n"/>
      <c r="Q70" s="365" t="n"/>
      <c r="R70" s="339" t="n"/>
      <c r="S70" s="364" t="n"/>
      <c r="T70" s="365" t="n"/>
      <c r="U70" s="339" t="n"/>
      <c r="V70" s="364" t="n"/>
      <c r="W70" s="365" t="n"/>
      <c r="X70" s="339" t="n"/>
      <c r="Y70" s="339" t="n"/>
      <c r="Z70" s="339" t="n"/>
      <c r="AA70" s="339" t="n"/>
      <c r="AB70" s="339" t="n"/>
      <c r="AC70" s="339" t="n"/>
      <c r="AD70" s="339" t="n"/>
      <c r="AE70" s="339" t="n"/>
      <c r="AF70" s="339" t="n"/>
      <c r="AG70" s="339" t="n"/>
      <c r="AH70" s="339" t="n"/>
      <c r="AI70" s="339" t="n"/>
      <c r="AJ70" s="339" t="n"/>
      <c r="AK70" s="339" t="n"/>
      <c r="AL70" s="339" t="n"/>
      <c r="AM70" s="339" t="n"/>
      <c r="AN70" s="339" t="n"/>
      <c r="AO70" s="339" t="n"/>
      <c r="AP70" s="339" t="n"/>
      <c r="AQ70" s="339" t="n"/>
      <c r="AR70" s="339" t="n"/>
      <c r="AS70" s="339" t="n"/>
      <c r="AT70" s="339" t="n"/>
      <c r="AU70" s="339" t="n"/>
      <c r="AV70" s="339" t="n"/>
      <c r="AW70" s="339" t="n"/>
      <c r="AX70" s="339" t="n"/>
      <c r="AY70" s="339" t="n"/>
      <c r="AZ70" s="339" t="n"/>
      <c r="BA70" s="339" t="n"/>
      <c r="BB70" s="339" t="n"/>
      <c r="BC70" s="339" t="n"/>
      <c r="BD70" s="339" t="n"/>
      <c r="BE70" s="339" t="n"/>
      <c r="BF70" s="339" t="n"/>
      <c r="BG70" s="339" t="n"/>
      <c r="BH70" s="339" t="n"/>
      <c r="BI70" s="339" t="n"/>
      <c r="BJ70" s="339" t="n"/>
      <c r="BK70" s="339" t="n"/>
      <c r="BL70" s="339" t="n"/>
      <c r="BM70" s="339" t="n"/>
      <c r="BN70" s="339" t="n"/>
      <c r="BO70" s="339" t="n"/>
      <c r="BP70" s="339" t="n"/>
      <c r="BQ70" s="339" t="n"/>
      <c r="BR70" s="339" t="n"/>
      <c r="BS70" s="339" t="n"/>
      <c r="BT70" s="339" t="n"/>
      <c r="BU70" s="339" t="n"/>
      <c r="BV70" s="339" t="n"/>
      <c r="BW70" s="339" t="n"/>
      <c r="BX70" s="339" t="n"/>
      <c r="BY70" s="339" t="n"/>
      <c r="BZ70" s="339" t="n"/>
      <c r="CA70" s="339" t="n"/>
      <c r="CB70" s="339" t="n"/>
      <c r="CC70" s="354" t="n"/>
      <c r="CF70" s="366" t="n"/>
      <c r="CG70" s="367" t="n"/>
      <c r="CH70" s="367" t="n"/>
      <c r="CI70" s="367" t="n"/>
      <c r="CJ70" s="367" t="n"/>
      <c r="CK70" s="367" t="n"/>
      <c r="CL70" s="367" t="n"/>
      <c r="CM70" s="367" t="n"/>
      <c r="CN70" s="368" t="n"/>
      <c r="CP70" s="366" t="n"/>
      <c r="CQ70" s="367" t="n"/>
      <c r="CR70" s="367" t="n"/>
      <c r="CS70" s="367" t="n"/>
      <c r="CT70" s="367" t="n"/>
      <c r="CU70" s="367" t="n"/>
      <c r="CV70" s="367" t="n"/>
      <c r="CW70" s="367" t="n"/>
      <c r="CX70" s="368" t="n"/>
      <c r="CZ70" s="366" t="n"/>
      <c r="DA70" s="367" t="n"/>
      <c r="DB70" s="367" t="n"/>
      <c r="DC70" s="367" t="n"/>
      <c r="DD70" s="367" t="n"/>
      <c r="DE70" s="367" t="n"/>
      <c r="DF70" s="367" t="n"/>
      <c r="DG70" s="367" t="n"/>
      <c r="DH70" s="368" t="n"/>
      <c r="DJ70" s="366" t="n"/>
      <c r="DK70" s="367" t="n"/>
      <c r="DL70" s="367" t="n"/>
      <c r="DM70" s="367" t="n"/>
      <c r="DN70" s="367" t="n"/>
      <c r="DO70" s="367" t="n"/>
      <c r="DP70" s="367" t="n"/>
      <c r="DQ70" s="367" t="n"/>
      <c r="DR70" s="368" t="n"/>
      <c r="DT70" s="366" t="n"/>
      <c r="DU70" s="367" t="n"/>
      <c r="DV70" s="367" t="n"/>
      <c r="DW70" s="367" t="n"/>
      <c r="DX70" s="367" t="n"/>
      <c r="DY70" s="367" t="n"/>
      <c r="DZ70" s="367" t="n"/>
      <c r="EA70" s="367" t="n"/>
      <c r="EB70" s="368" t="n"/>
    </row>
    <row r="71" ht="9" customHeight="1" s="337">
      <c r="B71" s="369" t="n"/>
      <c r="C71" s="342" t="n"/>
      <c r="D71" s="356" t="n"/>
      <c r="E71" s="370" t="n"/>
      <c r="F71" s="342" t="n"/>
      <c r="G71" s="356" t="n"/>
      <c r="H71" s="370" t="n"/>
      <c r="I71" s="342" t="n"/>
      <c r="J71" s="356" t="n"/>
      <c r="K71" s="370" t="n"/>
      <c r="L71" s="342" t="n"/>
      <c r="M71" s="356" t="n"/>
      <c r="N71" s="370" t="n"/>
      <c r="O71" s="342" t="n"/>
      <c r="P71" s="356" t="n"/>
      <c r="Q71" s="448" t="n"/>
      <c r="R71" s="342" t="n"/>
      <c r="S71" s="356" t="n"/>
      <c r="T71" s="374" t="n"/>
      <c r="U71" s="342" t="n"/>
      <c r="V71" s="356" t="n"/>
      <c r="W71" s="442" t="n"/>
      <c r="X71" s="338" t="n"/>
      <c r="Y71" s="338" t="n"/>
      <c r="Z71" s="338" t="n"/>
      <c r="AA71" s="338" t="n"/>
      <c r="AB71" s="338" t="n"/>
      <c r="AC71" s="338" t="n"/>
      <c r="AD71" s="338" t="n"/>
      <c r="AE71" s="338" t="n"/>
      <c r="AF71" s="338" t="n"/>
      <c r="AG71" s="338" t="n"/>
      <c r="AH71" s="338" t="n"/>
      <c r="AI71" s="338" t="n"/>
      <c r="AJ71" s="338" t="n"/>
      <c r="AK71" s="338" t="n"/>
      <c r="AL71" s="338" t="n"/>
      <c r="AM71" s="338" t="n"/>
      <c r="AN71" s="338" t="n"/>
      <c r="AO71" s="338" t="n"/>
      <c r="AP71" s="338" t="n"/>
      <c r="AQ71" s="338" t="n"/>
      <c r="AR71" s="338" t="n"/>
      <c r="AS71" s="338" t="n"/>
      <c r="AT71" s="338" t="n"/>
      <c r="AU71" s="338" t="n"/>
      <c r="AV71" s="338" t="n"/>
      <c r="AW71" s="338" t="n"/>
      <c r="AX71" s="338" t="n"/>
      <c r="AY71" s="338" t="n"/>
      <c r="AZ71" s="338" t="n"/>
      <c r="BA71" s="338" t="n"/>
      <c r="BB71" s="338" t="n"/>
      <c r="BC71" s="338" t="n"/>
      <c r="BD71" s="338" t="n"/>
      <c r="BE71" s="338" t="n"/>
      <c r="BF71" s="338" t="n"/>
      <c r="BG71" s="338" t="n"/>
      <c r="BH71" s="338" t="n"/>
      <c r="BI71" s="338" t="n"/>
      <c r="BJ71" s="338" t="n"/>
      <c r="BK71" s="338" t="n"/>
      <c r="BL71" s="338" t="n"/>
      <c r="BM71" s="338" t="n"/>
      <c r="BN71" s="338" t="n"/>
      <c r="BO71" s="338" t="n"/>
      <c r="BP71" s="338" t="n"/>
      <c r="BQ71" s="338" t="n"/>
      <c r="BR71" s="338" t="n"/>
      <c r="BS71" s="338" t="n"/>
      <c r="BT71" s="338" t="n"/>
      <c r="BU71" s="338" t="n"/>
      <c r="BV71" s="338" t="n"/>
      <c r="BW71" s="338" t="n"/>
      <c r="BX71" s="338" t="n"/>
      <c r="BY71" s="338" t="n"/>
      <c r="BZ71" s="338" t="n"/>
      <c r="CA71" s="338" t="n"/>
      <c r="CB71" s="338" t="n"/>
      <c r="CC71" s="383" t="n"/>
      <c r="CF71" s="248" t="inlineStr">
        <is>
          <t>移動</t>
        </is>
      </c>
      <c r="CG71" s="377" t="n"/>
      <c r="CH71" s="377" t="n"/>
      <c r="CI71" s="378" t="n"/>
      <c r="CJ71" s="379">
        <f>IF(Q71="作業者1",E74-E71,0)</f>
        <v/>
      </c>
      <c r="CK71" s="377" t="n"/>
      <c r="CL71" s="377" t="n"/>
      <c r="CM71" s="377" t="n"/>
      <c r="CN71" s="378" t="n"/>
      <c r="CP71" s="248" t="inlineStr">
        <is>
          <t>移動</t>
        </is>
      </c>
      <c r="CQ71" s="377" t="n"/>
      <c r="CR71" s="377" t="n"/>
      <c r="CS71" s="378" t="n"/>
      <c r="CT71" s="379">
        <f>IF(Q71="作業者2",E74-E71,0)</f>
        <v/>
      </c>
      <c r="CU71" s="377" t="n"/>
      <c r="CV71" s="377" t="n"/>
      <c r="CW71" s="377" t="n"/>
      <c r="CX71" s="378" t="n"/>
      <c r="CZ71" s="248" t="inlineStr">
        <is>
          <t>移動</t>
        </is>
      </c>
      <c r="DA71" s="377" t="n"/>
      <c r="DB71" s="377" t="n"/>
      <c r="DC71" s="378" t="n"/>
      <c r="DD71" s="379">
        <f>IF(Q71="作業者3",E74-E71,0)</f>
        <v/>
      </c>
      <c r="DE71" s="377" t="n"/>
      <c r="DF71" s="377" t="n"/>
      <c r="DG71" s="377" t="n"/>
      <c r="DH71" s="378" t="n"/>
      <c r="DJ71" s="248" t="inlineStr">
        <is>
          <t>移動</t>
        </is>
      </c>
      <c r="DK71" s="377" t="n"/>
      <c r="DL71" s="377" t="n"/>
      <c r="DM71" s="378" t="n"/>
      <c r="DN71" s="379">
        <f>IF(Q71="作業者4",E74-E71,0)</f>
        <v/>
      </c>
      <c r="DO71" s="377" t="n"/>
      <c r="DP71" s="377" t="n"/>
      <c r="DQ71" s="377" t="n"/>
      <c r="DR71" s="378" t="n"/>
      <c r="DT71" s="248" t="inlineStr">
        <is>
          <t>移動</t>
        </is>
      </c>
      <c r="DU71" s="377" t="n"/>
      <c r="DV71" s="377" t="n"/>
      <c r="DW71" s="378" t="n"/>
      <c r="DX71" s="379">
        <f>IF(Q71="作業者5",E74-E71,0)</f>
        <v/>
      </c>
      <c r="DY71" s="377" t="n"/>
      <c r="DZ71" s="377" t="n"/>
      <c r="EA71" s="377" t="n"/>
      <c r="EB71" s="378" t="n"/>
    </row>
    <row r="72" ht="9" customHeight="1" s="337">
      <c r="B72" s="350" t="n"/>
      <c r="C72" s="338" t="n"/>
      <c r="D72" s="380" t="n"/>
      <c r="E72" s="381" t="n"/>
      <c r="F72" s="122" t="inlineStr">
        <is>
          <t>～</t>
        </is>
      </c>
      <c r="G72" s="22" t="n"/>
      <c r="H72" s="381" t="n"/>
      <c r="I72" s="122" t="inlineStr">
        <is>
          <t>～</t>
        </is>
      </c>
      <c r="J72" s="22" t="n"/>
      <c r="K72" s="381" t="n"/>
      <c r="L72" s="122" t="inlineStr">
        <is>
          <t>～</t>
        </is>
      </c>
      <c r="M72" s="22" t="n"/>
      <c r="N72" s="381" t="n"/>
      <c r="O72" s="122" t="inlineStr">
        <is>
          <t>～</t>
        </is>
      </c>
      <c r="P72" s="22" t="n"/>
      <c r="Q72" s="382" t="n"/>
      <c r="R72" s="338" t="n"/>
      <c r="S72" s="380" t="n"/>
      <c r="T72" s="382" t="n"/>
      <c r="U72" s="338" t="n"/>
      <c r="V72" s="380" t="n"/>
      <c r="W72" s="382" t="n"/>
      <c r="X72" s="338" t="n"/>
      <c r="Y72" s="338" t="n"/>
      <c r="Z72" s="338" t="n"/>
      <c r="AA72" s="338" t="n"/>
      <c r="AB72" s="338" t="n"/>
      <c r="AC72" s="338" t="n"/>
      <c r="AD72" s="338" t="n"/>
      <c r="AE72" s="338" t="n"/>
      <c r="AF72" s="338" t="n"/>
      <c r="AG72" s="338" t="n"/>
      <c r="AH72" s="338" t="n"/>
      <c r="AI72" s="338" t="n"/>
      <c r="AJ72" s="338" t="n"/>
      <c r="AK72" s="338" t="n"/>
      <c r="AL72" s="338" t="n"/>
      <c r="AM72" s="338" t="n"/>
      <c r="AN72" s="338" t="n"/>
      <c r="AO72" s="338" t="n"/>
      <c r="AP72" s="338" t="n"/>
      <c r="AQ72" s="338" t="n"/>
      <c r="AR72" s="338" t="n"/>
      <c r="AS72" s="338" t="n"/>
      <c r="AT72" s="338" t="n"/>
      <c r="AU72" s="338" t="n"/>
      <c r="AV72" s="338" t="n"/>
      <c r="AW72" s="338" t="n"/>
      <c r="AX72" s="338" t="n"/>
      <c r="AY72" s="338" t="n"/>
      <c r="AZ72" s="338" t="n"/>
      <c r="BA72" s="338" t="n"/>
      <c r="BB72" s="338" t="n"/>
      <c r="BC72" s="338" t="n"/>
      <c r="BD72" s="338" t="n"/>
      <c r="BE72" s="338" t="n"/>
      <c r="BF72" s="338" t="n"/>
      <c r="BG72" s="338" t="n"/>
      <c r="BH72" s="338" t="n"/>
      <c r="BI72" s="338" t="n"/>
      <c r="BJ72" s="338" t="n"/>
      <c r="BK72" s="338" t="n"/>
      <c r="BL72" s="338" t="n"/>
      <c r="BM72" s="338" t="n"/>
      <c r="BN72" s="338" t="n"/>
      <c r="BO72" s="338" t="n"/>
      <c r="BP72" s="338" t="n"/>
      <c r="BQ72" s="338" t="n"/>
      <c r="BR72" s="338" t="n"/>
      <c r="BS72" s="338" t="n"/>
      <c r="BT72" s="338" t="n"/>
      <c r="BU72" s="338" t="n"/>
      <c r="BV72" s="338" t="n"/>
      <c r="BW72" s="338" t="n"/>
      <c r="BX72" s="338" t="n"/>
      <c r="BY72" s="338" t="n"/>
      <c r="BZ72" s="338" t="n"/>
      <c r="CA72" s="338" t="n"/>
      <c r="CB72" s="338" t="n"/>
      <c r="CC72" s="383" t="n"/>
      <c r="CF72" s="253" t="inlineStr">
        <is>
          <t>時間内</t>
        </is>
      </c>
      <c r="CG72" s="384" t="n"/>
      <c r="CH72" s="384" t="n"/>
      <c r="CI72" s="385" t="n"/>
      <c r="CJ72" s="386">
        <f>IF(Q71="作業者1",H74-H71,0)</f>
        <v/>
      </c>
      <c r="CK72" s="387" t="n"/>
      <c r="CL72" s="387" t="n"/>
      <c r="CM72" s="387" t="n"/>
      <c r="CN72" s="388" t="n"/>
      <c r="CP72" s="253" t="inlineStr">
        <is>
          <t>時間内</t>
        </is>
      </c>
      <c r="CQ72" s="384" t="n"/>
      <c r="CR72" s="384" t="n"/>
      <c r="CS72" s="385" t="n"/>
      <c r="CT72" s="386">
        <f>IF(Q71="作業者2",H74-H71,0)</f>
        <v/>
      </c>
      <c r="CU72" s="387" t="n"/>
      <c r="CV72" s="387" t="n"/>
      <c r="CW72" s="387" t="n"/>
      <c r="CX72" s="388" t="n"/>
      <c r="CZ72" s="253" t="inlineStr">
        <is>
          <t>時間内</t>
        </is>
      </c>
      <c r="DA72" s="384" t="n"/>
      <c r="DB72" s="384" t="n"/>
      <c r="DC72" s="385" t="n"/>
      <c r="DD72" s="386">
        <f>IF(Q71="作業者3",H74-H71,0)</f>
        <v/>
      </c>
      <c r="DE72" s="387" t="n"/>
      <c r="DF72" s="387" t="n"/>
      <c r="DG72" s="387" t="n"/>
      <c r="DH72" s="388" t="n"/>
      <c r="DJ72" s="253" t="inlineStr">
        <is>
          <t>時間内</t>
        </is>
      </c>
      <c r="DK72" s="384" t="n"/>
      <c r="DL72" s="384" t="n"/>
      <c r="DM72" s="385" t="n"/>
      <c r="DN72" s="386">
        <f>IF(Q71="作業者4",H74-H71,0)</f>
        <v/>
      </c>
      <c r="DO72" s="387" t="n"/>
      <c r="DP72" s="387" t="n"/>
      <c r="DQ72" s="387" t="n"/>
      <c r="DR72" s="388" t="n"/>
      <c r="DT72" s="253" t="inlineStr">
        <is>
          <t>時間内</t>
        </is>
      </c>
      <c r="DU72" s="384" t="n"/>
      <c r="DV72" s="384" t="n"/>
      <c r="DW72" s="385" t="n"/>
      <c r="DX72" s="386">
        <f>IF(Q71="作業者5",H74-H71,0)</f>
        <v/>
      </c>
      <c r="DY72" s="387" t="n"/>
      <c r="DZ72" s="387" t="n"/>
      <c r="EA72" s="387" t="n"/>
      <c r="EB72" s="388" t="n"/>
    </row>
    <row r="73" ht="9" customHeight="1" s="337">
      <c r="B73" s="350" t="n"/>
      <c r="C73" s="338" t="n"/>
      <c r="D73" s="380" t="n"/>
      <c r="E73" s="23" t="n"/>
      <c r="F73" s="338" t="n"/>
      <c r="G73" s="24" t="n"/>
      <c r="H73" s="23" t="n"/>
      <c r="I73" s="338" t="n"/>
      <c r="J73" s="24" t="n"/>
      <c r="K73" s="23" t="n"/>
      <c r="L73" s="338" t="n"/>
      <c r="M73" s="24" t="n"/>
      <c r="N73" s="23" t="n"/>
      <c r="O73" s="338" t="n"/>
      <c r="P73" s="24" t="n"/>
      <c r="Q73" s="382" t="n"/>
      <c r="R73" s="338" t="n"/>
      <c r="S73" s="380" t="n"/>
      <c r="T73" s="382" t="n"/>
      <c r="U73" s="338" t="n"/>
      <c r="V73" s="380" t="n"/>
      <c r="W73" s="382" t="n"/>
      <c r="X73" s="338" t="n"/>
      <c r="Y73" s="338" t="n"/>
      <c r="Z73" s="338" t="n"/>
      <c r="AA73" s="338" t="n"/>
      <c r="AB73" s="338" t="n"/>
      <c r="AC73" s="338" t="n"/>
      <c r="AD73" s="338" t="n"/>
      <c r="AE73" s="338" t="n"/>
      <c r="AF73" s="338" t="n"/>
      <c r="AG73" s="338" t="n"/>
      <c r="AH73" s="338" t="n"/>
      <c r="AI73" s="338" t="n"/>
      <c r="AJ73" s="338" t="n"/>
      <c r="AK73" s="338" t="n"/>
      <c r="AL73" s="338" t="n"/>
      <c r="AM73" s="338" t="n"/>
      <c r="AN73" s="338" t="n"/>
      <c r="AO73" s="338" t="n"/>
      <c r="AP73" s="338" t="n"/>
      <c r="AQ73" s="338" t="n"/>
      <c r="AR73" s="338" t="n"/>
      <c r="AS73" s="338" t="n"/>
      <c r="AT73" s="338" t="n"/>
      <c r="AU73" s="338" t="n"/>
      <c r="AV73" s="338" t="n"/>
      <c r="AW73" s="338" t="n"/>
      <c r="AX73" s="338" t="n"/>
      <c r="AY73" s="338" t="n"/>
      <c r="AZ73" s="338" t="n"/>
      <c r="BA73" s="338" t="n"/>
      <c r="BB73" s="338" t="n"/>
      <c r="BC73" s="338" t="n"/>
      <c r="BD73" s="338" t="n"/>
      <c r="BE73" s="338" t="n"/>
      <c r="BF73" s="338" t="n"/>
      <c r="BG73" s="338" t="n"/>
      <c r="BH73" s="338" t="n"/>
      <c r="BI73" s="338" t="n"/>
      <c r="BJ73" s="338" t="n"/>
      <c r="BK73" s="338" t="n"/>
      <c r="BL73" s="338" t="n"/>
      <c r="BM73" s="338" t="n"/>
      <c r="BN73" s="338" t="n"/>
      <c r="BO73" s="338" t="n"/>
      <c r="BP73" s="338" t="n"/>
      <c r="BQ73" s="338" t="n"/>
      <c r="BR73" s="338" t="n"/>
      <c r="BS73" s="338" t="n"/>
      <c r="BT73" s="338" t="n"/>
      <c r="BU73" s="338" t="n"/>
      <c r="BV73" s="338" t="n"/>
      <c r="BW73" s="338" t="n"/>
      <c r="BX73" s="338" t="n"/>
      <c r="BY73" s="338" t="n"/>
      <c r="BZ73" s="338" t="n"/>
      <c r="CA73" s="338" t="n"/>
      <c r="CB73" s="338" t="n"/>
      <c r="CC73" s="383" t="n"/>
      <c r="CF73" s="253" t="inlineStr">
        <is>
          <t>時間外</t>
        </is>
      </c>
      <c r="CG73" s="384" t="n"/>
      <c r="CH73" s="384" t="n"/>
      <c r="CI73" s="385" t="n"/>
      <c r="CJ73" s="386">
        <f>IF(Q71="作業者1",K74-K71,0)</f>
        <v/>
      </c>
      <c r="CK73" s="387" t="n"/>
      <c r="CL73" s="387" t="n"/>
      <c r="CM73" s="387" t="n"/>
      <c r="CN73" s="388" t="n"/>
      <c r="CP73" s="253" t="inlineStr">
        <is>
          <t>時間外</t>
        </is>
      </c>
      <c r="CQ73" s="384" t="n"/>
      <c r="CR73" s="384" t="n"/>
      <c r="CS73" s="385" t="n"/>
      <c r="CT73" s="386">
        <f>IF(Q71="作業者2",K74-K71,0)</f>
        <v/>
      </c>
      <c r="CU73" s="387" t="n"/>
      <c r="CV73" s="387" t="n"/>
      <c r="CW73" s="387" t="n"/>
      <c r="CX73" s="388" t="n"/>
      <c r="CZ73" s="253" t="inlineStr">
        <is>
          <t>時間外</t>
        </is>
      </c>
      <c r="DA73" s="384" t="n"/>
      <c r="DB73" s="384" t="n"/>
      <c r="DC73" s="385" t="n"/>
      <c r="DD73" s="386">
        <f>IF(Q71="作業者3",K74-K71,0)</f>
        <v/>
      </c>
      <c r="DE73" s="387" t="n"/>
      <c r="DF73" s="387" t="n"/>
      <c r="DG73" s="387" t="n"/>
      <c r="DH73" s="388" t="n"/>
      <c r="DJ73" s="253" t="inlineStr">
        <is>
          <t>時間外</t>
        </is>
      </c>
      <c r="DK73" s="384" t="n"/>
      <c r="DL73" s="384" t="n"/>
      <c r="DM73" s="385" t="n"/>
      <c r="DN73" s="386">
        <f>IF(Q71="作業者4",K74-K71,0)</f>
        <v/>
      </c>
      <c r="DO73" s="387" t="n"/>
      <c r="DP73" s="387" t="n"/>
      <c r="DQ73" s="387" t="n"/>
      <c r="DR73" s="388" t="n"/>
      <c r="DT73" s="253" t="inlineStr">
        <is>
          <t>時間外</t>
        </is>
      </c>
      <c r="DU73" s="384" t="n"/>
      <c r="DV73" s="384" t="n"/>
      <c r="DW73" s="385" t="n"/>
      <c r="DX73" s="386">
        <f>IF(Q71="作業者5",K74-K71,0)</f>
        <v/>
      </c>
      <c r="DY73" s="387" t="n"/>
      <c r="DZ73" s="387" t="n"/>
      <c r="EA73" s="387" t="n"/>
      <c r="EB73" s="388" t="n"/>
    </row>
    <row r="74" ht="9" customHeight="1" s="337">
      <c r="B74" s="389" t="n"/>
      <c r="C74" s="390" t="n"/>
      <c r="D74" s="391" t="n"/>
      <c r="E74" s="392" t="n"/>
      <c r="F74" s="390" t="n"/>
      <c r="G74" s="391" t="n"/>
      <c r="H74" s="392" t="n"/>
      <c r="I74" s="390" t="n"/>
      <c r="J74" s="391" t="n"/>
      <c r="K74" s="392" t="n"/>
      <c r="L74" s="390" t="n"/>
      <c r="M74" s="391" t="n"/>
      <c r="N74" s="392" t="n"/>
      <c r="O74" s="390" t="n"/>
      <c r="P74" s="391" t="n"/>
      <c r="Q74" s="382" t="n"/>
      <c r="R74" s="338" t="n"/>
      <c r="S74" s="380" t="n"/>
      <c r="T74" s="393" t="n"/>
      <c r="U74" s="390" t="n"/>
      <c r="V74" s="391" t="n"/>
      <c r="W74" s="393" t="n"/>
      <c r="X74" s="390" t="n"/>
      <c r="Y74" s="390" t="n"/>
      <c r="Z74" s="390" t="n"/>
      <c r="AA74" s="390" t="n"/>
      <c r="AB74" s="390" t="n"/>
      <c r="AC74" s="390" t="n"/>
      <c r="AD74" s="390" t="n"/>
      <c r="AE74" s="390" t="n"/>
      <c r="AF74" s="390" t="n"/>
      <c r="AG74" s="390" t="n"/>
      <c r="AH74" s="390" t="n"/>
      <c r="AI74" s="390" t="n"/>
      <c r="AJ74" s="390" t="n"/>
      <c r="AK74" s="390" t="n"/>
      <c r="AL74" s="390" t="n"/>
      <c r="AM74" s="390" t="n"/>
      <c r="AN74" s="390" t="n"/>
      <c r="AO74" s="390" t="n"/>
      <c r="AP74" s="390" t="n"/>
      <c r="AQ74" s="390" t="n"/>
      <c r="AR74" s="390" t="n"/>
      <c r="AS74" s="390" t="n"/>
      <c r="AT74" s="390" t="n"/>
      <c r="AU74" s="390" t="n"/>
      <c r="AV74" s="390" t="n"/>
      <c r="AW74" s="390" t="n"/>
      <c r="AX74" s="390" t="n"/>
      <c r="AY74" s="390" t="n"/>
      <c r="AZ74" s="390" t="n"/>
      <c r="BA74" s="390" t="n"/>
      <c r="BB74" s="390" t="n"/>
      <c r="BC74" s="390" t="n"/>
      <c r="BD74" s="390" t="n"/>
      <c r="BE74" s="390" t="n"/>
      <c r="BF74" s="390" t="n"/>
      <c r="BG74" s="390" t="n"/>
      <c r="BH74" s="390" t="n"/>
      <c r="BI74" s="390" t="n"/>
      <c r="BJ74" s="390" t="n"/>
      <c r="BK74" s="390" t="n"/>
      <c r="BL74" s="390" t="n"/>
      <c r="BM74" s="390" t="n"/>
      <c r="BN74" s="390" t="n"/>
      <c r="BO74" s="390" t="n"/>
      <c r="BP74" s="390" t="n"/>
      <c r="BQ74" s="390" t="n"/>
      <c r="BR74" s="390" t="n"/>
      <c r="BS74" s="390" t="n"/>
      <c r="BT74" s="390" t="n"/>
      <c r="BU74" s="390" t="n"/>
      <c r="BV74" s="390" t="n"/>
      <c r="BW74" s="390" t="n"/>
      <c r="BX74" s="390" t="n"/>
      <c r="BY74" s="390" t="n"/>
      <c r="BZ74" s="390" t="n"/>
      <c r="CA74" s="390" t="n"/>
      <c r="CB74" s="390" t="n"/>
      <c r="CC74" s="394" t="n"/>
      <c r="CF74" s="254" t="inlineStr">
        <is>
          <t>休日</t>
        </is>
      </c>
      <c r="CG74" s="395" t="n"/>
      <c r="CH74" s="395" t="n"/>
      <c r="CI74" s="396" t="n"/>
      <c r="CJ74" s="386">
        <f>IF(Q71="作業者1",N74-N71,0)</f>
        <v/>
      </c>
      <c r="CK74" s="387" t="n"/>
      <c r="CL74" s="387" t="n"/>
      <c r="CM74" s="387" t="n"/>
      <c r="CN74" s="388" t="n"/>
      <c r="CP74" s="253" t="inlineStr">
        <is>
          <t>休日</t>
        </is>
      </c>
      <c r="CQ74" s="384" t="n"/>
      <c r="CR74" s="384" t="n"/>
      <c r="CS74" s="385" t="n"/>
      <c r="CT74" s="386">
        <f>IF(Q71="作業者2",N74-N71,0)</f>
        <v/>
      </c>
      <c r="CU74" s="387" t="n"/>
      <c r="CV74" s="387" t="n"/>
      <c r="CW74" s="387" t="n"/>
      <c r="CX74" s="388" t="n"/>
      <c r="CZ74" s="254" t="inlineStr">
        <is>
          <t>休日</t>
        </is>
      </c>
      <c r="DA74" s="395" t="n"/>
      <c r="DB74" s="395" t="n"/>
      <c r="DC74" s="396" t="n"/>
      <c r="DD74" s="397">
        <f>IF(Q71="作業者3",N74-N71,0)</f>
        <v/>
      </c>
      <c r="DE74" s="395" t="n"/>
      <c r="DF74" s="395" t="n"/>
      <c r="DG74" s="395" t="n"/>
      <c r="DH74" s="396" t="n"/>
      <c r="DJ74" s="254" t="inlineStr">
        <is>
          <t>休日</t>
        </is>
      </c>
      <c r="DK74" s="395" t="n"/>
      <c r="DL74" s="395" t="n"/>
      <c r="DM74" s="396" t="n"/>
      <c r="DN74" s="397">
        <f>IF(Q71="作業者4",N74-N71,0)</f>
        <v/>
      </c>
      <c r="DO74" s="395" t="n"/>
      <c r="DP74" s="395" t="n"/>
      <c r="DQ74" s="395" t="n"/>
      <c r="DR74" s="396" t="n"/>
      <c r="DT74" s="254" t="inlineStr">
        <is>
          <t>休日</t>
        </is>
      </c>
      <c r="DU74" s="395" t="n"/>
      <c r="DV74" s="395" t="n"/>
      <c r="DW74" s="396" t="n"/>
      <c r="DX74" s="397">
        <f>IF(Q71="作業者5",N74-N71,0)</f>
        <v/>
      </c>
      <c r="DY74" s="395" t="n"/>
      <c r="DZ74" s="395" t="n"/>
      <c r="EA74" s="395" t="n"/>
      <c r="EB74" s="396" t="n"/>
    </row>
    <row r="75" ht="9" customHeight="1" s="337">
      <c r="B75" s="398" t="n"/>
      <c r="C75" s="372" t="n"/>
      <c r="D75" s="373" t="n"/>
      <c r="E75" s="399" t="n"/>
      <c r="F75" s="372" t="n"/>
      <c r="G75" s="373" t="n"/>
      <c r="H75" s="399" t="n"/>
      <c r="I75" s="372" t="n"/>
      <c r="J75" s="373" t="n"/>
      <c r="K75" s="399" t="n"/>
      <c r="L75" s="372" t="n"/>
      <c r="M75" s="373" t="n"/>
      <c r="N75" s="399" t="n"/>
      <c r="O75" s="372" t="n"/>
      <c r="P75" s="373" t="n"/>
      <c r="Q75" s="371" t="n"/>
      <c r="R75" s="372" t="n"/>
      <c r="S75" s="373" t="n"/>
      <c r="T75" s="371" t="n"/>
      <c r="U75" s="372" t="n"/>
      <c r="V75" s="373" t="n"/>
      <c r="W75" s="443" t="n"/>
      <c r="X75" s="372" t="n"/>
      <c r="Y75" s="372" t="n"/>
      <c r="Z75" s="372" t="n"/>
      <c r="AA75" s="372" t="n"/>
      <c r="AB75" s="372" t="n"/>
      <c r="AC75" s="372" t="n"/>
      <c r="AD75" s="372" t="n"/>
      <c r="AE75" s="372" t="n"/>
      <c r="AF75" s="372" t="n"/>
      <c r="AG75" s="372" t="n"/>
      <c r="AH75" s="372" t="n"/>
      <c r="AI75" s="372" t="n"/>
      <c r="AJ75" s="372" t="n"/>
      <c r="AK75" s="372" t="n"/>
      <c r="AL75" s="372" t="n"/>
      <c r="AM75" s="372" t="n"/>
      <c r="AN75" s="372" t="n"/>
      <c r="AO75" s="372" t="n"/>
      <c r="AP75" s="372" t="n"/>
      <c r="AQ75" s="372" t="n"/>
      <c r="AR75" s="372" t="n"/>
      <c r="AS75" s="372" t="n"/>
      <c r="AT75" s="372" t="n"/>
      <c r="AU75" s="372" t="n"/>
      <c r="AV75" s="372" t="n"/>
      <c r="AW75" s="372" t="n"/>
      <c r="AX75" s="372" t="n"/>
      <c r="AY75" s="372" t="n"/>
      <c r="AZ75" s="372" t="n"/>
      <c r="BA75" s="372" t="n"/>
      <c r="BB75" s="372" t="n"/>
      <c r="BC75" s="372" t="n"/>
      <c r="BD75" s="372" t="n"/>
      <c r="BE75" s="372" t="n"/>
      <c r="BF75" s="372" t="n"/>
      <c r="BG75" s="372" t="n"/>
      <c r="BH75" s="372" t="n"/>
      <c r="BI75" s="372" t="n"/>
      <c r="BJ75" s="372" t="n"/>
      <c r="BK75" s="372" t="n"/>
      <c r="BL75" s="372" t="n"/>
      <c r="BM75" s="372" t="n"/>
      <c r="BN75" s="372" t="n"/>
      <c r="BO75" s="372" t="n"/>
      <c r="BP75" s="372" t="n"/>
      <c r="BQ75" s="372" t="n"/>
      <c r="BR75" s="372" t="n"/>
      <c r="BS75" s="372" t="n"/>
      <c r="BT75" s="372" t="n"/>
      <c r="BU75" s="372" t="n"/>
      <c r="BV75" s="372" t="n"/>
      <c r="BW75" s="372" t="n"/>
      <c r="BX75" s="372" t="n"/>
      <c r="BY75" s="372" t="n"/>
      <c r="BZ75" s="372" t="n"/>
      <c r="CA75" s="372" t="n"/>
      <c r="CB75" s="372" t="n"/>
      <c r="CC75" s="402" t="n"/>
      <c r="CF75" s="259" t="inlineStr">
        <is>
          <t>移動</t>
        </is>
      </c>
      <c r="CG75" s="403" t="n"/>
      <c r="CH75" s="403" t="n"/>
      <c r="CI75" s="404" t="n"/>
      <c r="CJ75" s="379">
        <f>IF(Q75="作業者1",E78-E75,0)</f>
        <v/>
      </c>
      <c r="CK75" s="377" t="n"/>
      <c r="CL75" s="377" t="n"/>
      <c r="CM75" s="377" t="n"/>
      <c r="CN75" s="378" t="n"/>
      <c r="CP75" s="248" t="inlineStr">
        <is>
          <t>移動</t>
        </is>
      </c>
      <c r="CQ75" s="377" t="n"/>
      <c r="CR75" s="377" t="n"/>
      <c r="CS75" s="378" t="n"/>
      <c r="CT75" s="379">
        <f>IF(Q75="作業者2",E78-E75,0)</f>
        <v/>
      </c>
      <c r="CU75" s="377" t="n"/>
      <c r="CV75" s="377" t="n"/>
      <c r="CW75" s="377" t="n"/>
      <c r="CX75" s="378" t="n"/>
      <c r="CZ75" s="259" t="inlineStr">
        <is>
          <t>移動</t>
        </is>
      </c>
      <c r="DA75" s="403" t="n"/>
      <c r="DB75" s="403" t="n"/>
      <c r="DC75" s="404" t="n"/>
      <c r="DD75" s="405">
        <f>IF(Q75="作業者3",E78-E75,0)</f>
        <v/>
      </c>
      <c r="DE75" s="406" t="n"/>
      <c r="DF75" s="406" t="n"/>
      <c r="DG75" s="406" t="n"/>
      <c r="DH75" s="407" t="n"/>
      <c r="DJ75" s="259" t="inlineStr">
        <is>
          <t>移動</t>
        </is>
      </c>
      <c r="DK75" s="403" t="n"/>
      <c r="DL75" s="403" t="n"/>
      <c r="DM75" s="404" t="n"/>
      <c r="DN75" s="379">
        <f>IF(Q75="作業者4",E78-E75,0)</f>
        <v/>
      </c>
      <c r="DO75" s="377" t="n"/>
      <c r="DP75" s="377" t="n"/>
      <c r="DQ75" s="377" t="n"/>
      <c r="DR75" s="378" t="n"/>
      <c r="DT75" s="259" t="inlineStr">
        <is>
          <t>移動</t>
        </is>
      </c>
      <c r="DU75" s="403" t="n"/>
      <c r="DV75" s="403" t="n"/>
      <c r="DW75" s="404" t="n"/>
      <c r="DX75" s="379">
        <f>IF(Q75="作業者5",E78-E75,0)</f>
        <v/>
      </c>
      <c r="DY75" s="377" t="n"/>
      <c r="DZ75" s="377" t="n"/>
      <c r="EA75" s="377" t="n"/>
      <c r="EB75" s="378" t="n"/>
    </row>
    <row r="76" ht="9" customHeight="1" s="337">
      <c r="B76" s="350" t="n"/>
      <c r="C76" s="338" t="n"/>
      <c r="D76" s="380" t="n"/>
      <c r="E76" s="381" t="n"/>
      <c r="F76" s="122" t="inlineStr">
        <is>
          <t>～</t>
        </is>
      </c>
      <c r="G76" s="22" t="n"/>
      <c r="H76" s="381" t="n"/>
      <c r="I76" s="122" t="inlineStr">
        <is>
          <t>～</t>
        </is>
      </c>
      <c r="J76" s="22" t="n"/>
      <c r="K76" s="381" t="n"/>
      <c r="L76" s="122" t="inlineStr">
        <is>
          <t>～</t>
        </is>
      </c>
      <c r="M76" s="22" t="n"/>
      <c r="N76" s="381" t="n"/>
      <c r="O76" s="122" t="inlineStr">
        <is>
          <t>～</t>
        </is>
      </c>
      <c r="P76" s="22" t="n"/>
      <c r="Q76" s="382" t="n"/>
      <c r="R76" s="338" t="n"/>
      <c r="S76" s="380" t="n"/>
      <c r="T76" s="382" t="n"/>
      <c r="U76" s="338" t="n"/>
      <c r="V76" s="380" t="n"/>
      <c r="W76" s="382" t="n"/>
      <c r="X76" s="338" t="n"/>
      <c r="Y76" s="338" t="n"/>
      <c r="Z76" s="338" t="n"/>
      <c r="AA76" s="338" t="n"/>
      <c r="AB76" s="338" t="n"/>
      <c r="AC76" s="338" t="n"/>
      <c r="AD76" s="338" t="n"/>
      <c r="AE76" s="338" t="n"/>
      <c r="AF76" s="338" t="n"/>
      <c r="AG76" s="338" t="n"/>
      <c r="AH76" s="338" t="n"/>
      <c r="AI76" s="338" t="n"/>
      <c r="AJ76" s="338" t="n"/>
      <c r="AK76" s="338" t="n"/>
      <c r="AL76" s="338" t="n"/>
      <c r="AM76" s="338" t="n"/>
      <c r="AN76" s="338" t="n"/>
      <c r="AO76" s="338" t="n"/>
      <c r="AP76" s="338" t="n"/>
      <c r="AQ76" s="338" t="n"/>
      <c r="AR76" s="338" t="n"/>
      <c r="AS76" s="338" t="n"/>
      <c r="AT76" s="338" t="n"/>
      <c r="AU76" s="338" t="n"/>
      <c r="AV76" s="338" t="n"/>
      <c r="AW76" s="338" t="n"/>
      <c r="AX76" s="338" t="n"/>
      <c r="AY76" s="338" t="n"/>
      <c r="AZ76" s="338" t="n"/>
      <c r="BA76" s="338" t="n"/>
      <c r="BB76" s="338" t="n"/>
      <c r="BC76" s="338" t="n"/>
      <c r="BD76" s="338" t="n"/>
      <c r="BE76" s="338" t="n"/>
      <c r="BF76" s="338" t="n"/>
      <c r="BG76" s="338" t="n"/>
      <c r="BH76" s="338" t="n"/>
      <c r="BI76" s="338" t="n"/>
      <c r="BJ76" s="338" t="n"/>
      <c r="BK76" s="338" t="n"/>
      <c r="BL76" s="338" t="n"/>
      <c r="BM76" s="338" t="n"/>
      <c r="BN76" s="338" t="n"/>
      <c r="BO76" s="338" t="n"/>
      <c r="BP76" s="338" t="n"/>
      <c r="BQ76" s="338" t="n"/>
      <c r="BR76" s="338" t="n"/>
      <c r="BS76" s="338" t="n"/>
      <c r="BT76" s="338" t="n"/>
      <c r="BU76" s="338" t="n"/>
      <c r="BV76" s="338" t="n"/>
      <c r="BW76" s="338" t="n"/>
      <c r="BX76" s="338" t="n"/>
      <c r="BY76" s="338" t="n"/>
      <c r="BZ76" s="338" t="n"/>
      <c r="CA76" s="338" t="n"/>
      <c r="CB76" s="338" t="n"/>
      <c r="CC76" s="383" t="n"/>
      <c r="CF76" s="253" t="inlineStr">
        <is>
          <t>時間内</t>
        </is>
      </c>
      <c r="CG76" s="384" t="n"/>
      <c r="CH76" s="384" t="n"/>
      <c r="CI76" s="385" t="n"/>
      <c r="CJ76" s="386">
        <f>IF(Q75="作業者1",H78-H75,0)</f>
        <v/>
      </c>
      <c r="CK76" s="387" t="n"/>
      <c r="CL76" s="387" t="n"/>
      <c r="CM76" s="387" t="n"/>
      <c r="CN76" s="388" t="n"/>
      <c r="CP76" s="253" t="inlineStr">
        <is>
          <t>時間内</t>
        </is>
      </c>
      <c r="CQ76" s="384" t="n"/>
      <c r="CR76" s="384" t="n"/>
      <c r="CS76" s="385" t="n"/>
      <c r="CT76" s="386">
        <f>IF(Q75="作業者2",H78-H75,0)</f>
        <v/>
      </c>
      <c r="CU76" s="387" t="n"/>
      <c r="CV76" s="387" t="n"/>
      <c r="CW76" s="387" t="n"/>
      <c r="CX76" s="388" t="n"/>
      <c r="CZ76" s="253" t="inlineStr">
        <is>
          <t>時間内</t>
        </is>
      </c>
      <c r="DA76" s="384" t="n"/>
      <c r="DB76" s="384" t="n"/>
      <c r="DC76" s="385" t="n"/>
      <c r="DD76" s="386">
        <f>IF(Q75="作業者3",H78-H75,0)</f>
        <v/>
      </c>
      <c r="DE76" s="387" t="n"/>
      <c r="DF76" s="387" t="n"/>
      <c r="DG76" s="387" t="n"/>
      <c r="DH76" s="388" t="n"/>
      <c r="DJ76" s="253" t="inlineStr">
        <is>
          <t>時間内</t>
        </is>
      </c>
      <c r="DK76" s="384" t="n"/>
      <c r="DL76" s="384" t="n"/>
      <c r="DM76" s="385" t="n"/>
      <c r="DN76" s="386">
        <f>IF(Q75="作業者4",H78-H75,0)</f>
        <v/>
      </c>
      <c r="DO76" s="387" t="n"/>
      <c r="DP76" s="387" t="n"/>
      <c r="DQ76" s="387" t="n"/>
      <c r="DR76" s="388" t="n"/>
      <c r="DT76" s="253" t="inlineStr">
        <is>
          <t>時間内</t>
        </is>
      </c>
      <c r="DU76" s="384" t="n"/>
      <c r="DV76" s="384" t="n"/>
      <c r="DW76" s="385" t="n"/>
      <c r="DX76" s="386">
        <f>IF(Q75="作業者5",H78-H75,0)</f>
        <v/>
      </c>
      <c r="DY76" s="387" t="n"/>
      <c r="DZ76" s="387" t="n"/>
      <c r="EA76" s="387" t="n"/>
      <c r="EB76" s="388" t="n"/>
    </row>
    <row r="77" ht="9" customHeight="1" s="337">
      <c r="B77" s="350" t="n"/>
      <c r="C77" s="338" t="n"/>
      <c r="D77" s="380" t="n"/>
      <c r="E77" s="23" t="n"/>
      <c r="F77" s="338" t="n"/>
      <c r="G77" s="24" t="n"/>
      <c r="H77" s="23" t="n"/>
      <c r="I77" s="338" t="n"/>
      <c r="J77" s="24" t="n"/>
      <c r="K77" s="23" t="n"/>
      <c r="L77" s="338" t="n"/>
      <c r="M77" s="24" t="n"/>
      <c r="N77" s="23" t="n"/>
      <c r="O77" s="338" t="n"/>
      <c r="P77" s="24" t="n"/>
      <c r="Q77" s="382" t="n"/>
      <c r="R77" s="338" t="n"/>
      <c r="S77" s="380" t="n"/>
      <c r="T77" s="382" t="n"/>
      <c r="U77" s="338" t="n"/>
      <c r="V77" s="380" t="n"/>
      <c r="W77" s="382" t="n"/>
      <c r="X77" s="338" t="n"/>
      <c r="Y77" s="338" t="n"/>
      <c r="Z77" s="338" t="n"/>
      <c r="AA77" s="338" t="n"/>
      <c r="AB77" s="338" t="n"/>
      <c r="AC77" s="338" t="n"/>
      <c r="AD77" s="338" t="n"/>
      <c r="AE77" s="338" t="n"/>
      <c r="AF77" s="338" t="n"/>
      <c r="AG77" s="338" t="n"/>
      <c r="AH77" s="338" t="n"/>
      <c r="AI77" s="338" t="n"/>
      <c r="AJ77" s="338" t="n"/>
      <c r="AK77" s="338" t="n"/>
      <c r="AL77" s="338" t="n"/>
      <c r="AM77" s="338" t="n"/>
      <c r="AN77" s="338" t="n"/>
      <c r="AO77" s="338" t="n"/>
      <c r="AP77" s="338" t="n"/>
      <c r="AQ77" s="338" t="n"/>
      <c r="AR77" s="338" t="n"/>
      <c r="AS77" s="338" t="n"/>
      <c r="AT77" s="338" t="n"/>
      <c r="AU77" s="338" t="n"/>
      <c r="AV77" s="338" t="n"/>
      <c r="AW77" s="338" t="n"/>
      <c r="AX77" s="338" t="n"/>
      <c r="AY77" s="338" t="n"/>
      <c r="AZ77" s="338" t="n"/>
      <c r="BA77" s="338" t="n"/>
      <c r="BB77" s="338" t="n"/>
      <c r="BC77" s="338" t="n"/>
      <c r="BD77" s="338" t="n"/>
      <c r="BE77" s="338" t="n"/>
      <c r="BF77" s="338" t="n"/>
      <c r="BG77" s="338" t="n"/>
      <c r="BH77" s="338" t="n"/>
      <c r="BI77" s="338" t="n"/>
      <c r="BJ77" s="338" t="n"/>
      <c r="BK77" s="338" t="n"/>
      <c r="BL77" s="338" t="n"/>
      <c r="BM77" s="338" t="n"/>
      <c r="BN77" s="338" t="n"/>
      <c r="BO77" s="338" t="n"/>
      <c r="BP77" s="338" t="n"/>
      <c r="BQ77" s="338" t="n"/>
      <c r="BR77" s="338" t="n"/>
      <c r="BS77" s="338" t="n"/>
      <c r="BT77" s="338" t="n"/>
      <c r="BU77" s="338" t="n"/>
      <c r="BV77" s="338" t="n"/>
      <c r="BW77" s="338" t="n"/>
      <c r="BX77" s="338" t="n"/>
      <c r="BY77" s="338" t="n"/>
      <c r="BZ77" s="338" t="n"/>
      <c r="CA77" s="338" t="n"/>
      <c r="CB77" s="338" t="n"/>
      <c r="CC77" s="383" t="n"/>
      <c r="CF77" s="253" t="inlineStr">
        <is>
          <t>時間外</t>
        </is>
      </c>
      <c r="CG77" s="384" t="n"/>
      <c r="CH77" s="384" t="n"/>
      <c r="CI77" s="385" t="n"/>
      <c r="CJ77" s="386">
        <f>IF(Q75="作業者1",K78-K75,0)</f>
        <v/>
      </c>
      <c r="CK77" s="387" t="n"/>
      <c r="CL77" s="387" t="n"/>
      <c r="CM77" s="387" t="n"/>
      <c r="CN77" s="388" t="n"/>
      <c r="CP77" s="253" t="inlineStr">
        <is>
          <t>時間外</t>
        </is>
      </c>
      <c r="CQ77" s="384" t="n"/>
      <c r="CR77" s="384" t="n"/>
      <c r="CS77" s="385" t="n"/>
      <c r="CT77" s="386">
        <f>IF(Q75="作業者2",K78-K75,0)</f>
        <v/>
      </c>
      <c r="CU77" s="387" t="n"/>
      <c r="CV77" s="387" t="n"/>
      <c r="CW77" s="387" t="n"/>
      <c r="CX77" s="388" t="n"/>
      <c r="CZ77" s="253" t="inlineStr">
        <is>
          <t>時間外</t>
        </is>
      </c>
      <c r="DA77" s="384" t="n"/>
      <c r="DB77" s="384" t="n"/>
      <c r="DC77" s="385" t="n"/>
      <c r="DD77" s="386">
        <f>IF(Q75="作業者3",K78-K75,0)</f>
        <v/>
      </c>
      <c r="DE77" s="387" t="n"/>
      <c r="DF77" s="387" t="n"/>
      <c r="DG77" s="387" t="n"/>
      <c r="DH77" s="388" t="n"/>
      <c r="DJ77" s="253" t="inlineStr">
        <is>
          <t>時間外</t>
        </is>
      </c>
      <c r="DK77" s="384" t="n"/>
      <c r="DL77" s="384" t="n"/>
      <c r="DM77" s="385" t="n"/>
      <c r="DN77" s="386">
        <f>IF(Q75="作業者4",K78-K75,0)</f>
        <v/>
      </c>
      <c r="DO77" s="387" t="n"/>
      <c r="DP77" s="387" t="n"/>
      <c r="DQ77" s="387" t="n"/>
      <c r="DR77" s="388" t="n"/>
      <c r="DT77" s="253" t="inlineStr">
        <is>
          <t>時間外</t>
        </is>
      </c>
      <c r="DU77" s="384" t="n"/>
      <c r="DV77" s="384" t="n"/>
      <c r="DW77" s="385" t="n"/>
      <c r="DX77" s="386">
        <f>IF(Q75="作業者5",K78-K75,0)</f>
        <v/>
      </c>
      <c r="DY77" s="387" t="n"/>
      <c r="DZ77" s="387" t="n"/>
      <c r="EA77" s="387" t="n"/>
      <c r="EB77" s="388" t="n"/>
    </row>
    <row r="78" ht="9" customHeight="1" s="337">
      <c r="B78" s="389" t="n"/>
      <c r="C78" s="390" t="n"/>
      <c r="D78" s="391" t="n"/>
      <c r="E78" s="392" t="n"/>
      <c r="F78" s="390" t="n"/>
      <c r="G78" s="391" t="n"/>
      <c r="H78" s="392" t="n"/>
      <c r="I78" s="390" t="n"/>
      <c r="J78" s="391" t="n"/>
      <c r="K78" s="392" t="n"/>
      <c r="L78" s="390" t="n"/>
      <c r="M78" s="391" t="n"/>
      <c r="N78" s="392" t="n"/>
      <c r="O78" s="390" t="n"/>
      <c r="P78" s="391" t="n"/>
      <c r="Q78" s="393" t="n"/>
      <c r="R78" s="390" t="n"/>
      <c r="S78" s="391" t="n"/>
      <c r="T78" s="393" t="n"/>
      <c r="U78" s="390" t="n"/>
      <c r="V78" s="391" t="n"/>
      <c r="W78" s="393" t="n"/>
      <c r="X78" s="390" t="n"/>
      <c r="Y78" s="390" t="n"/>
      <c r="Z78" s="390" t="n"/>
      <c r="AA78" s="390" t="n"/>
      <c r="AB78" s="390" t="n"/>
      <c r="AC78" s="390" t="n"/>
      <c r="AD78" s="390" t="n"/>
      <c r="AE78" s="390" t="n"/>
      <c r="AF78" s="390" t="n"/>
      <c r="AG78" s="390" t="n"/>
      <c r="AH78" s="390" t="n"/>
      <c r="AI78" s="390" t="n"/>
      <c r="AJ78" s="390" t="n"/>
      <c r="AK78" s="390" t="n"/>
      <c r="AL78" s="390" t="n"/>
      <c r="AM78" s="390" t="n"/>
      <c r="AN78" s="390" t="n"/>
      <c r="AO78" s="390" t="n"/>
      <c r="AP78" s="390" t="n"/>
      <c r="AQ78" s="390" t="n"/>
      <c r="AR78" s="390" t="n"/>
      <c r="AS78" s="390" t="n"/>
      <c r="AT78" s="390" t="n"/>
      <c r="AU78" s="390" t="n"/>
      <c r="AV78" s="390" t="n"/>
      <c r="AW78" s="390" t="n"/>
      <c r="AX78" s="390" t="n"/>
      <c r="AY78" s="390" t="n"/>
      <c r="AZ78" s="390" t="n"/>
      <c r="BA78" s="390" t="n"/>
      <c r="BB78" s="390" t="n"/>
      <c r="BC78" s="390" t="n"/>
      <c r="BD78" s="390" t="n"/>
      <c r="BE78" s="390" t="n"/>
      <c r="BF78" s="390" t="n"/>
      <c r="BG78" s="390" t="n"/>
      <c r="BH78" s="390" t="n"/>
      <c r="BI78" s="390" t="n"/>
      <c r="BJ78" s="390" t="n"/>
      <c r="BK78" s="390" t="n"/>
      <c r="BL78" s="390" t="n"/>
      <c r="BM78" s="390" t="n"/>
      <c r="BN78" s="390" t="n"/>
      <c r="BO78" s="390" t="n"/>
      <c r="BP78" s="390" t="n"/>
      <c r="BQ78" s="390" t="n"/>
      <c r="BR78" s="390" t="n"/>
      <c r="BS78" s="390" t="n"/>
      <c r="BT78" s="390" t="n"/>
      <c r="BU78" s="390" t="n"/>
      <c r="BV78" s="390" t="n"/>
      <c r="BW78" s="390" t="n"/>
      <c r="BX78" s="390" t="n"/>
      <c r="BY78" s="390" t="n"/>
      <c r="BZ78" s="390" t="n"/>
      <c r="CA78" s="390" t="n"/>
      <c r="CB78" s="390" t="n"/>
      <c r="CC78" s="394" t="n"/>
      <c r="CF78" s="254" t="inlineStr">
        <is>
          <t>休日</t>
        </is>
      </c>
      <c r="CG78" s="395" t="n"/>
      <c r="CH78" s="395" t="n"/>
      <c r="CI78" s="396" t="n"/>
      <c r="CJ78" s="397">
        <f>IF(Q75="作業者1",N78-N75,0)</f>
        <v/>
      </c>
      <c r="CK78" s="395" t="n"/>
      <c r="CL78" s="395" t="n"/>
      <c r="CM78" s="395" t="n"/>
      <c r="CN78" s="396" t="n"/>
      <c r="CP78" s="254" t="inlineStr">
        <is>
          <t>休日</t>
        </is>
      </c>
      <c r="CQ78" s="395" t="n"/>
      <c r="CR78" s="395" t="n"/>
      <c r="CS78" s="396" t="n"/>
      <c r="CT78" s="397">
        <f>IF(Q75="作業者2",N78-N75,0)</f>
        <v/>
      </c>
      <c r="CU78" s="395" t="n"/>
      <c r="CV78" s="395" t="n"/>
      <c r="CW78" s="395" t="n"/>
      <c r="CX78" s="396" t="n"/>
      <c r="CZ78" s="254" t="inlineStr">
        <is>
          <t>休日</t>
        </is>
      </c>
      <c r="DA78" s="395" t="n"/>
      <c r="DB78" s="395" t="n"/>
      <c r="DC78" s="396" t="n"/>
      <c r="DD78" s="397">
        <f>IF(Q75="作業者3",N78-N75,0)</f>
        <v/>
      </c>
      <c r="DE78" s="395" t="n"/>
      <c r="DF78" s="395" t="n"/>
      <c r="DG78" s="395" t="n"/>
      <c r="DH78" s="396" t="n"/>
      <c r="DJ78" s="254" t="inlineStr">
        <is>
          <t>休日</t>
        </is>
      </c>
      <c r="DK78" s="395" t="n"/>
      <c r="DL78" s="395" t="n"/>
      <c r="DM78" s="396" t="n"/>
      <c r="DN78" s="397">
        <f>IF(Q75="作業者4",N78-N75,0)</f>
        <v/>
      </c>
      <c r="DO78" s="395" t="n"/>
      <c r="DP78" s="395" t="n"/>
      <c r="DQ78" s="395" t="n"/>
      <c r="DR78" s="396" t="n"/>
      <c r="DT78" s="254" t="inlineStr">
        <is>
          <t>休日</t>
        </is>
      </c>
      <c r="DU78" s="395" t="n"/>
      <c r="DV78" s="395" t="n"/>
      <c r="DW78" s="396" t="n"/>
      <c r="DX78" s="397">
        <f>IF(Q75="作業者5",N78-N75,0)</f>
        <v/>
      </c>
      <c r="DY78" s="395" t="n"/>
      <c r="DZ78" s="395" t="n"/>
      <c r="EA78" s="395" t="n"/>
      <c r="EB78" s="396" t="n"/>
    </row>
    <row r="79" ht="9" customHeight="1" s="337">
      <c r="B79" s="398" t="n"/>
      <c r="C79" s="372" t="n"/>
      <c r="D79" s="373" t="n"/>
      <c r="E79" s="399" t="n"/>
      <c r="F79" s="372" t="n"/>
      <c r="G79" s="373" t="n"/>
      <c r="H79" s="399" t="n"/>
      <c r="I79" s="372" t="n"/>
      <c r="J79" s="373" t="n"/>
      <c r="K79" s="399" t="n"/>
      <c r="L79" s="372" t="n"/>
      <c r="M79" s="373" t="n"/>
      <c r="N79" s="399" t="n"/>
      <c r="O79" s="372" t="n"/>
      <c r="P79" s="373" t="n"/>
      <c r="Q79" s="371" t="n"/>
      <c r="R79" s="372" t="n"/>
      <c r="S79" s="373" t="n"/>
      <c r="T79" s="371" t="n"/>
      <c r="U79" s="372" t="n"/>
      <c r="V79" s="373" t="n"/>
      <c r="W79" s="443" t="n"/>
      <c r="X79" s="372" t="n"/>
      <c r="Y79" s="372" t="n"/>
      <c r="Z79" s="372" t="n"/>
      <c r="AA79" s="372" t="n"/>
      <c r="AB79" s="372" t="n"/>
      <c r="AC79" s="372" t="n"/>
      <c r="AD79" s="372" t="n"/>
      <c r="AE79" s="372" t="n"/>
      <c r="AF79" s="372" t="n"/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AQ79" s="372" t="n"/>
      <c r="AR79" s="372" t="n"/>
      <c r="AS79" s="372" t="n"/>
      <c r="AT79" s="372" t="n"/>
      <c r="AU79" s="372" t="n"/>
      <c r="AV79" s="372" t="n"/>
      <c r="AW79" s="372" t="n"/>
      <c r="AX79" s="372" t="n"/>
      <c r="AY79" s="372" t="n"/>
      <c r="AZ79" s="372" t="n"/>
      <c r="BA79" s="372" t="n"/>
      <c r="BB79" s="372" t="n"/>
      <c r="BC79" s="372" t="n"/>
      <c r="BD79" s="372" t="n"/>
      <c r="BE79" s="372" t="n"/>
      <c r="BF79" s="372" t="n"/>
      <c r="BG79" s="372" t="n"/>
      <c r="BH79" s="372" t="n"/>
      <c r="BI79" s="372" t="n"/>
      <c r="BJ79" s="372" t="n"/>
      <c r="BK79" s="372" t="n"/>
      <c r="BL79" s="372" t="n"/>
      <c r="BM79" s="372" t="n"/>
      <c r="BN79" s="372" t="n"/>
      <c r="BO79" s="372" t="n"/>
      <c r="BP79" s="372" t="n"/>
      <c r="BQ79" s="372" t="n"/>
      <c r="BR79" s="372" t="n"/>
      <c r="BS79" s="372" t="n"/>
      <c r="BT79" s="372" t="n"/>
      <c r="BU79" s="372" t="n"/>
      <c r="BV79" s="372" t="n"/>
      <c r="BW79" s="372" t="n"/>
      <c r="BX79" s="372" t="n"/>
      <c r="BY79" s="372" t="n"/>
      <c r="BZ79" s="372" t="n"/>
      <c r="CA79" s="372" t="n"/>
      <c r="CB79" s="372" t="n"/>
      <c r="CC79" s="402" t="n"/>
      <c r="CF79" s="248" t="inlineStr">
        <is>
          <t>移動</t>
        </is>
      </c>
      <c r="CG79" s="377" t="n"/>
      <c r="CH79" s="377" t="n"/>
      <c r="CI79" s="378" t="n"/>
      <c r="CJ79" s="379">
        <f>IF(Q79="作業者1",E82-E79,0)</f>
        <v/>
      </c>
      <c r="CK79" s="377" t="n"/>
      <c r="CL79" s="377" t="n"/>
      <c r="CM79" s="377" t="n"/>
      <c r="CN79" s="378" t="n"/>
      <c r="CP79" s="248" t="inlineStr">
        <is>
          <t>移動</t>
        </is>
      </c>
      <c r="CQ79" s="377" t="n"/>
      <c r="CR79" s="377" t="n"/>
      <c r="CS79" s="378" t="n"/>
      <c r="CT79" s="379">
        <f>IF(Q79="作業者2",E82-E79,0)</f>
        <v/>
      </c>
      <c r="CU79" s="377" t="n"/>
      <c r="CV79" s="377" t="n"/>
      <c r="CW79" s="377" t="n"/>
      <c r="CX79" s="378" t="n"/>
      <c r="CZ79" s="248" t="inlineStr">
        <is>
          <t>移動</t>
        </is>
      </c>
      <c r="DA79" s="377" t="n"/>
      <c r="DB79" s="377" t="n"/>
      <c r="DC79" s="378" t="n"/>
      <c r="DD79" s="379">
        <f>IF(Q79="作業者3",E82-E79,0)</f>
        <v/>
      </c>
      <c r="DE79" s="377" t="n"/>
      <c r="DF79" s="377" t="n"/>
      <c r="DG79" s="377" t="n"/>
      <c r="DH79" s="378" t="n"/>
      <c r="DJ79" s="248" t="inlineStr">
        <is>
          <t>移動</t>
        </is>
      </c>
      <c r="DK79" s="377" t="n"/>
      <c r="DL79" s="377" t="n"/>
      <c r="DM79" s="378" t="n"/>
      <c r="DN79" s="379">
        <f>IF(Q79="作業者4",E82-E79,0)</f>
        <v/>
      </c>
      <c r="DO79" s="377" t="n"/>
      <c r="DP79" s="377" t="n"/>
      <c r="DQ79" s="377" t="n"/>
      <c r="DR79" s="378" t="n"/>
      <c r="DT79" s="259" t="inlineStr">
        <is>
          <t>移動</t>
        </is>
      </c>
      <c r="DU79" s="403" t="n"/>
      <c r="DV79" s="403" t="n"/>
      <c r="DW79" s="404" t="n"/>
      <c r="DX79" s="379">
        <f>IF(Q79="作業者5",E82-E79,0)</f>
        <v/>
      </c>
      <c r="DY79" s="377" t="n"/>
      <c r="DZ79" s="377" t="n"/>
      <c r="EA79" s="377" t="n"/>
      <c r="EB79" s="378" t="n"/>
    </row>
    <row r="80" ht="9" customHeight="1" s="337">
      <c r="B80" s="350" t="n"/>
      <c r="C80" s="338" t="n"/>
      <c r="D80" s="380" t="n"/>
      <c r="E80" s="381" t="n"/>
      <c r="F80" s="122" t="inlineStr">
        <is>
          <t>～</t>
        </is>
      </c>
      <c r="G80" s="22" t="n"/>
      <c r="H80" s="381" t="n"/>
      <c r="I80" s="122" t="inlineStr">
        <is>
          <t>～</t>
        </is>
      </c>
      <c r="J80" s="22" t="n"/>
      <c r="K80" s="381" t="n"/>
      <c r="L80" s="122" t="inlineStr">
        <is>
          <t>～</t>
        </is>
      </c>
      <c r="M80" s="22" t="n"/>
      <c r="N80" s="381" t="n"/>
      <c r="O80" s="122" t="inlineStr">
        <is>
          <t>～</t>
        </is>
      </c>
      <c r="P80" s="22" t="n"/>
      <c r="Q80" s="382" t="n"/>
      <c r="R80" s="338" t="n"/>
      <c r="S80" s="380" t="n"/>
      <c r="T80" s="382" t="n"/>
      <c r="U80" s="338" t="n"/>
      <c r="V80" s="380" t="n"/>
      <c r="W80" s="382" t="n"/>
      <c r="X80" s="338" t="n"/>
      <c r="Y80" s="338" t="n"/>
      <c r="Z80" s="338" t="n"/>
      <c r="AA80" s="338" t="n"/>
      <c r="AB80" s="338" t="n"/>
      <c r="AC80" s="338" t="n"/>
      <c r="AD80" s="338" t="n"/>
      <c r="AE80" s="338" t="n"/>
      <c r="AF80" s="338" t="n"/>
      <c r="AG80" s="338" t="n"/>
      <c r="AH80" s="338" t="n"/>
      <c r="AI80" s="338" t="n"/>
      <c r="AJ80" s="338" t="n"/>
      <c r="AK80" s="338" t="n"/>
      <c r="AL80" s="338" t="n"/>
      <c r="AM80" s="338" t="n"/>
      <c r="AN80" s="338" t="n"/>
      <c r="AO80" s="338" t="n"/>
      <c r="AP80" s="338" t="n"/>
      <c r="AQ80" s="338" t="n"/>
      <c r="AR80" s="338" t="n"/>
      <c r="AS80" s="338" t="n"/>
      <c r="AT80" s="338" t="n"/>
      <c r="AU80" s="338" t="n"/>
      <c r="AV80" s="338" t="n"/>
      <c r="AW80" s="338" t="n"/>
      <c r="AX80" s="338" t="n"/>
      <c r="AY80" s="338" t="n"/>
      <c r="AZ80" s="338" t="n"/>
      <c r="BA80" s="338" t="n"/>
      <c r="BB80" s="338" t="n"/>
      <c r="BC80" s="338" t="n"/>
      <c r="BD80" s="338" t="n"/>
      <c r="BE80" s="338" t="n"/>
      <c r="BF80" s="338" t="n"/>
      <c r="BG80" s="338" t="n"/>
      <c r="BH80" s="338" t="n"/>
      <c r="BI80" s="338" t="n"/>
      <c r="BJ80" s="338" t="n"/>
      <c r="BK80" s="338" t="n"/>
      <c r="BL80" s="338" t="n"/>
      <c r="BM80" s="338" t="n"/>
      <c r="BN80" s="338" t="n"/>
      <c r="BO80" s="338" t="n"/>
      <c r="BP80" s="338" t="n"/>
      <c r="BQ80" s="338" t="n"/>
      <c r="BR80" s="338" t="n"/>
      <c r="BS80" s="338" t="n"/>
      <c r="BT80" s="338" t="n"/>
      <c r="BU80" s="338" t="n"/>
      <c r="BV80" s="338" t="n"/>
      <c r="BW80" s="338" t="n"/>
      <c r="BX80" s="338" t="n"/>
      <c r="BY80" s="338" t="n"/>
      <c r="BZ80" s="338" t="n"/>
      <c r="CA80" s="338" t="n"/>
      <c r="CB80" s="338" t="n"/>
      <c r="CC80" s="383" t="n"/>
      <c r="CF80" s="253" t="inlineStr">
        <is>
          <t>時間内</t>
        </is>
      </c>
      <c r="CG80" s="384" t="n"/>
      <c r="CH80" s="384" t="n"/>
      <c r="CI80" s="385" t="n"/>
      <c r="CJ80" s="386">
        <f>IF(Q79="作業者1",H82-H79,0)</f>
        <v/>
      </c>
      <c r="CK80" s="387" t="n"/>
      <c r="CL80" s="387" t="n"/>
      <c r="CM80" s="387" t="n"/>
      <c r="CN80" s="388" t="n"/>
      <c r="CP80" s="253" t="inlineStr">
        <is>
          <t>時間内</t>
        </is>
      </c>
      <c r="CQ80" s="384" t="n"/>
      <c r="CR80" s="384" t="n"/>
      <c r="CS80" s="385" t="n"/>
      <c r="CT80" s="386">
        <f>IF(Q79="作業者2",H82-H79,0)</f>
        <v/>
      </c>
      <c r="CU80" s="387" t="n"/>
      <c r="CV80" s="387" t="n"/>
      <c r="CW80" s="387" t="n"/>
      <c r="CX80" s="388" t="n"/>
      <c r="CZ80" s="253" t="inlineStr">
        <is>
          <t>時間内</t>
        </is>
      </c>
      <c r="DA80" s="384" t="n"/>
      <c r="DB80" s="384" t="n"/>
      <c r="DC80" s="385" t="n"/>
      <c r="DD80" s="386">
        <f>IF(Q79="作業者3",H82-H79,0)</f>
        <v/>
      </c>
      <c r="DE80" s="387" t="n"/>
      <c r="DF80" s="387" t="n"/>
      <c r="DG80" s="387" t="n"/>
      <c r="DH80" s="388" t="n"/>
      <c r="DJ80" s="253" t="inlineStr">
        <is>
          <t>時間内</t>
        </is>
      </c>
      <c r="DK80" s="384" t="n"/>
      <c r="DL80" s="384" t="n"/>
      <c r="DM80" s="385" t="n"/>
      <c r="DN80" s="386">
        <f>IF(Q79="作業者4",H82-H79,0)</f>
        <v/>
      </c>
      <c r="DO80" s="387" t="n"/>
      <c r="DP80" s="387" t="n"/>
      <c r="DQ80" s="387" t="n"/>
      <c r="DR80" s="388" t="n"/>
      <c r="DT80" s="253" t="inlineStr">
        <is>
          <t>時間内</t>
        </is>
      </c>
      <c r="DU80" s="384" t="n"/>
      <c r="DV80" s="384" t="n"/>
      <c r="DW80" s="385" t="n"/>
      <c r="DX80" s="386">
        <f>IF(Q79="作業者5",H82-H79,0)</f>
        <v/>
      </c>
      <c r="DY80" s="387" t="n"/>
      <c r="DZ80" s="387" t="n"/>
      <c r="EA80" s="387" t="n"/>
      <c r="EB80" s="388" t="n"/>
    </row>
    <row r="81" ht="9" customHeight="1" s="337">
      <c r="B81" s="350" t="n"/>
      <c r="C81" s="338" t="n"/>
      <c r="D81" s="380" t="n"/>
      <c r="E81" s="23" t="n"/>
      <c r="F81" s="338" t="n"/>
      <c r="G81" s="24" t="n"/>
      <c r="H81" s="23" t="n"/>
      <c r="I81" s="338" t="n"/>
      <c r="J81" s="24" t="n"/>
      <c r="K81" s="23" t="n"/>
      <c r="L81" s="338" t="n"/>
      <c r="M81" s="24" t="n"/>
      <c r="N81" s="23" t="n"/>
      <c r="O81" s="338" t="n"/>
      <c r="P81" s="24" t="n"/>
      <c r="Q81" s="382" t="n"/>
      <c r="R81" s="338" t="n"/>
      <c r="S81" s="380" t="n"/>
      <c r="T81" s="382" t="n"/>
      <c r="U81" s="338" t="n"/>
      <c r="V81" s="380" t="n"/>
      <c r="W81" s="382" t="n"/>
      <c r="X81" s="338" t="n"/>
      <c r="Y81" s="338" t="n"/>
      <c r="Z81" s="338" t="n"/>
      <c r="AA81" s="338" t="n"/>
      <c r="AB81" s="338" t="n"/>
      <c r="AC81" s="338" t="n"/>
      <c r="AD81" s="338" t="n"/>
      <c r="AE81" s="338" t="n"/>
      <c r="AF81" s="338" t="n"/>
      <c r="AG81" s="338" t="n"/>
      <c r="AH81" s="338" t="n"/>
      <c r="AI81" s="338" t="n"/>
      <c r="AJ81" s="338" t="n"/>
      <c r="AK81" s="338" t="n"/>
      <c r="AL81" s="338" t="n"/>
      <c r="AM81" s="338" t="n"/>
      <c r="AN81" s="338" t="n"/>
      <c r="AO81" s="338" t="n"/>
      <c r="AP81" s="338" t="n"/>
      <c r="AQ81" s="338" t="n"/>
      <c r="AR81" s="338" t="n"/>
      <c r="AS81" s="338" t="n"/>
      <c r="AT81" s="338" t="n"/>
      <c r="AU81" s="338" t="n"/>
      <c r="AV81" s="338" t="n"/>
      <c r="AW81" s="338" t="n"/>
      <c r="AX81" s="338" t="n"/>
      <c r="AY81" s="338" t="n"/>
      <c r="AZ81" s="338" t="n"/>
      <c r="BA81" s="338" t="n"/>
      <c r="BB81" s="338" t="n"/>
      <c r="BC81" s="338" t="n"/>
      <c r="BD81" s="338" t="n"/>
      <c r="BE81" s="338" t="n"/>
      <c r="BF81" s="338" t="n"/>
      <c r="BG81" s="338" t="n"/>
      <c r="BH81" s="338" t="n"/>
      <c r="BI81" s="338" t="n"/>
      <c r="BJ81" s="338" t="n"/>
      <c r="BK81" s="338" t="n"/>
      <c r="BL81" s="338" t="n"/>
      <c r="BM81" s="338" t="n"/>
      <c r="BN81" s="338" t="n"/>
      <c r="BO81" s="338" t="n"/>
      <c r="BP81" s="338" t="n"/>
      <c r="BQ81" s="338" t="n"/>
      <c r="BR81" s="338" t="n"/>
      <c r="BS81" s="338" t="n"/>
      <c r="BT81" s="338" t="n"/>
      <c r="BU81" s="338" t="n"/>
      <c r="BV81" s="338" t="n"/>
      <c r="BW81" s="338" t="n"/>
      <c r="BX81" s="338" t="n"/>
      <c r="BY81" s="338" t="n"/>
      <c r="BZ81" s="338" t="n"/>
      <c r="CA81" s="338" t="n"/>
      <c r="CB81" s="338" t="n"/>
      <c r="CC81" s="383" t="n"/>
      <c r="CF81" s="253" t="inlineStr">
        <is>
          <t>時間外</t>
        </is>
      </c>
      <c r="CG81" s="384" t="n"/>
      <c r="CH81" s="384" t="n"/>
      <c r="CI81" s="385" t="n"/>
      <c r="CJ81" s="386">
        <f>IF(Q79="作業者1",K82-K79,0)</f>
        <v/>
      </c>
      <c r="CK81" s="387" t="n"/>
      <c r="CL81" s="387" t="n"/>
      <c r="CM81" s="387" t="n"/>
      <c r="CN81" s="388" t="n"/>
      <c r="CP81" s="253" t="inlineStr">
        <is>
          <t>時間外</t>
        </is>
      </c>
      <c r="CQ81" s="384" t="n"/>
      <c r="CR81" s="384" t="n"/>
      <c r="CS81" s="385" t="n"/>
      <c r="CT81" s="386">
        <f>IF(Q79="作業者2",K82-K79,0)</f>
        <v/>
      </c>
      <c r="CU81" s="387" t="n"/>
      <c r="CV81" s="387" t="n"/>
      <c r="CW81" s="387" t="n"/>
      <c r="CX81" s="388" t="n"/>
      <c r="CZ81" s="253" t="inlineStr">
        <is>
          <t>時間外</t>
        </is>
      </c>
      <c r="DA81" s="384" t="n"/>
      <c r="DB81" s="384" t="n"/>
      <c r="DC81" s="385" t="n"/>
      <c r="DD81" s="386">
        <f>IF(Q79="作業者3",K82-K79,0)</f>
        <v/>
      </c>
      <c r="DE81" s="387" t="n"/>
      <c r="DF81" s="387" t="n"/>
      <c r="DG81" s="387" t="n"/>
      <c r="DH81" s="388" t="n"/>
      <c r="DJ81" s="253" t="inlineStr">
        <is>
          <t>時間外</t>
        </is>
      </c>
      <c r="DK81" s="384" t="n"/>
      <c r="DL81" s="384" t="n"/>
      <c r="DM81" s="385" t="n"/>
      <c r="DN81" s="386">
        <f>IF(Q79="作業者4",K82-K79,0)</f>
        <v/>
      </c>
      <c r="DO81" s="387" t="n"/>
      <c r="DP81" s="387" t="n"/>
      <c r="DQ81" s="387" t="n"/>
      <c r="DR81" s="388" t="n"/>
      <c r="DT81" s="253" t="inlineStr">
        <is>
          <t>時間外</t>
        </is>
      </c>
      <c r="DU81" s="384" t="n"/>
      <c r="DV81" s="384" t="n"/>
      <c r="DW81" s="385" t="n"/>
      <c r="DX81" s="386">
        <f>IF(Q79="作業者5",K82-K79,0)</f>
        <v/>
      </c>
      <c r="DY81" s="387" t="n"/>
      <c r="DZ81" s="387" t="n"/>
      <c r="EA81" s="387" t="n"/>
      <c r="EB81" s="388" t="n"/>
    </row>
    <row r="82" ht="9" customHeight="1" s="337">
      <c r="B82" s="389" t="n"/>
      <c r="C82" s="390" t="n"/>
      <c r="D82" s="391" t="n"/>
      <c r="E82" s="392" t="n"/>
      <c r="F82" s="390" t="n"/>
      <c r="G82" s="391" t="n"/>
      <c r="H82" s="392" t="n"/>
      <c r="I82" s="390" t="n"/>
      <c r="J82" s="391" t="n"/>
      <c r="K82" s="392" t="n"/>
      <c r="L82" s="390" t="n"/>
      <c r="M82" s="391" t="n"/>
      <c r="N82" s="392" t="n"/>
      <c r="O82" s="390" t="n"/>
      <c r="P82" s="391" t="n"/>
      <c r="Q82" s="393" t="n"/>
      <c r="R82" s="390" t="n"/>
      <c r="S82" s="391" t="n"/>
      <c r="T82" s="393" t="n"/>
      <c r="U82" s="390" t="n"/>
      <c r="V82" s="391" t="n"/>
      <c r="W82" s="393" t="n"/>
      <c r="X82" s="390" t="n"/>
      <c r="Y82" s="390" t="n"/>
      <c r="Z82" s="390" t="n"/>
      <c r="AA82" s="390" t="n"/>
      <c r="AB82" s="390" t="n"/>
      <c r="AC82" s="390" t="n"/>
      <c r="AD82" s="390" t="n"/>
      <c r="AE82" s="390" t="n"/>
      <c r="AF82" s="390" t="n"/>
      <c r="AG82" s="390" t="n"/>
      <c r="AH82" s="390" t="n"/>
      <c r="AI82" s="390" t="n"/>
      <c r="AJ82" s="390" t="n"/>
      <c r="AK82" s="390" t="n"/>
      <c r="AL82" s="390" t="n"/>
      <c r="AM82" s="390" t="n"/>
      <c r="AN82" s="390" t="n"/>
      <c r="AO82" s="390" t="n"/>
      <c r="AP82" s="390" t="n"/>
      <c r="AQ82" s="390" t="n"/>
      <c r="AR82" s="390" t="n"/>
      <c r="AS82" s="390" t="n"/>
      <c r="AT82" s="390" t="n"/>
      <c r="AU82" s="390" t="n"/>
      <c r="AV82" s="390" t="n"/>
      <c r="AW82" s="390" t="n"/>
      <c r="AX82" s="390" t="n"/>
      <c r="AY82" s="390" t="n"/>
      <c r="AZ82" s="390" t="n"/>
      <c r="BA82" s="390" t="n"/>
      <c r="BB82" s="390" t="n"/>
      <c r="BC82" s="390" t="n"/>
      <c r="BD82" s="390" t="n"/>
      <c r="BE82" s="390" t="n"/>
      <c r="BF82" s="390" t="n"/>
      <c r="BG82" s="390" t="n"/>
      <c r="BH82" s="390" t="n"/>
      <c r="BI82" s="390" t="n"/>
      <c r="BJ82" s="390" t="n"/>
      <c r="BK82" s="390" t="n"/>
      <c r="BL82" s="390" t="n"/>
      <c r="BM82" s="390" t="n"/>
      <c r="BN82" s="390" t="n"/>
      <c r="BO82" s="390" t="n"/>
      <c r="BP82" s="390" t="n"/>
      <c r="BQ82" s="390" t="n"/>
      <c r="BR82" s="390" t="n"/>
      <c r="BS82" s="390" t="n"/>
      <c r="BT82" s="390" t="n"/>
      <c r="BU82" s="390" t="n"/>
      <c r="BV82" s="390" t="n"/>
      <c r="BW82" s="390" t="n"/>
      <c r="BX82" s="390" t="n"/>
      <c r="BY82" s="390" t="n"/>
      <c r="BZ82" s="390" t="n"/>
      <c r="CA82" s="390" t="n"/>
      <c r="CB82" s="390" t="n"/>
      <c r="CC82" s="394" t="n"/>
      <c r="CF82" s="254" t="inlineStr">
        <is>
          <t>休日</t>
        </is>
      </c>
      <c r="CG82" s="395" t="n"/>
      <c r="CH82" s="395" t="n"/>
      <c r="CI82" s="396" t="n"/>
      <c r="CJ82" s="386">
        <f>IF(Q79="作業者1",N82-N79,0)</f>
        <v/>
      </c>
      <c r="CK82" s="387" t="n"/>
      <c r="CL82" s="387" t="n"/>
      <c r="CM82" s="387" t="n"/>
      <c r="CN82" s="388" t="n"/>
      <c r="CP82" s="253" t="inlineStr">
        <is>
          <t>休日</t>
        </is>
      </c>
      <c r="CQ82" s="384" t="n"/>
      <c r="CR82" s="384" t="n"/>
      <c r="CS82" s="385" t="n"/>
      <c r="CT82" s="386">
        <f>IF(Q79="作業者2",N82-N79,0)</f>
        <v/>
      </c>
      <c r="CU82" s="387" t="n"/>
      <c r="CV82" s="387" t="n"/>
      <c r="CW82" s="387" t="n"/>
      <c r="CX82" s="388" t="n"/>
      <c r="CZ82" s="254" t="inlineStr">
        <is>
          <t>休日</t>
        </is>
      </c>
      <c r="DA82" s="395" t="n"/>
      <c r="DB82" s="395" t="n"/>
      <c r="DC82" s="396" t="n"/>
      <c r="DD82" s="397">
        <f>IF(Q79="作業者3",N82-N79,0)</f>
        <v/>
      </c>
      <c r="DE82" s="395" t="n"/>
      <c r="DF82" s="395" t="n"/>
      <c r="DG82" s="395" t="n"/>
      <c r="DH82" s="396" t="n"/>
      <c r="DJ82" s="254" t="inlineStr">
        <is>
          <t>休日</t>
        </is>
      </c>
      <c r="DK82" s="395" t="n"/>
      <c r="DL82" s="395" t="n"/>
      <c r="DM82" s="396" t="n"/>
      <c r="DN82" s="397">
        <f>IF(Q79="作業者4",N82-N79,0)</f>
        <v/>
      </c>
      <c r="DO82" s="395" t="n"/>
      <c r="DP82" s="395" t="n"/>
      <c r="DQ82" s="395" t="n"/>
      <c r="DR82" s="396" t="n"/>
      <c r="DT82" s="254" t="inlineStr">
        <is>
          <t>休日</t>
        </is>
      </c>
      <c r="DU82" s="395" t="n"/>
      <c r="DV82" s="395" t="n"/>
      <c r="DW82" s="396" t="n"/>
      <c r="DX82" s="397">
        <f>IF(Q79="作業者5",N82-N79,0)</f>
        <v/>
      </c>
      <c r="DY82" s="395" t="n"/>
      <c r="DZ82" s="395" t="n"/>
      <c r="EA82" s="395" t="n"/>
      <c r="EB82" s="396" t="n"/>
    </row>
    <row r="83" ht="9" customHeight="1" s="337">
      <c r="B83" s="398" t="n"/>
      <c r="C83" s="372" t="n"/>
      <c r="D83" s="373" t="n"/>
      <c r="E83" s="399" t="n"/>
      <c r="F83" s="372" t="n"/>
      <c r="G83" s="373" t="n"/>
      <c r="H83" s="399" t="n"/>
      <c r="I83" s="372" t="n"/>
      <c r="J83" s="373" t="n"/>
      <c r="K83" s="399" t="n"/>
      <c r="L83" s="372" t="n"/>
      <c r="M83" s="373" t="n"/>
      <c r="N83" s="399" t="n"/>
      <c r="O83" s="372" t="n"/>
      <c r="P83" s="373" t="n"/>
      <c r="Q83" s="371" t="n"/>
      <c r="R83" s="372" t="n"/>
      <c r="S83" s="373" t="n"/>
      <c r="T83" s="371" t="n"/>
      <c r="U83" s="372" t="n"/>
      <c r="V83" s="373" t="n"/>
      <c r="W83" s="443" t="n"/>
      <c r="X83" s="372" t="n"/>
      <c r="Y83" s="372" t="n"/>
      <c r="Z83" s="372" t="n"/>
      <c r="AA83" s="372" t="n"/>
      <c r="AB83" s="372" t="n"/>
      <c r="AC83" s="372" t="n"/>
      <c r="AD83" s="372" t="n"/>
      <c r="AE83" s="372" t="n"/>
      <c r="AF83" s="372" t="n"/>
      <c r="AG83" s="372" t="n"/>
      <c r="AH83" s="372" t="n"/>
      <c r="AI83" s="372" t="n"/>
      <c r="AJ83" s="372" t="n"/>
      <c r="AK83" s="372" t="n"/>
      <c r="AL83" s="372" t="n"/>
      <c r="AM83" s="372" t="n"/>
      <c r="AN83" s="372" t="n"/>
      <c r="AO83" s="372" t="n"/>
      <c r="AP83" s="372" t="n"/>
      <c r="AQ83" s="372" t="n"/>
      <c r="AR83" s="372" t="n"/>
      <c r="AS83" s="372" t="n"/>
      <c r="AT83" s="372" t="n"/>
      <c r="AU83" s="372" t="n"/>
      <c r="AV83" s="372" t="n"/>
      <c r="AW83" s="372" t="n"/>
      <c r="AX83" s="372" t="n"/>
      <c r="AY83" s="372" t="n"/>
      <c r="AZ83" s="372" t="n"/>
      <c r="BA83" s="372" t="n"/>
      <c r="BB83" s="372" t="n"/>
      <c r="BC83" s="372" t="n"/>
      <c r="BD83" s="372" t="n"/>
      <c r="BE83" s="372" t="n"/>
      <c r="BF83" s="372" t="n"/>
      <c r="BG83" s="372" t="n"/>
      <c r="BH83" s="372" t="n"/>
      <c r="BI83" s="372" t="n"/>
      <c r="BJ83" s="372" t="n"/>
      <c r="BK83" s="372" t="n"/>
      <c r="BL83" s="372" t="n"/>
      <c r="BM83" s="372" t="n"/>
      <c r="BN83" s="372" t="n"/>
      <c r="BO83" s="372" t="n"/>
      <c r="BP83" s="372" t="n"/>
      <c r="BQ83" s="372" t="n"/>
      <c r="BR83" s="372" t="n"/>
      <c r="BS83" s="372" t="n"/>
      <c r="BT83" s="372" t="n"/>
      <c r="BU83" s="372" t="n"/>
      <c r="BV83" s="372" t="n"/>
      <c r="BW83" s="372" t="n"/>
      <c r="BX83" s="372" t="n"/>
      <c r="BY83" s="372" t="n"/>
      <c r="BZ83" s="372" t="n"/>
      <c r="CA83" s="372" t="n"/>
      <c r="CB83" s="372" t="n"/>
      <c r="CC83" s="402" t="n"/>
      <c r="CF83" s="259" t="inlineStr">
        <is>
          <t>移動</t>
        </is>
      </c>
      <c r="CG83" s="403" t="n"/>
      <c r="CH83" s="403" t="n"/>
      <c r="CI83" s="404" t="n"/>
      <c r="CJ83" s="379">
        <f>IF(Q83="作業者1",E86-E83,0)</f>
        <v/>
      </c>
      <c r="CK83" s="377" t="n"/>
      <c r="CL83" s="377" t="n"/>
      <c r="CM83" s="377" t="n"/>
      <c r="CN83" s="378" t="n"/>
      <c r="CP83" s="248" t="inlineStr">
        <is>
          <t>移動</t>
        </is>
      </c>
      <c r="CQ83" s="377" t="n"/>
      <c r="CR83" s="377" t="n"/>
      <c r="CS83" s="378" t="n"/>
      <c r="CT83" s="379">
        <f>IF(Q83="作業者2",E86-E83,0)</f>
        <v/>
      </c>
      <c r="CU83" s="377" t="n"/>
      <c r="CV83" s="377" t="n"/>
      <c r="CW83" s="377" t="n"/>
      <c r="CX83" s="378" t="n"/>
      <c r="CZ83" s="259" t="inlineStr">
        <is>
          <t>移動</t>
        </is>
      </c>
      <c r="DA83" s="403" t="n"/>
      <c r="DB83" s="403" t="n"/>
      <c r="DC83" s="404" t="n"/>
      <c r="DD83" s="405">
        <f>IF(Q83="作業者3",E86-E83,0)</f>
        <v/>
      </c>
      <c r="DE83" s="406" t="n"/>
      <c r="DF83" s="406" t="n"/>
      <c r="DG83" s="406" t="n"/>
      <c r="DH83" s="407" t="n"/>
      <c r="DJ83" s="259" t="inlineStr">
        <is>
          <t>移動</t>
        </is>
      </c>
      <c r="DK83" s="403" t="n"/>
      <c r="DL83" s="403" t="n"/>
      <c r="DM83" s="404" t="n"/>
      <c r="DN83" s="379">
        <f>IF(Q83="作業者4",E86-E83,0)</f>
        <v/>
      </c>
      <c r="DO83" s="377" t="n"/>
      <c r="DP83" s="377" t="n"/>
      <c r="DQ83" s="377" t="n"/>
      <c r="DR83" s="378" t="n"/>
      <c r="DT83" s="259" t="inlineStr">
        <is>
          <t>移動</t>
        </is>
      </c>
      <c r="DU83" s="403" t="n"/>
      <c r="DV83" s="403" t="n"/>
      <c r="DW83" s="404" t="n"/>
      <c r="DX83" s="379">
        <f>IF(Q83="作業者5",E86-E83,0)</f>
        <v/>
      </c>
      <c r="DY83" s="377" t="n"/>
      <c r="DZ83" s="377" t="n"/>
      <c r="EA83" s="377" t="n"/>
      <c r="EB83" s="378" t="n"/>
    </row>
    <row r="84" ht="9" customHeight="1" s="337">
      <c r="B84" s="350" t="n"/>
      <c r="C84" s="338" t="n"/>
      <c r="D84" s="380" t="n"/>
      <c r="E84" s="381" t="n"/>
      <c r="F84" s="122" t="inlineStr">
        <is>
          <t>～</t>
        </is>
      </c>
      <c r="G84" s="22" t="n"/>
      <c r="H84" s="381" t="n"/>
      <c r="I84" s="122" t="inlineStr">
        <is>
          <t>～</t>
        </is>
      </c>
      <c r="J84" s="22" t="n"/>
      <c r="K84" s="381" t="n"/>
      <c r="L84" s="122" t="inlineStr">
        <is>
          <t>～</t>
        </is>
      </c>
      <c r="M84" s="22" t="n"/>
      <c r="N84" s="381" t="n"/>
      <c r="O84" s="122" t="inlineStr">
        <is>
          <t>～</t>
        </is>
      </c>
      <c r="P84" s="22" t="n"/>
      <c r="Q84" s="382" t="n"/>
      <c r="R84" s="338" t="n"/>
      <c r="S84" s="380" t="n"/>
      <c r="T84" s="382" t="n"/>
      <c r="U84" s="338" t="n"/>
      <c r="V84" s="380" t="n"/>
      <c r="W84" s="382" t="n"/>
      <c r="X84" s="338" t="n"/>
      <c r="Y84" s="338" t="n"/>
      <c r="Z84" s="338" t="n"/>
      <c r="AA84" s="338" t="n"/>
      <c r="AB84" s="338" t="n"/>
      <c r="AC84" s="338" t="n"/>
      <c r="AD84" s="338" t="n"/>
      <c r="AE84" s="338" t="n"/>
      <c r="AF84" s="338" t="n"/>
      <c r="AG84" s="338" t="n"/>
      <c r="AH84" s="338" t="n"/>
      <c r="AI84" s="338" t="n"/>
      <c r="AJ84" s="338" t="n"/>
      <c r="AK84" s="338" t="n"/>
      <c r="AL84" s="338" t="n"/>
      <c r="AM84" s="338" t="n"/>
      <c r="AN84" s="338" t="n"/>
      <c r="AO84" s="338" t="n"/>
      <c r="AP84" s="338" t="n"/>
      <c r="AQ84" s="338" t="n"/>
      <c r="AR84" s="338" t="n"/>
      <c r="AS84" s="338" t="n"/>
      <c r="AT84" s="338" t="n"/>
      <c r="AU84" s="338" t="n"/>
      <c r="AV84" s="338" t="n"/>
      <c r="AW84" s="338" t="n"/>
      <c r="AX84" s="338" t="n"/>
      <c r="AY84" s="338" t="n"/>
      <c r="AZ84" s="338" t="n"/>
      <c r="BA84" s="338" t="n"/>
      <c r="BB84" s="338" t="n"/>
      <c r="BC84" s="338" t="n"/>
      <c r="BD84" s="338" t="n"/>
      <c r="BE84" s="338" t="n"/>
      <c r="BF84" s="338" t="n"/>
      <c r="BG84" s="338" t="n"/>
      <c r="BH84" s="338" t="n"/>
      <c r="BI84" s="338" t="n"/>
      <c r="BJ84" s="338" t="n"/>
      <c r="BK84" s="338" t="n"/>
      <c r="BL84" s="338" t="n"/>
      <c r="BM84" s="338" t="n"/>
      <c r="BN84" s="338" t="n"/>
      <c r="BO84" s="338" t="n"/>
      <c r="BP84" s="338" t="n"/>
      <c r="BQ84" s="338" t="n"/>
      <c r="BR84" s="338" t="n"/>
      <c r="BS84" s="338" t="n"/>
      <c r="BT84" s="338" t="n"/>
      <c r="BU84" s="338" t="n"/>
      <c r="BV84" s="338" t="n"/>
      <c r="BW84" s="338" t="n"/>
      <c r="BX84" s="338" t="n"/>
      <c r="BY84" s="338" t="n"/>
      <c r="BZ84" s="338" t="n"/>
      <c r="CA84" s="338" t="n"/>
      <c r="CB84" s="338" t="n"/>
      <c r="CC84" s="383" t="n"/>
      <c r="CF84" s="253" t="inlineStr">
        <is>
          <t>時間内</t>
        </is>
      </c>
      <c r="CG84" s="384" t="n"/>
      <c r="CH84" s="384" t="n"/>
      <c r="CI84" s="385" t="n"/>
      <c r="CJ84" s="386">
        <f>IF(Q83="作業者1",H86-H83,0)</f>
        <v/>
      </c>
      <c r="CK84" s="387" t="n"/>
      <c r="CL84" s="387" t="n"/>
      <c r="CM84" s="387" t="n"/>
      <c r="CN84" s="388" t="n"/>
      <c r="CP84" s="253" t="inlineStr">
        <is>
          <t>時間内</t>
        </is>
      </c>
      <c r="CQ84" s="384" t="n"/>
      <c r="CR84" s="384" t="n"/>
      <c r="CS84" s="385" t="n"/>
      <c r="CT84" s="386">
        <f>IF(Q83="作業者2",H86-H83,0)</f>
        <v/>
      </c>
      <c r="CU84" s="387" t="n"/>
      <c r="CV84" s="387" t="n"/>
      <c r="CW84" s="387" t="n"/>
      <c r="CX84" s="388" t="n"/>
      <c r="CZ84" s="253" t="inlineStr">
        <is>
          <t>時間内</t>
        </is>
      </c>
      <c r="DA84" s="384" t="n"/>
      <c r="DB84" s="384" t="n"/>
      <c r="DC84" s="385" t="n"/>
      <c r="DD84" s="386">
        <f>IF(Q83="作業者3",H86-H83,0)</f>
        <v/>
      </c>
      <c r="DE84" s="387" t="n"/>
      <c r="DF84" s="387" t="n"/>
      <c r="DG84" s="387" t="n"/>
      <c r="DH84" s="388" t="n"/>
      <c r="DJ84" s="253" t="inlineStr">
        <is>
          <t>時間内</t>
        </is>
      </c>
      <c r="DK84" s="384" t="n"/>
      <c r="DL84" s="384" t="n"/>
      <c r="DM84" s="385" t="n"/>
      <c r="DN84" s="386">
        <f>IF(Q83="作業者4",H86-H83,0)</f>
        <v/>
      </c>
      <c r="DO84" s="387" t="n"/>
      <c r="DP84" s="387" t="n"/>
      <c r="DQ84" s="387" t="n"/>
      <c r="DR84" s="388" t="n"/>
      <c r="DT84" s="253" t="inlineStr">
        <is>
          <t>時間内</t>
        </is>
      </c>
      <c r="DU84" s="384" t="n"/>
      <c r="DV84" s="384" t="n"/>
      <c r="DW84" s="385" t="n"/>
      <c r="DX84" s="386">
        <f>IF(Q83="作業者5",H86-H83,0)</f>
        <v/>
      </c>
      <c r="DY84" s="387" t="n"/>
      <c r="DZ84" s="387" t="n"/>
      <c r="EA84" s="387" t="n"/>
      <c r="EB84" s="388" t="n"/>
    </row>
    <row r="85" ht="9" customHeight="1" s="337">
      <c r="B85" s="350" t="n"/>
      <c r="C85" s="338" t="n"/>
      <c r="D85" s="380" t="n"/>
      <c r="E85" s="23" t="n"/>
      <c r="F85" s="338" t="n"/>
      <c r="G85" s="24" t="n"/>
      <c r="H85" s="23" t="n"/>
      <c r="I85" s="338" t="n"/>
      <c r="J85" s="24" t="n"/>
      <c r="K85" s="23" t="n"/>
      <c r="L85" s="338" t="n"/>
      <c r="M85" s="24" t="n"/>
      <c r="N85" s="23" t="n"/>
      <c r="O85" s="338" t="n"/>
      <c r="P85" s="24" t="n"/>
      <c r="Q85" s="382" t="n"/>
      <c r="R85" s="338" t="n"/>
      <c r="S85" s="380" t="n"/>
      <c r="T85" s="382" t="n"/>
      <c r="U85" s="338" t="n"/>
      <c r="V85" s="380" t="n"/>
      <c r="W85" s="382" t="n"/>
      <c r="X85" s="338" t="n"/>
      <c r="Y85" s="338" t="n"/>
      <c r="Z85" s="338" t="n"/>
      <c r="AA85" s="338" t="n"/>
      <c r="AB85" s="338" t="n"/>
      <c r="AC85" s="338" t="n"/>
      <c r="AD85" s="338" t="n"/>
      <c r="AE85" s="338" t="n"/>
      <c r="AF85" s="338" t="n"/>
      <c r="AG85" s="338" t="n"/>
      <c r="AH85" s="338" t="n"/>
      <c r="AI85" s="338" t="n"/>
      <c r="AJ85" s="338" t="n"/>
      <c r="AK85" s="338" t="n"/>
      <c r="AL85" s="338" t="n"/>
      <c r="AM85" s="338" t="n"/>
      <c r="AN85" s="338" t="n"/>
      <c r="AO85" s="338" t="n"/>
      <c r="AP85" s="338" t="n"/>
      <c r="AQ85" s="338" t="n"/>
      <c r="AR85" s="338" t="n"/>
      <c r="AS85" s="338" t="n"/>
      <c r="AT85" s="338" t="n"/>
      <c r="AU85" s="338" t="n"/>
      <c r="AV85" s="338" t="n"/>
      <c r="AW85" s="338" t="n"/>
      <c r="AX85" s="338" t="n"/>
      <c r="AY85" s="338" t="n"/>
      <c r="AZ85" s="338" t="n"/>
      <c r="BA85" s="338" t="n"/>
      <c r="BB85" s="338" t="n"/>
      <c r="BC85" s="338" t="n"/>
      <c r="BD85" s="338" t="n"/>
      <c r="BE85" s="338" t="n"/>
      <c r="BF85" s="338" t="n"/>
      <c r="BG85" s="338" t="n"/>
      <c r="BH85" s="338" t="n"/>
      <c r="BI85" s="338" t="n"/>
      <c r="BJ85" s="338" t="n"/>
      <c r="BK85" s="338" t="n"/>
      <c r="BL85" s="338" t="n"/>
      <c r="BM85" s="338" t="n"/>
      <c r="BN85" s="338" t="n"/>
      <c r="BO85" s="338" t="n"/>
      <c r="BP85" s="338" t="n"/>
      <c r="BQ85" s="338" t="n"/>
      <c r="BR85" s="338" t="n"/>
      <c r="BS85" s="338" t="n"/>
      <c r="BT85" s="338" t="n"/>
      <c r="BU85" s="338" t="n"/>
      <c r="BV85" s="338" t="n"/>
      <c r="BW85" s="338" t="n"/>
      <c r="BX85" s="338" t="n"/>
      <c r="BY85" s="338" t="n"/>
      <c r="BZ85" s="338" t="n"/>
      <c r="CA85" s="338" t="n"/>
      <c r="CB85" s="338" t="n"/>
      <c r="CC85" s="383" t="n"/>
      <c r="CF85" s="253" t="inlineStr">
        <is>
          <t>時間外</t>
        </is>
      </c>
      <c r="CG85" s="384" t="n"/>
      <c r="CH85" s="384" t="n"/>
      <c r="CI85" s="385" t="n"/>
      <c r="CJ85" s="386">
        <f>IF(Q83="作業者1",K86-K83,0)</f>
        <v/>
      </c>
      <c r="CK85" s="387" t="n"/>
      <c r="CL85" s="387" t="n"/>
      <c r="CM85" s="387" t="n"/>
      <c r="CN85" s="388" t="n"/>
      <c r="CP85" s="253" t="inlineStr">
        <is>
          <t>時間外</t>
        </is>
      </c>
      <c r="CQ85" s="384" t="n"/>
      <c r="CR85" s="384" t="n"/>
      <c r="CS85" s="385" t="n"/>
      <c r="CT85" s="386">
        <f>IF(Q83="作業者2",K86-K83,0)</f>
        <v/>
      </c>
      <c r="CU85" s="387" t="n"/>
      <c r="CV85" s="387" t="n"/>
      <c r="CW85" s="387" t="n"/>
      <c r="CX85" s="388" t="n"/>
      <c r="CZ85" s="253" t="inlineStr">
        <is>
          <t>時間外</t>
        </is>
      </c>
      <c r="DA85" s="384" t="n"/>
      <c r="DB85" s="384" t="n"/>
      <c r="DC85" s="385" t="n"/>
      <c r="DD85" s="386">
        <f>IF(Q83="作業者3",K86-K83,0)</f>
        <v/>
      </c>
      <c r="DE85" s="387" t="n"/>
      <c r="DF85" s="387" t="n"/>
      <c r="DG85" s="387" t="n"/>
      <c r="DH85" s="388" t="n"/>
      <c r="DJ85" s="253" t="inlineStr">
        <is>
          <t>時間外</t>
        </is>
      </c>
      <c r="DK85" s="384" t="n"/>
      <c r="DL85" s="384" t="n"/>
      <c r="DM85" s="385" t="n"/>
      <c r="DN85" s="386">
        <f>IF(Q83="作業者4",K86-K83,0)</f>
        <v/>
      </c>
      <c r="DO85" s="387" t="n"/>
      <c r="DP85" s="387" t="n"/>
      <c r="DQ85" s="387" t="n"/>
      <c r="DR85" s="388" t="n"/>
      <c r="DT85" s="253" t="inlineStr">
        <is>
          <t>時間外</t>
        </is>
      </c>
      <c r="DU85" s="384" t="n"/>
      <c r="DV85" s="384" t="n"/>
      <c r="DW85" s="385" t="n"/>
      <c r="DX85" s="386">
        <f>IF(Q83="作業者5",K86-K83,0)</f>
        <v/>
      </c>
      <c r="DY85" s="387" t="n"/>
      <c r="DZ85" s="387" t="n"/>
      <c r="EA85" s="387" t="n"/>
      <c r="EB85" s="388" t="n"/>
    </row>
    <row r="86" ht="9" customHeight="1" s="337">
      <c r="B86" s="389" t="n"/>
      <c r="C86" s="390" t="n"/>
      <c r="D86" s="391" t="n"/>
      <c r="E86" s="392" t="n"/>
      <c r="F86" s="390" t="n"/>
      <c r="G86" s="391" t="n"/>
      <c r="H86" s="392" t="n"/>
      <c r="I86" s="390" t="n"/>
      <c r="J86" s="391" t="n"/>
      <c r="K86" s="392" t="n"/>
      <c r="L86" s="390" t="n"/>
      <c r="M86" s="391" t="n"/>
      <c r="N86" s="392" t="n"/>
      <c r="O86" s="390" t="n"/>
      <c r="P86" s="391" t="n"/>
      <c r="Q86" s="393" t="n"/>
      <c r="R86" s="390" t="n"/>
      <c r="S86" s="391" t="n"/>
      <c r="T86" s="393" t="n"/>
      <c r="U86" s="390" t="n"/>
      <c r="V86" s="391" t="n"/>
      <c r="W86" s="393" t="n"/>
      <c r="X86" s="390" t="n"/>
      <c r="Y86" s="390" t="n"/>
      <c r="Z86" s="390" t="n"/>
      <c r="AA86" s="390" t="n"/>
      <c r="AB86" s="390" t="n"/>
      <c r="AC86" s="390" t="n"/>
      <c r="AD86" s="390" t="n"/>
      <c r="AE86" s="390" t="n"/>
      <c r="AF86" s="390" t="n"/>
      <c r="AG86" s="390" t="n"/>
      <c r="AH86" s="390" t="n"/>
      <c r="AI86" s="390" t="n"/>
      <c r="AJ86" s="390" t="n"/>
      <c r="AK86" s="390" t="n"/>
      <c r="AL86" s="390" t="n"/>
      <c r="AM86" s="390" t="n"/>
      <c r="AN86" s="390" t="n"/>
      <c r="AO86" s="390" t="n"/>
      <c r="AP86" s="390" t="n"/>
      <c r="AQ86" s="390" t="n"/>
      <c r="AR86" s="390" t="n"/>
      <c r="AS86" s="390" t="n"/>
      <c r="AT86" s="390" t="n"/>
      <c r="AU86" s="390" t="n"/>
      <c r="AV86" s="390" t="n"/>
      <c r="AW86" s="390" t="n"/>
      <c r="AX86" s="390" t="n"/>
      <c r="AY86" s="390" t="n"/>
      <c r="AZ86" s="390" t="n"/>
      <c r="BA86" s="390" t="n"/>
      <c r="BB86" s="390" t="n"/>
      <c r="BC86" s="390" t="n"/>
      <c r="BD86" s="390" t="n"/>
      <c r="BE86" s="390" t="n"/>
      <c r="BF86" s="390" t="n"/>
      <c r="BG86" s="390" t="n"/>
      <c r="BH86" s="390" t="n"/>
      <c r="BI86" s="390" t="n"/>
      <c r="BJ86" s="390" t="n"/>
      <c r="BK86" s="390" t="n"/>
      <c r="BL86" s="390" t="n"/>
      <c r="BM86" s="390" t="n"/>
      <c r="BN86" s="390" t="n"/>
      <c r="BO86" s="390" t="n"/>
      <c r="BP86" s="390" t="n"/>
      <c r="BQ86" s="390" t="n"/>
      <c r="BR86" s="390" t="n"/>
      <c r="BS86" s="390" t="n"/>
      <c r="BT86" s="390" t="n"/>
      <c r="BU86" s="390" t="n"/>
      <c r="BV86" s="390" t="n"/>
      <c r="BW86" s="390" t="n"/>
      <c r="BX86" s="390" t="n"/>
      <c r="BY86" s="390" t="n"/>
      <c r="BZ86" s="390" t="n"/>
      <c r="CA86" s="390" t="n"/>
      <c r="CB86" s="390" t="n"/>
      <c r="CC86" s="394" t="n"/>
      <c r="CF86" s="254" t="inlineStr">
        <is>
          <t>休日</t>
        </is>
      </c>
      <c r="CG86" s="395" t="n"/>
      <c r="CH86" s="395" t="n"/>
      <c r="CI86" s="396" t="n"/>
      <c r="CJ86" s="397">
        <f>IF(Q83="作業者1",N86-N83,0)</f>
        <v/>
      </c>
      <c r="CK86" s="395" t="n"/>
      <c r="CL86" s="395" t="n"/>
      <c r="CM86" s="395" t="n"/>
      <c r="CN86" s="396" t="n"/>
      <c r="CP86" s="254" t="inlineStr">
        <is>
          <t>休日</t>
        </is>
      </c>
      <c r="CQ86" s="395" t="n"/>
      <c r="CR86" s="395" t="n"/>
      <c r="CS86" s="396" t="n"/>
      <c r="CT86" s="397">
        <f>IF(Q83="作業者2",N86-N83,0)</f>
        <v/>
      </c>
      <c r="CU86" s="395" t="n"/>
      <c r="CV86" s="395" t="n"/>
      <c r="CW86" s="395" t="n"/>
      <c r="CX86" s="396" t="n"/>
      <c r="CZ86" s="254" t="inlineStr">
        <is>
          <t>休日</t>
        </is>
      </c>
      <c r="DA86" s="395" t="n"/>
      <c r="DB86" s="395" t="n"/>
      <c r="DC86" s="396" t="n"/>
      <c r="DD86" s="397">
        <f>IF(Q83="作業者3",N86-N83,0)</f>
        <v/>
      </c>
      <c r="DE86" s="395" t="n"/>
      <c r="DF86" s="395" t="n"/>
      <c r="DG86" s="395" t="n"/>
      <c r="DH86" s="396" t="n"/>
      <c r="DJ86" s="254" t="inlineStr">
        <is>
          <t>休日</t>
        </is>
      </c>
      <c r="DK86" s="395" t="n"/>
      <c r="DL86" s="395" t="n"/>
      <c r="DM86" s="396" t="n"/>
      <c r="DN86" s="397">
        <f>IF(Q83="作業者4",N86-N83,0)</f>
        <v/>
      </c>
      <c r="DO86" s="395" t="n"/>
      <c r="DP86" s="395" t="n"/>
      <c r="DQ86" s="395" t="n"/>
      <c r="DR86" s="396" t="n"/>
      <c r="DT86" s="254" t="inlineStr">
        <is>
          <t>休日</t>
        </is>
      </c>
      <c r="DU86" s="395" t="n"/>
      <c r="DV86" s="395" t="n"/>
      <c r="DW86" s="396" t="n"/>
      <c r="DX86" s="397">
        <f>IF(Q83="作業者5",N86-N83,0)</f>
        <v/>
      </c>
      <c r="DY86" s="395" t="n"/>
      <c r="DZ86" s="395" t="n"/>
      <c r="EA86" s="395" t="n"/>
      <c r="EB86" s="396" t="n"/>
    </row>
    <row r="87" ht="9" customHeight="1" s="337">
      <c r="B87" s="398" t="n"/>
      <c r="C87" s="372" t="n"/>
      <c r="D87" s="373" t="n"/>
      <c r="E87" s="399" t="n"/>
      <c r="F87" s="372" t="n"/>
      <c r="G87" s="373" t="n"/>
      <c r="H87" s="399" t="n"/>
      <c r="I87" s="372" t="n"/>
      <c r="J87" s="373" t="n"/>
      <c r="K87" s="399" t="n"/>
      <c r="L87" s="372" t="n"/>
      <c r="M87" s="373" t="n"/>
      <c r="N87" s="399" t="n"/>
      <c r="O87" s="372" t="n"/>
      <c r="P87" s="373" t="n"/>
      <c r="Q87" s="371" t="n"/>
      <c r="R87" s="372" t="n"/>
      <c r="S87" s="373" t="n"/>
      <c r="T87" s="371" t="n"/>
      <c r="U87" s="372" t="n"/>
      <c r="V87" s="373" t="n"/>
      <c r="W87" s="443" t="n"/>
      <c r="X87" s="372" t="n"/>
      <c r="Y87" s="372" t="n"/>
      <c r="Z87" s="372" t="n"/>
      <c r="AA87" s="372" t="n"/>
      <c r="AB87" s="372" t="n"/>
      <c r="AC87" s="372" t="n"/>
      <c r="AD87" s="372" t="n"/>
      <c r="AE87" s="372" t="n"/>
      <c r="AF87" s="372" t="n"/>
      <c r="AG87" s="372" t="n"/>
      <c r="AH87" s="372" t="n"/>
      <c r="AI87" s="372" t="n"/>
      <c r="AJ87" s="372" t="n"/>
      <c r="AK87" s="372" t="n"/>
      <c r="AL87" s="372" t="n"/>
      <c r="AM87" s="372" t="n"/>
      <c r="AN87" s="372" t="n"/>
      <c r="AO87" s="372" t="n"/>
      <c r="AP87" s="372" t="n"/>
      <c r="AQ87" s="372" t="n"/>
      <c r="AR87" s="372" t="n"/>
      <c r="AS87" s="372" t="n"/>
      <c r="AT87" s="372" t="n"/>
      <c r="AU87" s="372" t="n"/>
      <c r="AV87" s="372" t="n"/>
      <c r="AW87" s="372" t="n"/>
      <c r="AX87" s="372" t="n"/>
      <c r="AY87" s="372" t="n"/>
      <c r="AZ87" s="372" t="n"/>
      <c r="BA87" s="372" t="n"/>
      <c r="BB87" s="372" t="n"/>
      <c r="BC87" s="372" t="n"/>
      <c r="BD87" s="372" t="n"/>
      <c r="BE87" s="372" t="n"/>
      <c r="BF87" s="372" t="n"/>
      <c r="BG87" s="372" t="n"/>
      <c r="BH87" s="372" t="n"/>
      <c r="BI87" s="372" t="n"/>
      <c r="BJ87" s="372" t="n"/>
      <c r="BK87" s="372" t="n"/>
      <c r="BL87" s="372" t="n"/>
      <c r="BM87" s="372" t="n"/>
      <c r="BN87" s="372" t="n"/>
      <c r="BO87" s="372" t="n"/>
      <c r="BP87" s="372" t="n"/>
      <c r="BQ87" s="372" t="n"/>
      <c r="BR87" s="372" t="n"/>
      <c r="BS87" s="372" t="n"/>
      <c r="BT87" s="372" t="n"/>
      <c r="BU87" s="372" t="n"/>
      <c r="BV87" s="372" t="n"/>
      <c r="BW87" s="372" t="n"/>
      <c r="BX87" s="372" t="n"/>
      <c r="BY87" s="372" t="n"/>
      <c r="BZ87" s="372" t="n"/>
      <c r="CA87" s="372" t="n"/>
      <c r="CB87" s="372" t="n"/>
      <c r="CC87" s="402" t="n"/>
      <c r="CF87" s="248" t="inlineStr">
        <is>
          <t>移動</t>
        </is>
      </c>
      <c r="CG87" s="377" t="n"/>
      <c r="CH87" s="377" t="n"/>
      <c r="CI87" s="378" t="n"/>
      <c r="CJ87" s="379">
        <f>IF(Q87="作業者1",E90-E87,0)</f>
        <v/>
      </c>
      <c r="CK87" s="377" t="n"/>
      <c r="CL87" s="377" t="n"/>
      <c r="CM87" s="377" t="n"/>
      <c r="CN87" s="378" t="n"/>
      <c r="CP87" s="248" t="inlineStr">
        <is>
          <t>移動</t>
        </is>
      </c>
      <c r="CQ87" s="377" t="n"/>
      <c r="CR87" s="377" t="n"/>
      <c r="CS87" s="378" t="n"/>
      <c r="CT87" s="379">
        <f>IF(Q87="作業者2",E90-E87,0)</f>
        <v/>
      </c>
      <c r="CU87" s="377" t="n"/>
      <c r="CV87" s="377" t="n"/>
      <c r="CW87" s="377" t="n"/>
      <c r="CX87" s="378" t="n"/>
      <c r="CZ87" s="248" t="inlineStr">
        <is>
          <t>移動</t>
        </is>
      </c>
      <c r="DA87" s="377" t="n"/>
      <c r="DB87" s="377" t="n"/>
      <c r="DC87" s="378" t="n"/>
      <c r="DD87" s="379">
        <f>IF(Q87="作業者3",E90-E87,0)</f>
        <v/>
      </c>
      <c r="DE87" s="377" t="n"/>
      <c r="DF87" s="377" t="n"/>
      <c r="DG87" s="377" t="n"/>
      <c r="DH87" s="378" t="n"/>
      <c r="DJ87" s="248" t="inlineStr">
        <is>
          <t>移動</t>
        </is>
      </c>
      <c r="DK87" s="377" t="n"/>
      <c r="DL87" s="377" t="n"/>
      <c r="DM87" s="378" t="n"/>
      <c r="DN87" s="379">
        <f>IF(Q87="作業者4",E90-E87,0)</f>
        <v/>
      </c>
      <c r="DO87" s="377" t="n"/>
      <c r="DP87" s="377" t="n"/>
      <c r="DQ87" s="377" t="n"/>
      <c r="DR87" s="378" t="n"/>
      <c r="DT87" s="259" t="inlineStr">
        <is>
          <t>移動</t>
        </is>
      </c>
      <c r="DU87" s="403" t="n"/>
      <c r="DV87" s="403" t="n"/>
      <c r="DW87" s="404" t="n"/>
      <c r="DX87" s="379">
        <f>IF(Q87="作業者5",E90-E87,0)</f>
        <v/>
      </c>
      <c r="DY87" s="377" t="n"/>
      <c r="DZ87" s="377" t="n"/>
      <c r="EA87" s="377" t="n"/>
      <c r="EB87" s="378" t="n"/>
    </row>
    <row r="88" ht="9" customHeight="1" s="337">
      <c r="B88" s="350" t="n"/>
      <c r="C88" s="338" t="n"/>
      <c r="D88" s="380" t="n"/>
      <c r="E88" s="381" t="n"/>
      <c r="F88" s="122" t="inlineStr">
        <is>
          <t>～</t>
        </is>
      </c>
      <c r="G88" s="22" t="n"/>
      <c r="H88" s="381" t="n"/>
      <c r="I88" s="122" t="inlineStr">
        <is>
          <t>～</t>
        </is>
      </c>
      <c r="J88" s="22" t="n"/>
      <c r="K88" s="381" t="n"/>
      <c r="L88" s="122" t="inlineStr">
        <is>
          <t>～</t>
        </is>
      </c>
      <c r="M88" s="22" t="n"/>
      <c r="N88" s="381" t="n"/>
      <c r="O88" s="122" t="inlineStr">
        <is>
          <t>～</t>
        </is>
      </c>
      <c r="P88" s="22" t="n"/>
      <c r="Q88" s="382" t="n"/>
      <c r="R88" s="338" t="n"/>
      <c r="S88" s="380" t="n"/>
      <c r="T88" s="382" t="n"/>
      <c r="U88" s="338" t="n"/>
      <c r="V88" s="380" t="n"/>
      <c r="W88" s="382" t="n"/>
      <c r="X88" s="338" t="n"/>
      <c r="Y88" s="338" t="n"/>
      <c r="Z88" s="338" t="n"/>
      <c r="AA88" s="338" t="n"/>
      <c r="AB88" s="338" t="n"/>
      <c r="AC88" s="338" t="n"/>
      <c r="AD88" s="338" t="n"/>
      <c r="AE88" s="338" t="n"/>
      <c r="AF88" s="338" t="n"/>
      <c r="AG88" s="338" t="n"/>
      <c r="AH88" s="338" t="n"/>
      <c r="AI88" s="338" t="n"/>
      <c r="AJ88" s="338" t="n"/>
      <c r="AK88" s="338" t="n"/>
      <c r="AL88" s="338" t="n"/>
      <c r="AM88" s="338" t="n"/>
      <c r="AN88" s="338" t="n"/>
      <c r="AO88" s="338" t="n"/>
      <c r="AP88" s="338" t="n"/>
      <c r="AQ88" s="338" t="n"/>
      <c r="AR88" s="338" t="n"/>
      <c r="AS88" s="338" t="n"/>
      <c r="AT88" s="338" t="n"/>
      <c r="AU88" s="338" t="n"/>
      <c r="AV88" s="338" t="n"/>
      <c r="AW88" s="338" t="n"/>
      <c r="AX88" s="338" t="n"/>
      <c r="AY88" s="338" t="n"/>
      <c r="AZ88" s="338" t="n"/>
      <c r="BA88" s="338" t="n"/>
      <c r="BB88" s="338" t="n"/>
      <c r="BC88" s="338" t="n"/>
      <c r="BD88" s="338" t="n"/>
      <c r="BE88" s="338" t="n"/>
      <c r="BF88" s="338" t="n"/>
      <c r="BG88" s="338" t="n"/>
      <c r="BH88" s="338" t="n"/>
      <c r="BI88" s="338" t="n"/>
      <c r="BJ88" s="338" t="n"/>
      <c r="BK88" s="338" t="n"/>
      <c r="BL88" s="338" t="n"/>
      <c r="BM88" s="338" t="n"/>
      <c r="BN88" s="338" t="n"/>
      <c r="BO88" s="338" t="n"/>
      <c r="BP88" s="338" t="n"/>
      <c r="BQ88" s="338" t="n"/>
      <c r="BR88" s="338" t="n"/>
      <c r="BS88" s="338" t="n"/>
      <c r="BT88" s="338" t="n"/>
      <c r="BU88" s="338" t="n"/>
      <c r="BV88" s="338" t="n"/>
      <c r="BW88" s="338" t="n"/>
      <c r="BX88" s="338" t="n"/>
      <c r="BY88" s="338" t="n"/>
      <c r="BZ88" s="338" t="n"/>
      <c r="CA88" s="338" t="n"/>
      <c r="CB88" s="338" t="n"/>
      <c r="CC88" s="383" t="n"/>
      <c r="CF88" s="253" t="inlineStr">
        <is>
          <t>時間内</t>
        </is>
      </c>
      <c r="CG88" s="384" t="n"/>
      <c r="CH88" s="384" t="n"/>
      <c r="CI88" s="385" t="n"/>
      <c r="CJ88" s="386">
        <f>IF(Q87="作業者1",H90-H87,0)</f>
        <v/>
      </c>
      <c r="CK88" s="387" t="n"/>
      <c r="CL88" s="387" t="n"/>
      <c r="CM88" s="387" t="n"/>
      <c r="CN88" s="388" t="n"/>
      <c r="CP88" s="253" t="inlineStr">
        <is>
          <t>時間内</t>
        </is>
      </c>
      <c r="CQ88" s="384" t="n"/>
      <c r="CR88" s="384" t="n"/>
      <c r="CS88" s="385" t="n"/>
      <c r="CT88" s="386">
        <f>IF(Q87="作業者2",H90-H87,0)</f>
        <v/>
      </c>
      <c r="CU88" s="387" t="n"/>
      <c r="CV88" s="387" t="n"/>
      <c r="CW88" s="387" t="n"/>
      <c r="CX88" s="388" t="n"/>
      <c r="CZ88" s="253" t="inlineStr">
        <is>
          <t>時間内</t>
        </is>
      </c>
      <c r="DA88" s="384" t="n"/>
      <c r="DB88" s="384" t="n"/>
      <c r="DC88" s="385" t="n"/>
      <c r="DD88" s="386">
        <f>IF(Q87="作業者3",H90-H87,0)</f>
        <v/>
      </c>
      <c r="DE88" s="387" t="n"/>
      <c r="DF88" s="387" t="n"/>
      <c r="DG88" s="387" t="n"/>
      <c r="DH88" s="388" t="n"/>
      <c r="DJ88" s="253" t="inlineStr">
        <is>
          <t>時間内</t>
        </is>
      </c>
      <c r="DK88" s="384" t="n"/>
      <c r="DL88" s="384" t="n"/>
      <c r="DM88" s="385" t="n"/>
      <c r="DN88" s="386">
        <f>IF(Q87="作業者4",H90-H87,0)</f>
        <v/>
      </c>
      <c r="DO88" s="387" t="n"/>
      <c r="DP88" s="387" t="n"/>
      <c r="DQ88" s="387" t="n"/>
      <c r="DR88" s="388" t="n"/>
      <c r="DT88" s="253" t="inlineStr">
        <is>
          <t>時間内</t>
        </is>
      </c>
      <c r="DU88" s="384" t="n"/>
      <c r="DV88" s="384" t="n"/>
      <c r="DW88" s="385" t="n"/>
      <c r="DX88" s="386">
        <f>IF(Q87="作業者5",H90-H87,0)</f>
        <v/>
      </c>
      <c r="DY88" s="387" t="n"/>
      <c r="DZ88" s="387" t="n"/>
      <c r="EA88" s="387" t="n"/>
      <c r="EB88" s="388" t="n"/>
    </row>
    <row r="89" ht="9" customHeight="1" s="337">
      <c r="B89" s="350" t="n"/>
      <c r="C89" s="338" t="n"/>
      <c r="D89" s="380" t="n"/>
      <c r="E89" s="23" t="n"/>
      <c r="F89" s="338" t="n"/>
      <c r="G89" s="24" t="n"/>
      <c r="H89" s="23" t="n"/>
      <c r="I89" s="338" t="n"/>
      <c r="J89" s="24" t="n"/>
      <c r="K89" s="23" t="n"/>
      <c r="L89" s="338" t="n"/>
      <c r="M89" s="24" t="n"/>
      <c r="N89" s="23" t="n"/>
      <c r="O89" s="338" t="n"/>
      <c r="P89" s="24" t="n"/>
      <c r="Q89" s="382" t="n"/>
      <c r="R89" s="338" t="n"/>
      <c r="S89" s="380" t="n"/>
      <c r="T89" s="382" t="n"/>
      <c r="U89" s="338" t="n"/>
      <c r="V89" s="380" t="n"/>
      <c r="W89" s="382" t="n"/>
      <c r="X89" s="338" t="n"/>
      <c r="Y89" s="338" t="n"/>
      <c r="Z89" s="338" t="n"/>
      <c r="AA89" s="338" t="n"/>
      <c r="AB89" s="338" t="n"/>
      <c r="AC89" s="338" t="n"/>
      <c r="AD89" s="338" t="n"/>
      <c r="AE89" s="338" t="n"/>
      <c r="AF89" s="338" t="n"/>
      <c r="AG89" s="338" t="n"/>
      <c r="AH89" s="338" t="n"/>
      <c r="AI89" s="338" t="n"/>
      <c r="AJ89" s="338" t="n"/>
      <c r="AK89" s="338" t="n"/>
      <c r="AL89" s="338" t="n"/>
      <c r="AM89" s="338" t="n"/>
      <c r="AN89" s="338" t="n"/>
      <c r="AO89" s="338" t="n"/>
      <c r="AP89" s="338" t="n"/>
      <c r="AQ89" s="338" t="n"/>
      <c r="AR89" s="338" t="n"/>
      <c r="AS89" s="338" t="n"/>
      <c r="AT89" s="338" t="n"/>
      <c r="AU89" s="338" t="n"/>
      <c r="AV89" s="338" t="n"/>
      <c r="AW89" s="338" t="n"/>
      <c r="AX89" s="338" t="n"/>
      <c r="AY89" s="338" t="n"/>
      <c r="AZ89" s="338" t="n"/>
      <c r="BA89" s="338" t="n"/>
      <c r="BB89" s="338" t="n"/>
      <c r="BC89" s="338" t="n"/>
      <c r="BD89" s="338" t="n"/>
      <c r="BE89" s="338" t="n"/>
      <c r="BF89" s="338" t="n"/>
      <c r="BG89" s="338" t="n"/>
      <c r="BH89" s="338" t="n"/>
      <c r="BI89" s="338" t="n"/>
      <c r="BJ89" s="338" t="n"/>
      <c r="BK89" s="338" t="n"/>
      <c r="BL89" s="338" t="n"/>
      <c r="BM89" s="338" t="n"/>
      <c r="BN89" s="338" t="n"/>
      <c r="BO89" s="338" t="n"/>
      <c r="BP89" s="338" t="n"/>
      <c r="BQ89" s="338" t="n"/>
      <c r="BR89" s="338" t="n"/>
      <c r="BS89" s="338" t="n"/>
      <c r="BT89" s="338" t="n"/>
      <c r="BU89" s="338" t="n"/>
      <c r="BV89" s="338" t="n"/>
      <c r="BW89" s="338" t="n"/>
      <c r="BX89" s="338" t="n"/>
      <c r="BY89" s="338" t="n"/>
      <c r="BZ89" s="338" t="n"/>
      <c r="CA89" s="338" t="n"/>
      <c r="CB89" s="338" t="n"/>
      <c r="CC89" s="383" t="n"/>
      <c r="CF89" s="253" t="inlineStr">
        <is>
          <t>時間外</t>
        </is>
      </c>
      <c r="CG89" s="384" t="n"/>
      <c r="CH89" s="384" t="n"/>
      <c r="CI89" s="385" t="n"/>
      <c r="CJ89" s="386">
        <f>IF(Q87="作業者1",K90-K87,0)</f>
        <v/>
      </c>
      <c r="CK89" s="387" t="n"/>
      <c r="CL89" s="387" t="n"/>
      <c r="CM89" s="387" t="n"/>
      <c r="CN89" s="388" t="n"/>
      <c r="CP89" s="253" t="inlineStr">
        <is>
          <t>時間外</t>
        </is>
      </c>
      <c r="CQ89" s="384" t="n"/>
      <c r="CR89" s="384" t="n"/>
      <c r="CS89" s="385" t="n"/>
      <c r="CT89" s="386">
        <f>IF(Q87="作業者2",K90-K87,0)</f>
        <v/>
      </c>
      <c r="CU89" s="387" t="n"/>
      <c r="CV89" s="387" t="n"/>
      <c r="CW89" s="387" t="n"/>
      <c r="CX89" s="388" t="n"/>
      <c r="CZ89" s="253" t="inlineStr">
        <is>
          <t>時間外</t>
        </is>
      </c>
      <c r="DA89" s="384" t="n"/>
      <c r="DB89" s="384" t="n"/>
      <c r="DC89" s="385" t="n"/>
      <c r="DD89" s="386">
        <f>IF(Q87="作業者3",K90-K87,0)</f>
        <v/>
      </c>
      <c r="DE89" s="387" t="n"/>
      <c r="DF89" s="387" t="n"/>
      <c r="DG89" s="387" t="n"/>
      <c r="DH89" s="388" t="n"/>
      <c r="DJ89" s="253" t="inlineStr">
        <is>
          <t>時間外</t>
        </is>
      </c>
      <c r="DK89" s="384" t="n"/>
      <c r="DL89" s="384" t="n"/>
      <c r="DM89" s="385" t="n"/>
      <c r="DN89" s="386">
        <f>IF(Q87="作業者4",K90-K87,0)</f>
        <v/>
      </c>
      <c r="DO89" s="387" t="n"/>
      <c r="DP89" s="387" t="n"/>
      <c r="DQ89" s="387" t="n"/>
      <c r="DR89" s="388" t="n"/>
      <c r="DT89" s="253" t="inlineStr">
        <is>
          <t>時間外</t>
        </is>
      </c>
      <c r="DU89" s="384" t="n"/>
      <c r="DV89" s="384" t="n"/>
      <c r="DW89" s="385" t="n"/>
      <c r="DX89" s="386">
        <f>IF(Q87="作業者5",K90-K87,0)</f>
        <v/>
      </c>
      <c r="DY89" s="387" t="n"/>
      <c r="DZ89" s="387" t="n"/>
      <c r="EA89" s="387" t="n"/>
      <c r="EB89" s="388" t="n"/>
    </row>
    <row r="90" ht="9" customHeight="1" s="337">
      <c r="B90" s="389" t="n"/>
      <c r="C90" s="390" t="n"/>
      <c r="D90" s="391" t="n"/>
      <c r="E90" s="392" t="n"/>
      <c r="F90" s="390" t="n"/>
      <c r="G90" s="391" t="n"/>
      <c r="H90" s="392" t="n"/>
      <c r="I90" s="390" t="n"/>
      <c r="J90" s="391" t="n"/>
      <c r="K90" s="392" t="n"/>
      <c r="L90" s="390" t="n"/>
      <c r="M90" s="391" t="n"/>
      <c r="N90" s="392" t="n"/>
      <c r="O90" s="390" t="n"/>
      <c r="P90" s="391" t="n"/>
      <c r="Q90" s="393" t="n"/>
      <c r="R90" s="390" t="n"/>
      <c r="S90" s="391" t="n"/>
      <c r="T90" s="393" t="n"/>
      <c r="U90" s="390" t="n"/>
      <c r="V90" s="391" t="n"/>
      <c r="W90" s="393" t="n"/>
      <c r="X90" s="390" t="n"/>
      <c r="Y90" s="390" t="n"/>
      <c r="Z90" s="390" t="n"/>
      <c r="AA90" s="390" t="n"/>
      <c r="AB90" s="390" t="n"/>
      <c r="AC90" s="390" t="n"/>
      <c r="AD90" s="390" t="n"/>
      <c r="AE90" s="390" t="n"/>
      <c r="AF90" s="390" t="n"/>
      <c r="AG90" s="390" t="n"/>
      <c r="AH90" s="390" t="n"/>
      <c r="AI90" s="390" t="n"/>
      <c r="AJ90" s="390" t="n"/>
      <c r="AK90" s="390" t="n"/>
      <c r="AL90" s="390" t="n"/>
      <c r="AM90" s="390" t="n"/>
      <c r="AN90" s="390" t="n"/>
      <c r="AO90" s="390" t="n"/>
      <c r="AP90" s="390" t="n"/>
      <c r="AQ90" s="390" t="n"/>
      <c r="AR90" s="390" t="n"/>
      <c r="AS90" s="390" t="n"/>
      <c r="AT90" s="390" t="n"/>
      <c r="AU90" s="390" t="n"/>
      <c r="AV90" s="390" t="n"/>
      <c r="AW90" s="390" t="n"/>
      <c r="AX90" s="390" t="n"/>
      <c r="AY90" s="390" t="n"/>
      <c r="AZ90" s="390" t="n"/>
      <c r="BA90" s="390" t="n"/>
      <c r="BB90" s="390" t="n"/>
      <c r="BC90" s="390" t="n"/>
      <c r="BD90" s="390" t="n"/>
      <c r="BE90" s="390" t="n"/>
      <c r="BF90" s="390" t="n"/>
      <c r="BG90" s="390" t="n"/>
      <c r="BH90" s="390" t="n"/>
      <c r="BI90" s="390" t="n"/>
      <c r="BJ90" s="390" t="n"/>
      <c r="BK90" s="390" t="n"/>
      <c r="BL90" s="390" t="n"/>
      <c r="BM90" s="390" t="n"/>
      <c r="BN90" s="390" t="n"/>
      <c r="BO90" s="390" t="n"/>
      <c r="BP90" s="390" t="n"/>
      <c r="BQ90" s="390" t="n"/>
      <c r="BR90" s="390" t="n"/>
      <c r="BS90" s="390" t="n"/>
      <c r="BT90" s="390" t="n"/>
      <c r="BU90" s="390" t="n"/>
      <c r="BV90" s="390" t="n"/>
      <c r="BW90" s="390" t="n"/>
      <c r="BX90" s="390" t="n"/>
      <c r="BY90" s="390" t="n"/>
      <c r="BZ90" s="390" t="n"/>
      <c r="CA90" s="390" t="n"/>
      <c r="CB90" s="390" t="n"/>
      <c r="CC90" s="394" t="n"/>
      <c r="CF90" s="254" t="inlineStr">
        <is>
          <t>休日</t>
        </is>
      </c>
      <c r="CG90" s="395" t="n"/>
      <c r="CH90" s="395" t="n"/>
      <c r="CI90" s="396" t="n"/>
      <c r="CJ90" s="386">
        <f>IF(Q87="作業者1",N90-N87,0)</f>
        <v/>
      </c>
      <c r="CK90" s="387" t="n"/>
      <c r="CL90" s="387" t="n"/>
      <c r="CM90" s="387" t="n"/>
      <c r="CN90" s="388" t="n"/>
      <c r="CP90" s="253" t="inlineStr">
        <is>
          <t>休日</t>
        </is>
      </c>
      <c r="CQ90" s="384" t="n"/>
      <c r="CR90" s="384" t="n"/>
      <c r="CS90" s="385" t="n"/>
      <c r="CT90" s="386">
        <f>IF(Q87="作業者2",N90-N87,0)</f>
        <v/>
      </c>
      <c r="CU90" s="387" t="n"/>
      <c r="CV90" s="387" t="n"/>
      <c r="CW90" s="387" t="n"/>
      <c r="CX90" s="388" t="n"/>
      <c r="CZ90" s="254" t="inlineStr">
        <is>
          <t>休日</t>
        </is>
      </c>
      <c r="DA90" s="395" t="n"/>
      <c r="DB90" s="395" t="n"/>
      <c r="DC90" s="396" t="n"/>
      <c r="DD90" s="397">
        <f>IF(Q87="作業者3",N90-N87,0)</f>
        <v/>
      </c>
      <c r="DE90" s="395" t="n"/>
      <c r="DF90" s="395" t="n"/>
      <c r="DG90" s="395" t="n"/>
      <c r="DH90" s="396" t="n"/>
      <c r="DJ90" s="254" t="inlineStr">
        <is>
          <t>休日</t>
        </is>
      </c>
      <c r="DK90" s="395" t="n"/>
      <c r="DL90" s="395" t="n"/>
      <c r="DM90" s="396" t="n"/>
      <c r="DN90" s="397">
        <f>IF(Q87="作業者4",N90-N87,0)</f>
        <v/>
      </c>
      <c r="DO90" s="395" t="n"/>
      <c r="DP90" s="395" t="n"/>
      <c r="DQ90" s="395" t="n"/>
      <c r="DR90" s="396" t="n"/>
      <c r="DT90" s="254" t="inlineStr">
        <is>
          <t>休日</t>
        </is>
      </c>
      <c r="DU90" s="395" t="n"/>
      <c r="DV90" s="395" t="n"/>
      <c r="DW90" s="396" t="n"/>
      <c r="DX90" s="397">
        <f>IF(Q87="作業者5",N90-N87,0)</f>
        <v/>
      </c>
      <c r="DY90" s="395" t="n"/>
      <c r="DZ90" s="395" t="n"/>
      <c r="EA90" s="395" t="n"/>
      <c r="EB90" s="396" t="n"/>
    </row>
    <row r="91" ht="9" customHeight="1" s="337">
      <c r="B91" s="398" t="n"/>
      <c r="C91" s="372" t="n"/>
      <c r="D91" s="373" t="n"/>
      <c r="E91" s="399" t="n"/>
      <c r="F91" s="372" t="n"/>
      <c r="G91" s="373" t="n"/>
      <c r="H91" s="399" t="n"/>
      <c r="I91" s="372" t="n"/>
      <c r="J91" s="373" t="n"/>
      <c r="K91" s="399" t="n"/>
      <c r="L91" s="372" t="n"/>
      <c r="M91" s="373" t="n"/>
      <c r="N91" s="399" t="n"/>
      <c r="O91" s="372" t="n"/>
      <c r="P91" s="373" t="n"/>
      <c r="Q91" s="371" t="n"/>
      <c r="R91" s="372" t="n"/>
      <c r="S91" s="373" t="n"/>
      <c r="T91" s="371" t="n"/>
      <c r="U91" s="372" t="n"/>
      <c r="V91" s="373" t="n"/>
      <c r="W91" s="443" t="n"/>
      <c r="X91" s="372" t="n"/>
      <c r="Y91" s="372" t="n"/>
      <c r="Z91" s="372" t="n"/>
      <c r="AA91" s="372" t="n"/>
      <c r="AB91" s="372" t="n"/>
      <c r="AC91" s="372" t="n"/>
      <c r="AD91" s="372" t="n"/>
      <c r="AE91" s="372" t="n"/>
      <c r="AF91" s="372" t="n"/>
      <c r="AG91" s="372" t="n"/>
      <c r="AH91" s="372" t="n"/>
      <c r="AI91" s="372" t="n"/>
      <c r="AJ91" s="372" t="n"/>
      <c r="AK91" s="372" t="n"/>
      <c r="AL91" s="372" t="n"/>
      <c r="AM91" s="372" t="n"/>
      <c r="AN91" s="372" t="n"/>
      <c r="AO91" s="372" t="n"/>
      <c r="AP91" s="372" t="n"/>
      <c r="AQ91" s="372" t="n"/>
      <c r="AR91" s="372" t="n"/>
      <c r="AS91" s="372" t="n"/>
      <c r="AT91" s="372" t="n"/>
      <c r="AU91" s="372" t="n"/>
      <c r="AV91" s="372" t="n"/>
      <c r="AW91" s="372" t="n"/>
      <c r="AX91" s="372" t="n"/>
      <c r="AY91" s="372" t="n"/>
      <c r="AZ91" s="372" t="n"/>
      <c r="BA91" s="372" t="n"/>
      <c r="BB91" s="372" t="n"/>
      <c r="BC91" s="372" t="n"/>
      <c r="BD91" s="372" t="n"/>
      <c r="BE91" s="372" t="n"/>
      <c r="BF91" s="372" t="n"/>
      <c r="BG91" s="372" t="n"/>
      <c r="BH91" s="372" t="n"/>
      <c r="BI91" s="372" t="n"/>
      <c r="BJ91" s="372" t="n"/>
      <c r="BK91" s="372" t="n"/>
      <c r="BL91" s="372" t="n"/>
      <c r="BM91" s="372" t="n"/>
      <c r="BN91" s="372" t="n"/>
      <c r="BO91" s="372" t="n"/>
      <c r="BP91" s="372" t="n"/>
      <c r="BQ91" s="372" t="n"/>
      <c r="BR91" s="372" t="n"/>
      <c r="BS91" s="372" t="n"/>
      <c r="BT91" s="372" t="n"/>
      <c r="BU91" s="372" t="n"/>
      <c r="BV91" s="372" t="n"/>
      <c r="BW91" s="372" t="n"/>
      <c r="BX91" s="372" t="n"/>
      <c r="BY91" s="372" t="n"/>
      <c r="BZ91" s="372" t="n"/>
      <c r="CA91" s="372" t="n"/>
      <c r="CB91" s="372" t="n"/>
      <c r="CC91" s="402" t="n"/>
      <c r="CF91" s="259" t="inlineStr">
        <is>
          <t>移動</t>
        </is>
      </c>
      <c r="CG91" s="403" t="n"/>
      <c r="CH91" s="403" t="n"/>
      <c r="CI91" s="404" t="n"/>
      <c r="CJ91" s="379">
        <f>IF(Q91="作業者1",E94-E91,0)</f>
        <v/>
      </c>
      <c r="CK91" s="377" t="n"/>
      <c r="CL91" s="377" t="n"/>
      <c r="CM91" s="377" t="n"/>
      <c r="CN91" s="378" t="n"/>
      <c r="CP91" s="248" t="inlineStr">
        <is>
          <t>移動</t>
        </is>
      </c>
      <c r="CQ91" s="377" t="n"/>
      <c r="CR91" s="377" t="n"/>
      <c r="CS91" s="378" t="n"/>
      <c r="CT91" s="379">
        <f>IF(Q91="作業者2",E94-E91,0)</f>
        <v/>
      </c>
      <c r="CU91" s="377" t="n"/>
      <c r="CV91" s="377" t="n"/>
      <c r="CW91" s="377" t="n"/>
      <c r="CX91" s="378" t="n"/>
      <c r="CZ91" s="259" t="inlineStr">
        <is>
          <t>移動</t>
        </is>
      </c>
      <c r="DA91" s="403" t="n"/>
      <c r="DB91" s="403" t="n"/>
      <c r="DC91" s="404" t="n"/>
      <c r="DD91" s="405">
        <f>IF(Q91="作業者3",E94-E91,0)</f>
        <v/>
      </c>
      <c r="DE91" s="406" t="n"/>
      <c r="DF91" s="406" t="n"/>
      <c r="DG91" s="406" t="n"/>
      <c r="DH91" s="407" t="n"/>
      <c r="DJ91" s="259" t="inlineStr">
        <is>
          <t>移動</t>
        </is>
      </c>
      <c r="DK91" s="403" t="n"/>
      <c r="DL91" s="403" t="n"/>
      <c r="DM91" s="404" t="n"/>
      <c r="DN91" s="379">
        <f>IF(Q91="作業者4",E94-E91,0)</f>
        <v/>
      </c>
      <c r="DO91" s="377" t="n"/>
      <c r="DP91" s="377" t="n"/>
      <c r="DQ91" s="377" t="n"/>
      <c r="DR91" s="378" t="n"/>
      <c r="DT91" s="259" t="inlineStr">
        <is>
          <t>移動</t>
        </is>
      </c>
      <c r="DU91" s="403" t="n"/>
      <c r="DV91" s="403" t="n"/>
      <c r="DW91" s="404" t="n"/>
      <c r="DX91" s="379">
        <f>IF(Q91="作業者5",E94-E91,0)</f>
        <v/>
      </c>
      <c r="DY91" s="377" t="n"/>
      <c r="DZ91" s="377" t="n"/>
      <c r="EA91" s="377" t="n"/>
      <c r="EB91" s="378" t="n"/>
    </row>
    <row r="92" ht="9" customHeight="1" s="337">
      <c r="B92" s="350" t="n"/>
      <c r="C92" s="338" t="n"/>
      <c r="D92" s="380" t="n"/>
      <c r="E92" s="381" t="n"/>
      <c r="F92" s="122" t="inlineStr">
        <is>
          <t>～</t>
        </is>
      </c>
      <c r="G92" s="22" t="n"/>
      <c r="H92" s="381" t="n"/>
      <c r="I92" s="122" t="inlineStr">
        <is>
          <t>～</t>
        </is>
      </c>
      <c r="J92" s="22" t="n"/>
      <c r="K92" s="381" t="n"/>
      <c r="L92" s="122" t="inlineStr">
        <is>
          <t>～</t>
        </is>
      </c>
      <c r="M92" s="22" t="n"/>
      <c r="N92" s="381" t="n"/>
      <c r="O92" s="122" t="inlineStr">
        <is>
          <t>～</t>
        </is>
      </c>
      <c r="P92" s="22" t="n"/>
      <c r="Q92" s="382" t="n"/>
      <c r="R92" s="338" t="n"/>
      <c r="S92" s="380" t="n"/>
      <c r="T92" s="382" t="n"/>
      <c r="U92" s="338" t="n"/>
      <c r="V92" s="380" t="n"/>
      <c r="W92" s="382" t="n"/>
      <c r="X92" s="338" t="n"/>
      <c r="Y92" s="338" t="n"/>
      <c r="Z92" s="338" t="n"/>
      <c r="AA92" s="338" t="n"/>
      <c r="AB92" s="338" t="n"/>
      <c r="AC92" s="338" t="n"/>
      <c r="AD92" s="338" t="n"/>
      <c r="AE92" s="338" t="n"/>
      <c r="AF92" s="338" t="n"/>
      <c r="AG92" s="338" t="n"/>
      <c r="AH92" s="338" t="n"/>
      <c r="AI92" s="338" t="n"/>
      <c r="AJ92" s="338" t="n"/>
      <c r="AK92" s="338" t="n"/>
      <c r="AL92" s="338" t="n"/>
      <c r="AM92" s="338" t="n"/>
      <c r="AN92" s="338" t="n"/>
      <c r="AO92" s="338" t="n"/>
      <c r="AP92" s="338" t="n"/>
      <c r="AQ92" s="338" t="n"/>
      <c r="AR92" s="338" t="n"/>
      <c r="AS92" s="338" t="n"/>
      <c r="AT92" s="338" t="n"/>
      <c r="AU92" s="338" t="n"/>
      <c r="AV92" s="338" t="n"/>
      <c r="AW92" s="338" t="n"/>
      <c r="AX92" s="338" t="n"/>
      <c r="AY92" s="338" t="n"/>
      <c r="AZ92" s="338" t="n"/>
      <c r="BA92" s="338" t="n"/>
      <c r="BB92" s="338" t="n"/>
      <c r="BC92" s="338" t="n"/>
      <c r="BD92" s="338" t="n"/>
      <c r="BE92" s="338" t="n"/>
      <c r="BF92" s="338" t="n"/>
      <c r="BG92" s="338" t="n"/>
      <c r="BH92" s="338" t="n"/>
      <c r="BI92" s="338" t="n"/>
      <c r="BJ92" s="338" t="n"/>
      <c r="BK92" s="338" t="n"/>
      <c r="BL92" s="338" t="n"/>
      <c r="BM92" s="338" t="n"/>
      <c r="BN92" s="338" t="n"/>
      <c r="BO92" s="338" t="n"/>
      <c r="BP92" s="338" t="n"/>
      <c r="BQ92" s="338" t="n"/>
      <c r="BR92" s="338" t="n"/>
      <c r="BS92" s="338" t="n"/>
      <c r="BT92" s="338" t="n"/>
      <c r="BU92" s="338" t="n"/>
      <c r="BV92" s="338" t="n"/>
      <c r="BW92" s="338" t="n"/>
      <c r="BX92" s="338" t="n"/>
      <c r="BY92" s="338" t="n"/>
      <c r="BZ92" s="338" t="n"/>
      <c r="CA92" s="338" t="n"/>
      <c r="CB92" s="338" t="n"/>
      <c r="CC92" s="383" t="n"/>
      <c r="CF92" s="253" t="inlineStr">
        <is>
          <t>時間内</t>
        </is>
      </c>
      <c r="CG92" s="384" t="n"/>
      <c r="CH92" s="384" t="n"/>
      <c r="CI92" s="385" t="n"/>
      <c r="CJ92" s="386">
        <f>IF(Q91="作業者1",H94-H91,0)</f>
        <v/>
      </c>
      <c r="CK92" s="387" t="n"/>
      <c r="CL92" s="387" t="n"/>
      <c r="CM92" s="387" t="n"/>
      <c r="CN92" s="388" t="n"/>
      <c r="CP92" s="253" t="inlineStr">
        <is>
          <t>時間内</t>
        </is>
      </c>
      <c r="CQ92" s="384" t="n"/>
      <c r="CR92" s="384" t="n"/>
      <c r="CS92" s="385" t="n"/>
      <c r="CT92" s="386">
        <f>IF(Q91="作業者2",H94-H91,0)</f>
        <v/>
      </c>
      <c r="CU92" s="387" t="n"/>
      <c r="CV92" s="387" t="n"/>
      <c r="CW92" s="387" t="n"/>
      <c r="CX92" s="388" t="n"/>
      <c r="CZ92" s="253" t="inlineStr">
        <is>
          <t>時間内</t>
        </is>
      </c>
      <c r="DA92" s="384" t="n"/>
      <c r="DB92" s="384" t="n"/>
      <c r="DC92" s="385" t="n"/>
      <c r="DD92" s="386">
        <f>IF(Q91="作業者3",H94-H91,0)</f>
        <v/>
      </c>
      <c r="DE92" s="387" t="n"/>
      <c r="DF92" s="387" t="n"/>
      <c r="DG92" s="387" t="n"/>
      <c r="DH92" s="388" t="n"/>
      <c r="DJ92" s="253" t="inlineStr">
        <is>
          <t>時間内</t>
        </is>
      </c>
      <c r="DK92" s="384" t="n"/>
      <c r="DL92" s="384" t="n"/>
      <c r="DM92" s="385" t="n"/>
      <c r="DN92" s="386">
        <f>IF(Q91="作業者4",H94-H91,0)</f>
        <v/>
      </c>
      <c r="DO92" s="387" t="n"/>
      <c r="DP92" s="387" t="n"/>
      <c r="DQ92" s="387" t="n"/>
      <c r="DR92" s="388" t="n"/>
      <c r="DT92" s="253" t="inlineStr">
        <is>
          <t>時間内</t>
        </is>
      </c>
      <c r="DU92" s="384" t="n"/>
      <c r="DV92" s="384" t="n"/>
      <c r="DW92" s="385" t="n"/>
      <c r="DX92" s="386">
        <f>IF(Q91="作業者5",H94-H91,0)</f>
        <v/>
      </c>
      <c r="DY92" s="387" t="n"/>
      <c r="DZ92" s="387" t="n"/>
      <c r="EA92" s="387" t="n"/>
      <c r="EB92" s="388" t="n"/>
    </row>
    <row r="93" ht="9" customHeight="1" s="337">
      <c r="B93" s="350" t="n"/>
      <c r="C93" s="338" t="n"/>
      <c r="D93" s="380" t="n"/>
      <c r="E93" s="23" t="n"/>
      <c r="F93" s="338" t="n"/>
      <c r="G93" s="24" t="n"/>
      <c r="H93" s="23" t="n"/>
      <c r="I93" s="338" t="n"/>
      <c r="J93" s="24" t="n"/>
      <c r="K93" s="23" t="n"/>
      <c r="L93" s="338" t="n"/>
      <c r="M93" s="24" t="n"/>
      <c r="N93" s="23" t="n"/>
      <c r="O93" s="338" t="n"/>
      <c r="P93" s="24" t="n"/>
      <c r="Q93" s="382" t="n"/>
      <c r="R93" s="338" t="n"/>
      <c r="S93" s="380" t="n"/>
      <c r="T93" s="382" t="n"/>
      <c r="U93" s="338" t="n"/>
      <c r="V93" s="380" t="n"/>
      <c r="W93" s="382" t="n"/>
      <c r="X93" s="338" t="n"/>
      <c r="Y93" s="338" t="n"/>
      <c r="Z93" s="338" t="n"/>
      <c r="AA93" s="338" t="n"/>
      <c r="AB93" s="338" t="n"/>
      <c r="AC93" s="338" t="n"/>
      <c r="AD93" s="338" t="n"/>
      <c r="AE93" s="338" t="n"/>
      <c r="AF93" s="338" t="n"/>
      <c r="AG93" s="338" t="n"/>
      <c r="AH93" s="338" t="n"/>
      <c r="AI93" s="338" t="n"/>
      <c r="AJ93" s="338" t="n"/>
      <c r="AK93" s="338" t="n"/>
      <c r="AL93" s="338" t="n"/>
      <c r="AM93" s="338" t="n"/>
      <c r="AN93" s="338" t="n"/>
      <c r="AO93" s="338" t="n"/>
      <c r="AP93" s="338" t="n"/>
      <c r="AQ93" s="338" t="n"/>
      <c r="AR93" s="338" t="n"/>
      <c r="AS93" s="338" t="n"/>
      <c r="AT93" s="338" t="n"/>
      <c r="AU93" s="338" t="n"/>
      <c r="AV93" s="338" t="n"/>
      <c r="AW93" s="338" t="n"/>
      <c r="AX93" s="338" t="n"/>
      <c r="AY93" s="338" t="n"/>
      <c r="AZ93" s="338" t="n"/>
      <c r="BA93" s="338" t="n"/>
      <c r="BB93" s="338" t="n"/>
      <c r="BC93" s="338" t="n"/>
      <c r="BD93" s="338" t="n"/>
      <c r="BE93" s="338" t="n"/>
      <c r="BF93" s="338" t="n"/>
      <c r="BG93" s="338" t="n"/>
      <c r="BH93" s="338" t="n"/>
      <c r="BI93" s="338" t="n"/>
      <c r="BJ93" s="338" t="n"/>
      <c r="BK93" s="338" t="n"/>
      <c r="BL93" s="338" t="n"/>
      <c r="BM93" s="338" t="n"/>
      <c r="BN93" s="338" t="n"/>
      <c r="BO93" s="338" t="n"/>
      <c r="BP93" s="338" t="n"/>
      <c r="BQ93" s="338" t="n"/>
      <c r="BR93" s="338" t="n"/>
      <c r="BS93" s="338" t="n"/>
      <c r="BT93" s="338" t="n"/>
      <c r="BU93" s="338" t="n"/>
      <c r="BV93" s="338" t="n"/>
      <c r="BW93" s="338" t="n"/>
      <c r="BX93" s="338" t="n"/>
      <c r="BY93" s="338" t="n"/>
      <c r="BZ93" s="338" t="n"/>
      <c r="CA93" s="338" t="n"/>
      <c r="CB93" s="338" t="n"/>
      <c r="CC93" s="383" t="n"/>
      <c r="CF93" s="253" t="inlineStr">
        <is>
          <t>時間外</t>
        </is>
      </c>
      <c r="CG93" s="384" t="n"/>
      <c r="CH93" s="384" t="n"/>
      <c r="CI93" s="385" t="n"/>
      <c r="CJ93" s="386">
        <f>IF(Q91="作業者1",K94-K91,0)</f>
        <v/>
      </c>
      <c r="CK93" s="387" t="n"/>
      <c r="CL93" s="387" t="n"/>
      <c r="CM93" s="387" t="n"/>
      <c r="CN93" s="388" t="n"/>
      <c r="CP93" s="253" t="inlineStr">
        <is>
          <t>時間外</t>
        </is>
      </c>
      <c r="CQ93" s="384" t="n"/>
      <c r="CR93" s="384" t="n"/>
      <c r="CS93" s="385" t="n"/>
      <c r="CT93" s="386">
        <f>IF(Q91="作業者2",K94-K91,0)</f>
        <v/>
      </c>
      <c r="CU93" s="387" t="n"/>
      <c r="CV93" s="387" t="n"/>
      <c r="CW93" s="387" t="n"/>
      <c r="CX93" s="388" t="n"/>
      <c r="CZ93" s="253" t="inlineStr">
        <is>
          <t>時間外</t>
        </is>
      </c>
      <c r="DA93" s="384" t="n"/>
      <c r="DB93" s="384" t="n"/>
      <c r="DC93" s="385" t="n"/>
      <c r="DD93" s="386">
        <f>IF(Q91="作業者3",K94-K91,0)</f>
        <v/>
      </c>
      <c r="DE93" s="387" t="n"/>
      <c r="DF93" s="387" t="n"/>
      <c r="DG93" s="387" t="n"/>
      <c r="DH93" s="388" t="n"/>
      <c r="DJ93" s="253" t="inlineStr">
        <is>
          <t>時間外</t>
        </is>
      </c>
      <c r="DK93" s="384" t="n"/>
      <c r="DL93" s="384" t="n"/>
      <c r="DM93" s="385" t="n"/>
      <c r="DN93" s="386">
        <f>IF(Q91="作業者4",K94-K91,0)</f>
        <v/>
      </c>
      <c r="DO93" s="387" t="n"/>
      <c r="DP93" s="387" t="n"/>
      <c r="DQ93" s="387" t="n"/>
      <c r="DR93" s="388" t="n"/>
      <c r="DT93" s="253" t="inlineStr">
        <is>
          <t>時間外</t>
        </is>
      </c>
      <c r="DU93" s="384" t="n"/>
      <c r="DV93" s="384" t="n"/>
      <c r="DW93" s="385" t="n"/>
      <c r="DX93" s="386">
        <f>IF(Q91="作業者5",K94-K91,0)</f>
        <v/>
      </c>
      <c r="DY93" s="387" t="n"/>
      <c r="DZ93" s="387" t="n"/>
      <c r="EA93" s="387" t="n"/>
      <c r="EB93" s="388" t="n"/>
    </row>
    <row r="94" ht="9" customHeight="1" s="337">
      <c r="B94" s="389" t="n"/>
      <c r="C94" s="390" t="n"/>
      <c r="D94" s="391" t="n"/>
      <c r="E94" s="392" t="n"/>
      <c r="F94" s="390" t="n"/>
      <c r="G94" s="391" t="n"/>
      <c r="H94" s="392" t="n"/>
      <c r="I94" s="390" t="n"/>
      <c r="J94" s="391" t="n"/>
      <c r="K94" s="392" t="n"/>
      <c r="L94" s="390" t="n"/>
      <c r="M94" s="391" t="n"/>
      <c r="N94" s="392" t="n"/>
      <c r="O94" s="390" t="n"/>
      <c r="P94" s="391" t="n"/>
      <c r="Q94" s="393" t="n"/>
      <c r="R94" s="390" t="n"/>
      <c r="S94" s="391" t="n"/>
      <c r="T94" s="393" t="n"/>
      <c r="U94" s="390" t="n"/>
      <c r="V94" s="391" t="n"/>
      <c r="W94" s="393" t="n"/>
      <c r="X94" s="390" t="n"/>
      <c r="Y94" s="390" t="n"/>
      <c r="Z94" s="390" t="n"/>
      <c r="AA94" s="390" t="n"/>
      <c r="AB94" s="390" t="n"/>
      <c r="AC94" s="390" t="n"/>
      <c r="AD94" s="390" t="n"/>
      <c r="AE94" s="390" t="n"/>
      <c r="AF94" s="390" t="n"/>
      <c r="AG94" s="390" t="n"/>
      <c r="AH94" s="390" t="n"/>
      <c r="AI94" s="390" t="n"/>
      <c r="AJ94" s="390" t="n"/>
      <c r="AK94" s="390" t="n"/>
      <c r="AL94" s="390" t="n"/>
      <c r="AM94" s="390" t="n"/>
      <c r="AN94" s="390" t="n"/>
      <c r="AO94" s="390" t="n"/>
      <c r="AP94" s="390" t="n"/>
      <c r="AQ94" s="390" t="n"/>
      <c r="AR94" s="390" t="n"/>
      <c r="AS94" s="390" t="n"/>
      <c r="AT94" s="390" t="n"/>
      <c r="AU94" s="390" t="n"/>
      <c r="AV94" s="390" t="n"/>
      <c r="AW94" s="390" t="n"/>
      <c r="AX94" s="390" t="n"/>
      <c r="AY94" s="390" t="n"/>
      <c r="AZ94" s="390" t="n"/>
      <c r="BA94" s="390" t="n"/>
      <c r="BB94" s="390" t="n"/>
      <c r="BC94" s="390" t="n"/>
      <c r="BD94" s="390" t="n"/>
      <c r="BE94" s="390" t="n"/>
      <c r="BF94" s="390" t="n"/>
      <c r="BG94" s="390" t="n"/>
      <c r="BH94" s="390" t="n"/>
      <c r="BI94" s="390" t="n"/>
      <c r="BJ94" s="390" t="n"/>
      <c r="BK94" s="390" t="n"/>
      <c r="BL94" s="390" t="n"/>
      <c r="BM94" s="390" t="n"/>
      <c r="BN94" s="390" t="n"/>
      <c r="BO94" s="390" t="n"/>
      <c r="BP94" s="390" t="n"/>
      <c r="BQ94" s="390" t="n"/>
      <c r="BR94" s="390" t="n"/>
      <c r="BS94" s="390" t="n"/>
      <c r="BT94" s="390" t="n"/>
      <c r="BU94" s="390" t="n"/>
      <c r="BV94" s="390" t="n"/>
      <c r="BW94" s="390" t="n"/>
      <c r="BX94" s="390" t="n"/>
      <c r="BY94" s="390" t="n"/>
      <c r="BZ94" s="390" t="n"/>
      <c r="CA94" s="390" t="n"/>
      <c r="CB94" s="390" t="n"/>
      <c r="CC94" s="394" t="n"/>
      <c r="CF94" s="254" t="inlineStr">
        <is>
          <t>休日</t>
        </is>
      </c>
      <c r="CG94" s="395" t="n"/>
      <c r="CH94" s="395" t="n"/>
      <c r="CI94" s="396" t="n"/>
      <c r="CJ94" s="397">
        <f>IF(Q91="作業者1",N94-N91,0)</f>
        <v/>
      </c>
      <c r="CK94" s="395" t="n"/>
      <c r="CL94" s="395" t="n"/>
      <c r="CM94" s="395" t="n"/>
      <c r="CN94" s="396" t="n"/>
      <c r="CP94" s="254" t="inlineStr">
        <is>
          <t>休日</t>
        </is>
      </c>
      <c r="CQ94" s="395" t="n"/>
      <c r="CR94" s="395" t="n"/>
      <c r="CS94" s="396" t="n"/>
      <c r="CT94" s="397">
        <f>IF(Q91="作業者2",N94-N91,0)</f>
        <v/>
      </c>
      <c r="CU94" s="395" t="n"/>
      <c r="CV94" s="395" t="n"/>
      <c r="CW94" s="395" t="n"/>
      <c r="CX94" s="396" t="n"/>
      <c r="CZ94" s="254" t="inlineStr">
        <is>
          <t>休日</t>
        </is>
      </c>
      <c r="DA94" s="395" t="n"/>
      <c r="DB94" s="395" t="n"/>
      <c r="DC94" s="396" t="n"/>
      <c r="DD94" s="397">
        <f>IF(Q91="作業者3",N94-N91,0)</f>
        <v/>
      </c>
      <c r="DE94" s="395" t="n"/>
      <c r="DF94" s="395" t="n"/>
      <c r="DG94" s="395" t="n"/>
      <c r="DH94" s="396" t="n"/>
      <c r="DJ94" s="254" t="inlineStr">
        <is>
          <t>休日</t>
        </is>
      </c>
      <c r="DK94" s="395" t="n"/>
      <c r="DL94" s="395" t="n"/>
      <c r="DM94" s="396" t="n"/>
      <c r="DN94" s="397">
        <f>IF(Q91="作業者4",N94-N91,0)</f>
        <v/>
      </c>
      <c r="DO94" s="395" t="n"/>
      <c r="DP94" s="395" t="n"/>
      <c r="DQ94" s="395" t="n"/>
      <c r="DR94" s="396" t="n"/>
      <c r="DT94" s="254" t="inlineStr">
        <is>
          <t>休日</t>
        </is>
      </c>
      <c r="DU94" s="395" t="n"/>
      <c r="DV94" s="395" t="n"/>
      <c r="DW94" s="396" t="n"/>
      <c r="DX94" s="397">
        <f>IF(Q91="作業者5",N94-N91,0)</f>
        <v/>
      </c>
      <c r="DY94" s="395" t="n"/>
      <c r="DZ94" s="395" t="n"/>
      <c r="EA94" s="395" t="n"/>
      <c r="EB94" s="396" t="n"/>
    </row>
    <row r="95" ht="9" customHeight="1" s="337">
      <c r="B95" s="398" t="n"/>
      <c r="C95" s="372" t="n"/>
      <c r="D95" s="373" t="n"/>
      <c r="E95" s="399" t="n"/>
      <c r="F95" s="372" t="n"/>
      <c r="G95" s="373" t="n"/>
      <c r="H95" s="399" t="n"/>
      <c r="I95" s="372" t="n"/>
      <c r="J95" s="373" t="n"/>
      <c r="K95" s="399" t="n"/>
      <c r="L95" s="372" t="n"/>
      <c r="M95" s="373" t="n"/>
      <c r="N95" s="399" t="n"/>
      <c r="O95" s="372" t="n"/>
      <c r="P95" s="373" t="n"/>
      <c r="Q95" s="371" t="n"/>
      <c r="R95" s="372" t="n"/>
      <c r="S95" s="373" t="n"/>
      <c r="T95" s="371" t="n"/>
      <c r="U95" s="372" t="n"/>
      <c r="V95" s="373" t="n"/>
      <c r="W95" s="443" t="n"/>
      <c r="X95" s="372" t="n"/>
      <c r="Y95" s="372" t="n"/>
      <c r="Z95" s="372" t="n"/>
      <c r="AA95" s="372" t="n"/>
      <c r="AB95" s="372" t="n"/>
      <c r="AC95" s="372" t="n"/>
      <c r="AD95" s="372" t="n"/>
      <c r="AE95" s="372" t="n"/>
      <c r="AF95" s="372" t="n"/>
      <c r="AG95" s="372" t="n"/>
      <c r="AH95" s="372" t="n"/>
      <c r="AI95" s="372" t="n"/>
      <c r="AJ95" s="372" t="n"/>
      <c r="AK95" s="372" t="n"/>
      <c r="AL95" s="372" t="n"/>
      <c r="AM95" s="372" t="n"/>
      <c r="AN95" s="372" t="n"/>
      <c r="AO95" s="372" t="n"/>
      <c r="AP95" s="372" t="n"/>
      <c r="AQ95" s="372" t="n"/>
      <c r="AR95" s="372" t="n"/>
      <c r="AS95" s="372" t="n"/>
      <c r="AT95" s="372" t="n"/>
      <c r="AU95" s="372" t="n"/>
      <c r="AV95" s="372" t="n"/>
      <c r="AW95" s="372" t="n"/>
      <c r="AX95" s="372" t="n"/>
      <c r="AY95" s="372" t="n"/>
      <c r="AZ95" s="372" t="n"/>
      <c r="BA95" s="372" t="n"/>
      <c r="BB95" s="372" t="n"/>
      <c r="BC95" s="372" t="n"/>
      <c r="BD95" s="372" t="n"/>
      <c r="BE95" s="372" t="n"/>
      <c r="BF95" s="372" t="n"/>
      <c r="BG95" s="372" t="n"/>
      <c r="BH95" s="372" t="n"/>
      <c r="BI95" s="372" t="n"/>
      <c r="BJ95" s="372" t="n"/>
      <c r="BK95" s="372" t="n"/>
      <c r="BL95" s="372" t="n"/>
      <c r="BM95" s="372" t="n"/>
      <c r="BN95" s="372" t="n"/>
      <c r="BO95" s="372" t="n"/>
      <c r="BP95" s="372" t="n"/>
      <c r="BQ95" s="372" t="n"/>
      <c r="BR95" s="372" t="n"/>
      <c r="BS95" s="372" t="n"/>
      <c r="BT95" s="372" t="n"/>
      <c r="BU95" s="372" t="n"/>
      <c r="BV95" s="372" t="n"/>
      <c r="BW95" s="372" t="n"/>
      <c r="BX95" s="372" t="n"/>
      <c r="BY95" s="372" t="n"/>
      <c r="BZ95" s="372" t="n"/>
      <c r="CA95" s="372" t="n"/>
      <c r="CB95" s="372" t="n"/>
      <c r="CC95" s="402" t="n"/>
      <c r="CF95" s="248" t="inlineStr">
        <is>
          <t>移動</t>
        </is>
      </c>
      <c r="CG95" s="377" t="n"/>
      <c r="CH95" s="377" t="n"/>
      <c r="CI95" s="378" t="n"/>
      <c r="CJ95" s="379">
        <f>IF(Q95="作業者1",E98-E95,0)</f>
        <v/>
      </c>
      <c r="CK95" s="377" t="n"/>
      <c r="CL95" s="377" t="n"/>
      <c r="CM95" s="377" t="n"/>
      <c r="CN95" s="378" t="n"/>
      <c r="CP95" s="248" t="inlineStr">
        <is>
          <t>移動</t>
        </is>
      </c>
      <c r="CQ95" s="377" t="n"/>
      <c r="CR95" s="377" t="n"/>
      <c r="CS95" s="378" t="n"/>
      <c r="CT95" s="379">
        <f>IF(Q95="作業者2",E98-E95,0)</f>
        <v/>
      </c>
      <c r="CU95" s="377" t="n"/>
      <c r="CV95" s="377" t="n"/>
      <c r="CW95" s="377" t="n"/>
      <c r="CX95" s="378" t="n"/>
      <c r="CZ95" s="248" t="inlineStr">
        <is>
          <t>移動</t>
        </is>
      </c>
      <c r="DA95" s="377" t="n"/>
      <c r="DB95" s="377" t="n"/>
      <c r="DC95" s="378" t="n"/>
      <c r="DD95" s="379">
        <f>IF(Q95="作業者3",E98-E95,0)</f>
        <v/>
      </c>
      <c r="DE95" s="377" t="n"/>
      <c r="DF95" s="377" t="n"/>
      <c r="DG95" s="377" t="n"/>
      <c r="DH95" s="378" t="n"/>
      <c r="DJ95" s="248" t="inlineStr">
        <is>
          <t>移動</t>
        </is>
      </c>
      <c r="DK95" s="377" t="n"/>
      <c r="DL95" s="377" t="n"/>
      <c r="DM95" s="378" t="n"/>
      <c r="DN95" s="379">
        <f>IF(Q95="作業者4",E98-E95,0)</f>
        <v/>
      </c>
      <c r="DO95" s="377" t="n"/>
      <c r="DP95" s="377" t="n"/>
      <c r="DQ95" s="377" t="n"/>
      <c r="DR95" s="378" t="n"/>
      <c r="DT95" s="259" t="inlineStr">
        <is>
          <t>移動</t>
        </is>
      </c>
      <c r="DU95" s="403" t="n"/>
      <c r="DV95" s="403" t="n"/>
      <c r="DW95" s="404" t="n"/>
      <c r="DX95" s="379">
        <f>IF(Q95="作業者5",E98-E95,0)</f>
        <v/>
      </c>
      <c r="DY95" s="377" t="n"/>
      <c r="DZ95" s="377" t="n"/>
      <c r="EA95" s="377" t="n"/>
      <c r="EB95" s="378" t="n"/>
    </row>
    <row r="96" ht="9" customHeight="1" s="337">
      <c r="B96" s="350" t="n"/>
      <c r="C96" s="338" t="n"/>
      <c r="D96" s="380" t="n"/>
      <c r="E96" s="381" t="n"/>
      <c r="F96" s="122" t="inlineStr">
        <is>
          <t>～</t>
        </is>
      </c>
      <c r="G96" s="22" t="n"/>
      <c r="H96" s="381" t="n"/>
      <c r="I96" s="122" t="inlineStr">
        <is>
          <t>～</t>
        </is>
      </c>
      <c r="J96" s="22" t="n"/>
      <c r="K96" s="381" t="n"/>
      <c r="L96" s="122" t="inlineStr">
        <is>
          <t>～</t>
        </is>
      </c>
      <c r="M96" s="22" t="n"/>
      <c r="N96" s="381" t="n"/>
      <c r="O96" s="122" t="inlineStr">
        <is>
          <t>～</t>
        </is>
      </c>
      <c r="P96" s="22" t="n"/>
      <c r="Q96" s="382" t="n"/>
      <c r="R96" s="338" t="n"/>
      <c r="S96" s="380" t="n"/>
      <c r="T96" s="382" t="n"/>
      <c r="U96" s="338" t="n"/>
      <c r="V96" s="380" t="n"/>
      <c r="W96" s="382" t="n"/>
      <c r="X96" s="338" t="n"/>
      <c r="Y96" s="338" t="n"/>
      <c r="Z96" s="338" t="n"/>
      <c r="AA96" s="338" t="n"/>
      <c r="AB96" s="338" t="n"/>
      <c r="AC96" s="338" t="n"/>
      <c r="AD96" s="338" t="n"/>
      <c r="AE96" s="338" t="n"/>
      <c r="AF96" s="338" t="n"/>
      <c r="AG96" s="338" t="n"/>
      <c r="AH96" s="338" t="n"/>
      <c r="AI96" s="338" t="n"/>
      <c r="AJ96" s="338" t="n"/>
      <c r="AK96" s="338" t="n"/>
      <c r="AL96" s="338" t="n"/>
      <c r="AM96" s="338" t="n"/>
      <c r="AN96" s="338" t="n"/>
      <c r="AO96" s="338" t="n"/>
      <c r="AP96" s="338" t="n"/>
      <c r="AQ96" s="338" t="n"/>
      <c r="AR96" s="338" t="n"/>
      <c r="AS96" s="338" t="n"/>
      <c r="AT96" s="338" t="n"/>
      <c r="AU96" s="338" t="n"/>
      <c r="AV96" s="338" t="n"/>
      <c r="AW96" s="338" t="n"/>
      <c r="AX96" s="338" t="n"/>
      <c r="AY96" s="338" t="n"/>
      <c r="AZ96" s="338" t="n"/>
      <c r="BA96" s="338" t="n"/>
      <c r="BB96" s="338" t="n"/>
      <c r="BC96" s="338" t="n"/>
      <c r="BD96" s="338" t="n"/>
      <c r="BE96" s="338" t="n"/>
      <c r="BF96" s="338" t="n"/>
      <c r="BG96" s="338" t="n"/>
      <c r="BH96" s="338" t="n"/>
      <c r="BI96" s="338" t="n"/>
      <c r="BJ96" s="338" t="n"/>
      <c r="BK96" s="338" t="n"/>
      <c r="BL96" s="338" t="n"/>
      <c r="BM96" s="338" t="n"/>
      <c r="BN96" s="338" t="n"/>
      <c r="BO96" s="338" t="n"/>
      <c r="BP96" s="338" t="n"/>
      <c r="BQ96" s="338" t="n"/>
      <c r="BR96" s="338" t="n"/>
      <c r="BS96" s="338" t="n"/>
      <c r="BT96" s="338" t="n"/>
      <c r="BU96" s="338" t="n"/>
      <c r="BV96" s="338" t="n"/>
      <c r="BW96" s="338" t="n"/>
      <c r="BX96" s="338" t="n"/>
      <c r="BY96" s="338" t="n"/>
      <c r="BZ96" s="338" t="n"/>
      <c r="CA96" s="338" t="n"/>
      <c r="CB96" s="338" t="n"/>
      <c r="CC96" s="383" t="n"/>
      <c r="CF96" s="253" t="inlineStr">
        <is>
          <t>時間内</t>
        </is>
      </c>
      <c r="CG96" s="384" t="n"/>
      <c r="CH96" s="384" t="n"/>
      <c r="CI96" s="385" t="n"/>
      <c r="CJ96" s="386">
        <f>IF(Q95="作業者1",H98-H95,0)</f>
        <v/>
      </c>
      <c r="CK96" s="387" t="n"/>
      <c r="CL96" s="387" t="n"/>
      <c r="CM96" s="387" t="n"/>
      <c r="CN96" s="388" t="n"/>
      <c r="CP96" s="253" t="inlineStr">
        <is>
          <t>時間内</t>
        </is>
      </c>
      <c r="CQ96" s="384" t="n"/>
      <c r="CR96" s="384" t="n"/>
      <c r="CS96" s="385" t="n"/>
      <c r="CT96" s="386">
        <f>IF(Q95="作業者2",H98-H95,0)</f>
        <v/>
      </c>
      <c r="CU96" s="387" t="n"/>
      <c r="CV96" s="387" t="n"/>
      <c r="CW96" s="387" t="n"/>
      <c r="CX96" s="388" t="n"/>
      <c r="CZ96" s="253" t="inlineStr">
        <is>
          <t>時間内</t>
        </is>
      </c>
      <c r="DA96" s="384" t="n"/>
      <c r="DB96" s="384" t="n"/>
      <c r="DC96" s="385" t="n"/>
      <c r="DD96" s="386">
        <f>IF(Q95="作業者3",H98-H95,0)</f>
        <v/>
      </c>
      <c r="DE96" s="387" t="n"/>
      <c r="DF96" s="387" t="n"/>
      <c r="DG96" s="387" t="n"/>
      <c r="DH96" s="388" t="n"/>
      <c r="DJ96" s="253" t="inlineStr">
        <is>
          <t>時間内</t>
        </is>
      </c>
      <c r="DK96" s="384" t="n"/>
      <c r="DL96" s="384" t="n"/>
      <c r="DM96" s="385" t="n"/>
      <c r="DN96" s="386">
        <f>IF(Q95="作業者4",H98-H95,0)</f>
        <v/>
      </c>
      <c r="DO96" s="387" t="n"/>
      <c r="DP96" s="387" t="n"/>
      <c r="DQ96" s="387" t="n"/>
      <c r="DR96" s="388" t="n"/>
      <c r="DT96" s="253" t="inlineStr">
        <is>
          <t>時間内</t>
        </is>
      </c>
      <c r="DU96" s="384" t="n"/>
      <c r="DV96" s="384" t="n"/>
      <c r="DW96" s="385" t="n"/>
      <c r="DX96" s="386">
        <f>IF(Q95="作業者5",H98-H95,0)</f>
        <v/>
      </c>
      <c r="DY96" s="387" t="n"/>
      <c r="DZ96" s="387" t="n"/>
      <c r="EA96" s="387" t="n"/>
      <c r="EB96" s="388" t="n"/>
    </row>
    <row r="97" ht="9" customHeight="1" s="337">
      <c r="B97" s="350" t="n"/>
      <c r="C97" s="338" t="n"/>
      <c r="D97" s="380" t="n"/>
      <c r="E97" s="23" t="n"/>
      <c r="F97" s="338" t="n"/>
      <c r="G97" s="24" t="n"/>
      <c r="H97" s="23" t="n"/>
      <c r="I97" s="338" t="n"/>
      <c r="J97" s="24" t="n"/>
      <c r="K97" s="23" t="n"/>
      <c r="L97" s="338" t="n"/>
      <c r="M97" s="24" t="n"/>
      <c r="N97" s="23" t="n"/>
      <c r="O97" s="338" t="n"/>
      <c r="P97" s="24" t="n"/>
      <c r="Q97" s="382" t="n"/>
      <c r="R97" s="338" t="n"/>
      <c r="S97" s="380" t="n"/>
      <c r="T97" s="382" t="n"/>
      <c r="U97" s="338" t="n"/>
      <c r="V97" s="380" t="n"/>
      <c r="W97" s="382" t="n"/>
      <c r="X97" s="338" t="n"/>
      <c r="Y97" s="338" t="n"/>
      <c r="Z97" s="338" t="n"/>
      <c r="AA97" s="338" t="n"/>
      <c r="AB97" s="338" t="n"/>
      <c r="AC97" s="338" t="n"/>
      <c r="AD97" s="338" t="n"/>
      <c r="AE97" s="338" t="n"/>
      <c r="AF97" s="338" t="n"/>
      <c r="AG97" s="338" t="n"/>
      <c r="AH97" s="338" t="n"/>
      <c r="AI97" s="338" t="n"/>
      <c r="AJ97" s="338" t="n"/>
      <c r="AK97" s="338" t="n"/>
      <c r="AL97" s="338" t="n"/>
      <c r="AM97" s="338" t="n"/>
      <c r="AN97" s="338" t="n"/>
      <c r="AO97" s="338" t="n"/>
      <c r="AP97" s="338" t="n"/>
      <c r="AQ97" s="338" t="n"/>
      <c r="AR97" s="338" t="n"/>
      <c r="AS97" s="338" t="n"/>
      <c r="AT97" s="338" t="n"/>
      <c r="AU97" s="338" t="n"/>
      <c r="AV97" s="338" t="n"/>
      <c r="AW97" s="338" t="n"/>
      <c r="AX97" s="338" t="n"/>
      <c r="AY97" s="338" t="n"/>
      <c r="AZ97" s="338" t="n"/>
      <c r="BA97" s="338" t="n"/>
      <c r="BB97" s="338" t="n"/>
      <c r="BC97" s="338" t="n"/>
      <c r="BD97" s="338" t="n"/>
      <c r="BE97" s="338" t="n"/>
      <c r="BF97" s="338" t="n"/>
      <c r="BG97" s="338" t="n"/>
      <c r="BH97" s="338" t="n"/>
      <c r="BI97" s="338" t="n"/>
      <c r="BJ97" s="338" t="n"/>
      <c r="BK97" s="338" t="n"/>
      <c r="BL97" s="338" t="n"/>
      <c r="BM97" s="338" t="n"/>
      <c r="BN97" s="338" t="n"/>
      <c r="BO97" s="338" t="n"/>
      <c r="BP97" s="338" t="n"/>
      <c r="BQ97" s="338" t="n"/>
      <c r="BR97" s="338" t="n"/>
      <c r="BS97" s="338" t="n"/>
      <c r="BT97" s="338" t="n"/>
      <c r="BU97" s="338" t="n"/>
      <c r="BV97" s="338" t="n"/>
      <c r="BW97" s="338" t="n"/>
      <c r="BX97" s="338" t="n"/>
      <c r="BY97" s="338" t="n"/>
      <c r="BZ97" s="338" t="n"/>
      <c r="CA97" s="338" t="n"/>
      <c r="CB97" s="338" t="n"/>
      <c r="CC97" s="383" t="n"/>
      <c r="CF97" s="253" t="inlineStr">
        <is>
          <t>時間外</t>
        </is>
      </c>
      <c r="CG97" s="384" t="n"/>
      <c r="CH97" s="384" t="n"/>
      <c r="CI97" s="385" t="n"/>
      <c r="CJ97" s="386">
        <f>IF(Q95="作業者1",K98-K95,0)</f>
        <v/>
      </c>
      <c r="CK97" s="387" t="n"/>
      <c r="CL97" s="387" t="n"/>
      <c r="CM97" s="387" t="n"/>
      <c r="CN97" s="388" t="n"/>
      <c r="CP97" s="253" t="inlineStr">
        <is>
          <t>時間外</t>
        </is>
      </c>
      <c r="CQ97" s="384" t="n"/>
      <c r="CR97" s="384" t="n"/>
      <c r="CS97" s="385" t="n"/>
      <c r="CT97" s="386">
        <f>IF(Q95="作業者2",K98-K95,0)</f>
        <v/>
      </c>
      <c r="CU97" s="387" t="n"/>
      <c r="CV97" s="387" t="n"/>
      <c r="CW97" s="387" t="n"/>
      <c r="CX97" s="388" t="n"/>
      <c r="CZ97" s="253" t="inlineStr">
        <is>
          <t>時間外</t>
        </is>
      </c>
      <c r="DA97" s="384" t="n"/>
      <c r="DB97" s="384" t="n"/>
      <c r="DC97" s="385" t="n"/>
      <c r="DD97" s="386">
        <f>IF(Q95="作業者3",K98-K95,0)</f>
        <v/>
      </c>
      <c r="DE97" s="387" t="n"/>
      <c r="DF97" s="387" t="n"/>
      <c r="DG97" s="387" t="n"/>
      <c r="DH97" s="388" t="n"/>
      <c r="DJ97" s="253" t="inlineStr">
        <is>
          <t>時間外</t>
        </is>
      </c>
      <c r="DK97" s="384" t="n"/>
      <c r="DL97" s="384" t="n"/>
      <c r="DM97" s="385" t="n"/>
      <c r="DN97" s="386">
        <f>IF(Q95="作業者4",K98-K95,0)</f>
        <v/>
      </c>
      <c r="DO97" s="387" t="n"/>
      <c r="DP97" s="387" t="n"/>
      <c r="DQ97" s="387" t="n"/>
      <c r="DR97" s="388" t="n"/>
      <c r="DT97" s="253" t="inlineStr">
        <is>
          <t>時間外</t>
        </is>
      </c>
      <c r="DU97" s="384" t="n"/>
      <c r="DV97" s="384" t="n"/>
      <c r="DW97" s="385" t="n"/>
      <c r="DX97" s="386">
        <f>IF(Q95="作業者5",K98-K95,0)</f>
        <v/>
      </c>
      <c r="DY97" s="387" t="n"/>
      <c r="DZ97" s="387" t="n"/>
      <c r="EA97" s="387" t="n"/>
      <c r="EB97" s="388" t="n"/>
    </row>
    <row r="98" ht="9" customHeight="1" s="337">
      <c r="B98" s="389" t="n"/>
      <c r="C98" s="390" t="n"/>
      <c r="D98" s="391" t="n"/>
      <c r="E98" s="392" t="n"/>
      <c r="F98" s="390" t="n"/>
      <c r="G98" s="391" t="n"/>
      <c r="H98" s="392" t="n"/>
      <c r="I98" s="390" t="n"/>
      <c r="J98" s="391" t="n"/>
      <c r="K98" s="392" t="n"/>
      <c r="L98" s="390" t="n"/>
      <c r="M98" s="391" t="n"/>
      <c r="N98" s="392" t="n"/>
      <c r="O98" s="390" t="n"/>
      <c r="P98" s="391" t="n"/>
      <c r="Q98" s="393" t="n"/>
      <c r="R98" s="390" t="n"/>
      <c r="S98" s="391" t="n"/>
      <c r="T98" s="393" t="n"/>
      <c r="U98" s="390" t="n"/>
      <c r="V98" s="391" t="n"/>
      <c r="W98" s="393" t="n"/>
      <c r="X98" s="390" t="n"/>
      <c r="Y98" s="390" t="n"/>
      <c r="Z98" s="390" t="n"/>
      <c r="AA98" s="390" t="n"/>
      <c r="AB98" s="390" t="n"/>
      <c r="AC98" s="390" t="n"/>
      <c r="AD98" s="390" t="n"/>
      <c r="AE98" s="390" t="n"/>
      <c r="AF98" s="390" t="n"/>
      <c r="AG98" s="390" t="n"/>
      <c r="AH98" s="390" t="n"/>
      <c r="AI98" s="390" t="n"/>
      <c r="AJ98" s="390" t="n"/>
      <c r="AK98" s="390" t="n"/>
      <c r="AL98" s="390" t="n"/>
      <c r="AM98" s="390" t="n"/>
      <c r="AN98" s="390" t="n"/>
      <c r="AO98" s="390" t="n"/>
      <c r="AP98" s="390" t="n"/>
      <c r="AQ98" s="390" t="n"/>
      <c r="AR98" s="390" t="n"/>
      <c r="AS98" s="390" t="n"/>
      <c r="AT98" s="390" t="n"/>
      <c r="AU98" s="390" t="n"/>
      <c r="AV98" s="390" t="n"/>
      <c r="AW98" s="390" t="n"/>
      <c r="AX98" s="390" t="n"/>
      <c r="AY98" s="390" t="n"/>
      <c r="AZ98" s="390" t="n"/>
      <c r="BA98" s="390" t="n"/>
      <c r="BB98" s="390" t="n"/>
      <c r="BC98" s="390" t="n"/>
      <c r="BD98" s="390" t="n"/>
      <c r="BE98" s="390" t="n"/>
      <c r="BF98" s="390" t="n"/>
      <c r="BG98" s="390" t="n"/>
      <c r="BH98" s="390" t="n"/>
      <c r="BI98" s="390" t="n"/>
      <c r="BJ98" s="390" t="n"/>
      <c r="BK98" s="390" t="n"/>
      <c r="BL98" s="390" t="n"/>
      <c r="BM98" s="390" t="n"/>
      <c r="BN98" s="390" t="n"/>
      <c r="BO98" s="390" t="n"/>
      <c r="BP98" s="390" t="n"/>
      <c r="BQ98" s="390" t="n"/>
      <c r="BR98" s="390" t="n"/>
      <c r="BS98" s="390" t="n"/>
      <c r="BT98" s="390" t="n"/>
      <c r="BU98" s="390" t="n"/>
      <c r="BV98" s="390" t="n"/>
      <c r="BW98" s="390" t="n"/>
      <c r="BX98" s="390" t="n"/>
      <c r="BY98" s="390" t="n"/>
      <c r="BZ98" s="390" t="n"/>
      <c r="CA98" s="390" t="n"/>
      <c r="CB98" s="390" t="n"/>
      <c r="CC98" s="394" t="n"/>
      <c r="CF98" s="254" t="inlineStr">
        <is>
          <t>休日</t>
        </is>
      </c>
      <c r="CG98" s="395" t="n"/>
      <c r="CH98" s="395" t="n"/>
      <c r="CI98" s="396" t="n"/>
      <c r="CJ98" s="386">
        <f>IF(Q95="作業者1",N98-N95,0)</f>
        <v/>
      </c>
      <c r="CK98" s="387" t="n"/>
      <c r="CL98" s="387" t="n"/>
      <c r="CM98" s="387" t="n"/>
      <c r="CN98" s="388" t="n"/>
      <c r="CP98" s="253" t="inlineStr">
        <is>
          <t>休日</t>
        </is>
      </c>
      <c r="CQ98" s="384" t="n"/>
      <c r="CR98" s="384" t="n"/>
      <c r="CS98" s="385" t="n"/>
      <c r="CT98" s="386">
        <f>IF(Q95="作業者2",N98-N95,0)</f>
        <v/>
      </c>
      <c r="CU98" s="387" t="n"/>
      <c r="CV98" s="387" t="n"/>
      <c r="CW98" s="387" t="n"/>
      <c r="CX98" s="388" t="n"/>
      <c r="CZ98" s="254" t="inlineStr">
        <is>
          <t>休日</t>
        </is>
      </c>
      <c r="DA98" s="395" t="n"/>
      <c r="DB98" s="395" t="n"/>
      <c r="DC98" s="396" t="n"/>
      <c r="DD98" s="397">
        <f>IF(Q95="作業者3",N98-N95,0)</f>
        <v/>
      </c>
      <c r="DE98" s="395" t="n"/>
      <c r="DF98" s="395" t="n"/>
      <c r="DG98" s="395" t="n"/>
      <c r="DH98" s="396" t="n"/>
      <c r="DJ98" s="254" t="inlineStr">
        <is>
          <t>休日</t>
        </is>
      </c>
      <c r="DK98" s="395" t="n"/>
      <c r="DL98" s="395" t="n"/>
      <c r="DM98" s="396" t="n"/>
      <c r="DN98" s="397">
        <f>IF(Q95="作業者4",N98-N95,0)</f>
        <v/>
      </c>
      <c r="DO98" s="395" t="n"/>
      <c r="DP98" s="395" t="n"/>
      <c r="DQ98" s="395" t="n"/>
      <c r="DR98" s="396" t="n"/>
      <c r="DT98" s="254" t="inlineStr">
        <is>
          <t>休日</t>
        </is>
      </c>
      <c r="DU98" s="395" t="n"/>
      <c r="DV98" s="395" t="n"/>
      <c r="DW98" s="396" t="n"/>
      <c r="DX98" s="397">
        <f>IF(Q95="作業者5",N98-N95,0)</f>
        <v/>
      </c>
      <c r="DY98" s="395" t="n"/>
      <c r="DZ98" s="395" t="n"/>
      <c r="EA98" s="395" t="n"/>
      <c r="EB98" s="396" t="n"/>
    </row>
    <row r="99" ht="9" customHeight="1" s="337">
      <c r="B99" s="398" t="n"/>
      <c r="C99" s="372" t="n"/>
      <c r="D99" s="373" t="n"/>
      <c r="E99" s="399" t="n"/>
      <c r="F99" s="372" t="n"/>
      <c r="G99" s="373" t="n"/>
      <c r="H99" s="399" t="n"/>
      <c r="I99" s="372" t="n"/>
      <c r="J99" s="373" t="n"/>
      <c r="K99" s="399" t="n"/>
      <c r="L99" s="372" t="n"/>
      <c r="M99" s="373" t="n"/>
      <c r="N99" s="399" t="n"/>
      <c r="O99" s="372" t="n"/>
      <c r="P99" s="373" t="n"/>
      <c r="Q99" s="371" t="n"/>
      <c r="R99" s="372" t="n"/>
      <c r="S99" s="373" t="n"/>
      <c r="T99" s="371" t="n"/>
      <c r="U99" s="372" t="n"/>
      <c r="V99" s="373" t="n"/>
      <c r="W99" s="443" t="n"/>
      <c r="X99" s="372" t="n"/>
      <c r="Y99" s="372" t="n"/>
      <c r="Z99" s="372" t="n"/>
      <c r="AA99" s="372" t="n"/>
      <c r="AB99" s="372" t="n"/>
      <c r="AC99" s="372" t="n"/>
      <c r="AD99" s="372" t="n"/>
      <c r="AE99" s="372" t="n"/>
      <c r="AF99" s="372" t="n"/>
      <c r="AG99" s="372" t="n"/>
      <c r="AH99" s="372" t="n"/>
      <c r="AI99" s="372" t="n"/>
      <c r="AJ99" s="372" t="n"/>
      <c r="AK99" s="372" t="n"/>
      <c r="AL99" s="372" t="n"/>
      <c r="AM99" s="372" t="n"/>
      <c r="AN99" s="372" t="n"/>
      <c r="AO99" s="372" t="n"/>
      <c r="AP99" s="372" t="n"/>
      <c r="AQ99" s="372" t="n"/>
      <c r="AR99" s="372" t="n"/>
      <c r="AS99" s="372" t="n"/>
      <c r="AT99" s="372" t="n"/>
      <c r="AU99" s="372" t="n"/>
      <c r="AV99" s="372" t="n"/>
      <c r="AW99" s="372" t="n"/>
      <c r="AX99" s="372" t="n"/>
      <c r="AY99" s="372" t="n"/>
      <c r="AZ99" s="372" t="n"/>
      <c r="BA99" s="372" t="n"/>
      <c r="BB99" s="372" t="n"/>
      <c r="BC99" s="372" t="n"/>
      <c r="BD99" s="372" t="n"/>
      <c r="BE99" s="372" t="n"/>
      <c r="BF99" s="372" t="n"/>
      <c r="BG99" s="372" t="n"/>
      <c r="BH99" s="372" t="n"/>
      <c r="BI99" s="372" t="n"/>
      <c r="BJ99" s="372" t="n"/>
      <c r="BK99" s="372" t="n"/>
      <c r="BL99" s="372" t="n"/>
      <c r="BM99" s="372" t="n"/>
      <c r="BN99" s="372" t="n"/>
      <c r="BO99" s="372" t="n"/>
      <c r="BP99" s="372" t="n"/>
      <c r="BQ99" s="372" t="n"/>
      <c r="BR99" s="372" t="n"/>
      <c r="BS99" s="372" t="n"/>
      <c r="BT99" s="372" t="n"/>
      <c r="BU99" s="372" t="n"/>
      <c r="BV99" s="372" t="n"/>
      <c r="BW99" s="372" t="n"/>
      <c r="BX99" s="372" t="n"/>
      <c r="BY99" s="372" t="n"/>
      <c r="BZ99" s="372" t="n"/>
      <c r="CA99" s="372" t="n"/>
      <c r="CB99" s="372" t="n"/>
      <c r="CC99" s="402" t="n"/>
      <c r="CF99" s="259" t="inlineStr">
        <is>
          <t>移動</t>
        </is>
      </c>
      <c r="CG99" s="403" t="n"/>
      <c r="CH99" s="403" t="n"/>
      <c r="CI99" s="404" t="n"/>
      <c r="CJ99" s="379">
        <f>IF(Q99="作業者1",E102-E99,0)</f>
        <v/>
      </c>
      <c r="CK99" s="377" t="n"/>
      <c r="CL99" s="377" t="n"/>
      <c r="CM99" s="377" t="n"/>
      <c r="CN99" s="378" t="n"/>
      <c r="CP99" s="248" t="inlineStr">
        <is>
          <t>移動</t>
        </is>
      </c>
      <c r="CQ99" s="377" t="n"/>
      <c r="CR99" s="377" t="n"/>
      <c r="CS99" s="378" t="n"/>
      <c r="CT99" s="379">
        <f>IF(Q99="作業者2",E102-E99,0)</f>
        <v/>
      </c>
      <c r="CU99" s="377" t="n"/>
      <c r="CV99" s="377" t="n"/>
      <c r="CW99" s="377" t="n"/>
      <c r="CX99" s="378" t="n"/>
      <c r="CZ99" s="259" t="inlineStr">
        <is>
          <t>移動</t>
        </is>
      </c>
      <c r="DA99" s="403" t="n"/>
      <c r="DB99" s="403" t="n"/>
      <c r="DC99" s="404" t="n"/>
      <c r="DD99" s="405">
        <f>IF(Q99="作業者3",E102-E99,0)</f>
        <v/>
      </c>
      <c r="DE99" s="406" t="n"/>
      <c r="DF99" s="406" t="n"/>
      <c r="DG99" s="406" t="n"/>
      <c r="DH99" s="407" t="n"/>
      <c r="DJ99" s="259" t="inlineStr">
        <is>
          <t>移動</t>
        </is>
      </c>
      <c r="DK99" s="403" t="n"/>
      <c r="DL99" s="403" t="n"/>
      <c r="DM99" s="404" t="n"/>
      <c r="DN99" s="379">
        <f>IF(Q99="作業者4",E102-E99,0)</f>
        <v/>
      </c>
      <c r="DO99" s="377" t="n"/>
      <c r="DP99" s="377" t="n"/>
      <c r="DQ99" s="377" t="n"/>
      <c r="DR99" s="378" t="n"/>
      <c r="DT99" s="259" t="inlineStr">
        <is>
          <t>移動</t>
        </is>
      </c>
      <c r="DU99" s="403" t="n"/>
      <c r="DV99" s="403" t="n"/>
      <c r="DW99" s="404" t="n"/>
      <c r="DX99" s="379">
        <f>IF(Q99="作業者5",E102-E99,0)</f>
        <v/>
      </c>
      <c r="DY99" s="377" t="n"/>
      <c r="DZ99" s="377" t="n"/>
      <c r="EA99" s="377" t="n"/>
      <c r="EB99" s="378" t="n"/>
    </row>
    <row r="100" ht="9" customHeight="1" s="337">
      <c r="B100" s="350" t="n"/>
      <c r="C100" s="338" t="n"/>
      <c r="D100" s="380" t="n"/>
      <c r="E100" s="381" t="n"/>
      <c r="F100" s="122" t="inlineStr">
        <is>
          <t>～</t>
        </is>
      </c>
      <c r="G100" s="22" t="n"/>
      <c r="H100" s="381" t="n"/>
      <c r="I100" s="122" t="inlineStr">
        <is>
          <t>～</t>
        </is>
      </c>
      <c r="J100" s="22" t="n"/>
      <c r="K100" s="381" t="n"/>
      <c r="L100" s="122" t="inlineStr">
        <is>
          <t>～</t>
        </is>
      </c>
      <c r="M100" s="22" t="n"/>
      <c r="N100" s="381" t="n"/>
      <c r="O100" s="122" t="inlineStr">
        <is>
          <t>～</t>
        </is>
      </c>
      <c r="P100" s="22" t="n"/>
      <c r="Q100" s="382" t="n"/>
      <c r="R100" s="338" t="n"/>
      <c r="S100" s="380" t="n"/>
      <c r="T100" s="382" t="n"/>
      <c r="U100" s="338" t="n"/>
      <c r="V100" s="380" t="n"/>
      <c r="W100" s="382" t="n"/>
      <c r="X100" s="338" t="n"/>
      <c r="Y100" s="338" t="n"/>
      <c r="Z100" s="338" t="n"/>
      <c r="AA100" s="338" t="n"/>
      <c r="AB100" s="338" t="n"/>
      <c r="AC100" s="338" t="n"/>
      <c r="AD100" s="338" t="n"/>
      <c r="AE100" s="338" t="n"/>
      <c r="AF100" s="338" t="n"/>
      <c r="AG100" s="338" t="n"/>
      <c r="AH100" s="338" t="n"/>
      <c r="AI100" s="338" t="n"/>
      <c r="AJ100" s="338" t="n"/>
      <c r="AK100" s="338" t="n"/>
      <c r="AL100" s="338" t="n"/>
      <c r="AM100" s="338" t="n"/>
      <c r="AN100" s="338" t="n"/>
      <c r="AO100" s="338" t="n"/>
      <c r="AP100" s="338" t="n"/>
      <c r="AQ100" s="338" t="n"/>
      <c r="AR100" s="338" t="n"/>
      <c r="AS100" s="338" t="n"/>
      <c r="AT100" s="338" t="n"/>
      <c r="AU100" s="338" t="n"/>
      <c r="AV100" s="338" t="n"/>
      <c r="AW100" s="338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83" t="n"/>
      <c r="CF100" s="253" t="inlineStr">
        <is>
          <t>時間内</t>
        </is>
      </c>
      <c r="CG100" s="384" t="n"/>
      <c r="CH100" s="384" t="n"/>
      <c r="CI100" s="385" t="n"/>
      <c r="CJ100" s="386">
        <f>IF(Q99="作業者1",H102-H99,0)</f>
        <v/>
      </c>
      <c r="CK100" s="387" t="n"/>
      <c r="CL100" s="387" t="n"/>
      <c r="CM100" s="387" t="n"/>
      <c r="CN100" s="388" t="n"/>
      <c r="CP100" s="253" t="inlineStr">
        <is>
          <t>時間内</t>
        </is>
      </c>
      <c r="CQ100" s="384" t="n"/>
      <c r="CR100" s="384" t="n"/>
      <c r="CS100" s="385" t="n"/>
      <c r="CT100" s="386">
        <f>IF(Q99="作業者2",H102-H99,0)</f>
        <v/>
      </c>
      <c r="CU100" s="387" t="n"/>
      <c r="CV100" s="387" t="n"/>
      <c r="CW100" s="387" t="n"/>
      <c r="CX100" s="388" t="n"/>
      <c r="CZ100" s="253" t="inlineStr">
        <is>
          <t>時間内</t>
        </is>
      </c>
      <c r="DA100" s="384" t="n"/>
      <c r="DB100" s="384" t="n"/>
      <c r="DC100" s="385" t="n"/>
      <c r="DD100" s="386">
        <f>IF(Q99="作業者3",H102-H99,0)</f>
        <v/>
      </c>
      <c r="DE100" s="387" t="n"/>
      <c r="DF100" s="387" t="n"/>
      <c r="DG100" s="387" t="n"/>
      <c r="DH100" s="388" t="n"/>
      <c r="DJ100" s="253" t="inlineStr">
        <is>
          <t>時間内</t>
        </is>
      </c>
      <c r="DK100" s="384" t="n"/>
      <c r="DL100" s="384" t="n"/>
      <c r="DM100" s="385" t="n"/>
      <c r="DN100" s="386">
        <f>IF(Q99="作業者4",H102-H99,0)</f>
        <v/>
      </c>
      <c r="DO100" s="387" t="n"/>
      <c r="DP100" s="387" t="n"/>
      <c r="DQ100" s="387" t="n"/>
      <c r="DR100" s="388" t="n"/>
      <c r="DT100" s="253" t="inlineStr">
        <is>
          <t>時間内</t>
        </is>
      </c>
      <c r="DU100" s="384" t="n"/>
      <c r="DV100" s="384" t="n"/>
      <c r="DW100" s="385" t="n"/>
      <c r="DX100" s="386">
        <f>IF(Q99="作業者5",H102-H99,0)</f>
        <v/>
      </c>
      <c r="DY100" s="387" t="n"/>
      <c r="DZ100" s="387" t="n"/>
      <c r="EA100" s="387" t="n"/>
      <c r="EB100" s="388" t="n"/>
    </row>
    <row r="101" ht="9" customHeight="1" s="337">
      <c r="B101" s="350" t="n"/>
      <c r="C101" s="338" t="n"/>
      <c r="D101" s="380" t="n"/>
      <c r="E101" s="23" t="n"/>
      <c r="F101" s="338" t="n"/>
      <c r="G101" s="24" t="n"/>
      <c r="H101" s="23" t="n"/>
      <c r="I101" s="338" t="n"/>
      <c r="J101" s="24" t="n"/>
      <c r="K101" s="23" t="n"/>
      <c r="L101" s="338" t="n"/>
      <c r="M101" s="24" t="n"/>
      <c r="N101" s="23" t="n"/>
      <c r="O101" s="338" t="n"/>
      <c r="P101" s="24" t="n"/>
      <c r="Q101" s="382" t="n"/>
      <c r="R101" s="338" t="n"/>
      <c r="S101" s="380" t="n"/>
      <c r="T101" s="382" t="n"/>
      <c r="U101" s="338" t="n"/>
      <c r="V101" s="380" t="n"/>
      <c r="W101" s="382" t="n"/>
      <c r="X101" s="338" t="n"/>
      <c r="Y101" s="338" t="n"/>
      <c r="Z101" s="338" t="n"/>
      <c r="AA101" s="338" t="n"/>
      <c r="AB101" s="338" t="n"/>
      <c r="AC101" s="338" t="n"/>
      <c r="AD101" s="338" t="n"/>
      <c r="AE101" s="338" t="n"/>
      <c r="AF101" s="338" t="n"/>
      <c r="AG101" s="338" t="n"/>
      <c r="AH101" s="338" t="n"/>
      <c r="AI101" s="338" t="n"/>
      <c r="AJ101" s="338" t="n"/>
      <c r="AK101" s="338" t="n"/>
      <c r="AL101" s="338" t="n"/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38" t="n"/>
      <c r="AW101" s="338" t="n"/>
      <c r="AX101" s="338" t="n"/>
      <c r="AY101" s="338" t="n"/>
      <c r="AZ101" s="338" t="n"/>
      <c r="BA101" s="338" t="n"/>
      <c r="BB101" s="338" t="n"/>
      <c r="BC101" s="338" t="n"/>
      <c r="BD101" s="338" t="n"/>
      <c r="BE101" s="338" t="n"/>
      <c r="BF101" s="338" t="n"/>
      <c r="BG101" s="338" t="n"/>
      <c r="BH101" s="338" t="n"/>
      <c r="BI101" s="338" t="n"/>
      <c r="BJ101" s="338" t="n"/>
      <c r="BK101" s="338" t="n"/>
      <c r="BL101" s="338" t="n"/>
      <c r="BM101" s="338" t="n"/>
      <c r="BN101" s="338" t="n"/>
      <c r="BO101" s="338" t="n"/>
      <c r="BP101" s="338" t="n"/>
      <c r="BQ101" s="338" t="n"/>
      <c r="BR101" s="338" t="n"/>
      <c r="BS101" s="338" t="n"/>
      <c r="BT101" s="338" t="n"/>
      <c r="BU101" s="338" t="n"/>
      <c r="BV101" s="338" t="n"/>
      <c r="BW101" s="338" t="n"/>
      <c r="BX101" s="338" t="n"/>
      <c r="BY101" s="338" t="n"/>
      <c r="BZ101" s="338" t="n"/>
      <c r="CA101" s="338" t="n"/>
      <c r="CB101" s="338" t="n"/>
      <c r="CC101" s="383" t="n"/>
      <c r="CF101" s="253" t="inlineStr">
        <is>
          <t>時間外</t>
        </is>
      </c>
      <c r="CG101" s="384" t="n"/>
      <c r="CH101" s="384" t="n"/>
      <c r="CI101" s="385" t="n"/>
      <c r="CJ101" s="386">
        <f>IF(Q99="作業者1",K102-K99,0)</f>
        <v/>
      </c>
      <c r="CK101" s="387" t="n"/>
      <c r="CL101" s="387" t="n"/>
      <c r="CM101" s="387" t="n"/>
      <c r="CN101" s="388" t="n"/>
      <c r="CP101" s="253" t="inlineStr">
        <is>
          <t>時間外</t>
        </is>
      </c>
      <c r="CQ101" s="384" t="n"/>
      <c r="CR101" s="384" t="n"/>
      <c r="CS101" s="385" t="n"/>
      <c r="CT101" s="386">
        <f>IF(Q99="作業者2",K102-K99,0)</f>
        <v/>
      </c>
      <c r="CU101" s="387" t="n"/>
      <c r="CV101" s="387" t="n"/>
      <c r="CW101" s="387" t="n"/>
      <c r="CX101" s="388" t="n"/>
      <c r="CZ101" s="253" t="inlineStr">
        <is>
          <t>時間外</t>
        </is>
      </c>
      <c r="DA101" s="384" t="n"/>
      <c r="DB101" s="384" t="n"/>
      <c r="DC101" s="385" t="n"/>
      <c r="DD101" s="386">
        <f>IF(Q99="作業者3",K102-K99,0)</f>
        <v/>
      </c>
      <c r="DE101" s="387" t="n"/>
      <c r="DF101" s="387" t="n"/>
      <c r="DG101" s="387" t="n"/>
      <c r="DH101" s="388" t="n"/>
      <c r="DJ101" s="253" t="inlineStr">
        <is>
          <t>時間外</t>
        </is>
      </c>
      <c r="DK101" s="384" t="n"/>
      <c r="DL101" s="384" t="n"/>
      <c r="DM101" s="385" t="n"/>
      <c r="DN101" s="386">
        <f>IF(Q99="作業者4",K102-K99,0)</f>
        <v/>
      </c>
      <c r="DO101" s="387" t="n"/>
      <c r="DP101" s="387" t="n"/>
      <c r="DQ101" s="387" t="n"/>
      <c r="DR101" s="388" t="n"/>
      <c r="DT101" s="253" t="inlineStr">
        <is>
          <t>時間外</t>
        </is>
      </c>
      <c r="DU101" s="384" t="n"/>
      <c r="DV101" s="384" t="n"/>
      <c r="DW101" s="385" t="n"/>
      <c r="DX101" s="386">
        <f>IF(Q99="作業者5",K102-K99,0)</f>
        <v/>
      </c>
      <c r="DY101" s="387" t="n"/>
      <c r="DZ101" s="387" t="n"/>
      <c r="EA101" s="387" t="n"/>
      <c r="EB101" s="388" t="n"/>
    </row>
    <row r="102" ht="9" customHeight="1" s="337">
      <c r="B102" s="389" t="n"/>
      <c r="C102" s="390" t="n"/>
      <c r="D102" s="391" t="n"/>
      <c r="E102" s="392" t="n"/>
      <c r="F102" s="390" t="n"/>
      <c r="G102" s="391" t="n"/>
      <c r="H102" s="392" t="n"/>
      <c r="I102" s="390" t="n"/>
      <c r="J102" s="391" t="n"/>
      <c r="K102" s="392" t="n"/>
      <c r="L102" s="390" t="n"/>
      <c r="M102" s="391" t="n"/>
      <c r="N102" s="392" t="n"/>
      <c r="O102" s="390" t="n"/>
      <c r="P102" s="391" t="n"/>
      <c r="Q102" s="393" t="n"/>
      <c r="R102" s="390" t="n"/>
      <c r="S102" s="391" t="n"/>
      <c r="T102" s="393" t="n"/>
      <c r="U102" s="390" t="n"/>
      <c r="V102" s="391" t="n"/>
      <c r="W102" s="393" t="n"/>
      <c r="X102" s="390" t="n"/>
      <c r="Y102" s="390" t="n"/>
      <c r="Z102" s="390" t="n"/>
      <c r="AA102" s="390" t="n"/>
      <c r="AB102" s="390" t="n"/>
      <c r="AC102" s="390" t="n"/>
      <c r="AD102" s="390" t="n"/>
      <c r="AE102" s="390" t="n"/>
      <c r="AF102" s="390" t="n"/>
      <c r="AG102" s="390" t="n"/>
      <c r="AH102" s="390" t="n"/>
      <c r="AI102" s="390" t="n"/>
      <c r="AJ102" s="390" t="n"/>
      <c r="AK102" s="390" t="n"/>
      <c r="AL102" s="390" t="n"/>
      <c r="AM102" s="390" t="n"/>
      <c r="AN102" s="390" t="n"/>
      <c r="AO102" s="390" t="n"/>
      <c r="AP102" s="390" t="n"/>
      <c r="AQ102" s="390" t="n"/>
      <c r="AR102" s="390" t="n"/>
      <c r="AS102" s="390" t="n"/>
      <c r="AT102" s="390" t="n"/>
      <c r="AU102" s="390" t="n"/>
      <c r="AV102" s="390" t="n"/>
      <c r="AW102" s="390" t="n"/>
      <c r="AX102" s="390" t="n"/>
      <c r="AY102" s="390" t="n"/>
      <c r="AZ102" s="390" t="n"/>
      <c r="BA102" s="390" t="n"/>
      <c r="BB102" s="390" t="n"/>
      <c r="BC102" s="390" t="n"/>
      <c r="BD102" s="390" t="n"/>
      <c r="BE102" s="390" t="n"/>
      <c r="BF102" s="390" t="n"/>
      <c r="BG102" s="390" t="n"/>
      <c r="BH102" s="390" t="n"/>
      <c r="BI102" s="390" t="n"/>
      <c r="BJ102" s="390" t="n"/>
      <c r="BK102" s="390" t="n"/>
      <c r="BL102" s="390" t="n"/>
      <c r="BM102" s="390" t="n"/>
      <c r="BN102" s="390" t="n"/>
      <c r="BO102" s="390" t="n"/>
      <c r="BP102" s="390" t="n"/>
      <c r="BQ102" s="390" t="n"/>
      <c r="BR102" s="390" t="n"/>
      <c r="BS102" s="390" t="n"/>
      <c r="BT102" s="390" t="n"/>
      <c r="BU102" s="390" t="n"/>
      <c r="BV102" s="390" t="n"/>
      <c r="BW102" s="390" t="n"/>
      <c r="BX102" s="390" t="n"/>
      <c r="BY102" s="390" t="n"/>
      <c r="BZ102" s="390" t="n"/>
      <c r="CA102" s="390" t="n"/>
      <c r="CB102" s="390" t="n"/>
      <c r="CC102" s="394" t="n"/>
      <c r="CF102" s="254" t="inlineStr">
        <is>
          <t>休日</t>
        </is>
      </c>
      <c r="CG102" s="395" t="n"/>
      <c r="CH102" s="395" t="n"/>
      <c r="CI102" s="396" t="n"/>
      <c r="CJ102" s="397">
        <f>IF(Q99="作業者1",N102-N99,0)</f>
        <v/>
      </c>
      <c r="CK102" s="395" t="n"/>
      <c r="CL102" s="395" t="n"/>
      <c r="CM102" s="395" t="n"/>
      <c r="CN102" s="396" t="n"/>
      <c r="CP102" s="254" t="inlineStr">
        <is>
          <t>休日</t>
        </is>
      </c>
      <c r="CQ102" s="395" t="n"/>
      <c r="CR102" s="395" t="n"/>
      <c r="CS102" s="396" t="n"/>
      <c r="CT102" s="397">
        <f>IF(Q99="作業者2",N102-N99,0)</f>
        <v/>
      </c>
      <c r="CU102" s="395" t="n"/>
      <c r="CV102" s="395" t="n"/>
      <c r="CW102" s="395" t="n"/>
      <c r="CX102" s="396" t="n"/>
      <c r="CZ102" s="254" t="inlineStr">
        <is>
          <t>休日</t>
        </is>
      </c>
      <c r="DA102" s="395" t="n"/>
      <c r="DB102" s="395" t="n"/>
      <c r="DC102" s="396" t="n"/>
      <c r="DD102" s="397">
        <f>IF(Q99="作業者3",N102-N99,0)</f>
        <v/>
      </c>
      <c r="DE102" s="395" t="n"/>
      <c r="DF102" s="395" t="n"/>
      <c r="DG102" s="395" t="n"/>
      <c r="DH102" s="396" t="n"/>
      <c r="DJ102" s="254" t="inlineStr">
        <is>
          <t>休日</t>
        </is>
      </c>
      <c r="DK102" s="395" t="n"/>
      <c r="DL102" s="395" t="n"/>
      <c r="DM102" s="396" t="n"/>
      <c r="DN102" s="397">
        <f>IF(Q99="作業者4",N102-N99,0)</f>
        <v/>
      </c>
      <c r="DO102" s="395" t="n"/>
      <c r="DP102" s="395" t="n"/>
      <c r="DQ102" s="395" t="n"/>
      <c r="DR102" s="396" t="n"/>
      <c r="DT102" s="254" t="inlineStr">
        <is>
          <t>休日</t>
        </is>
      </c>
      <c r="DU102" s="395" t="n"/>
      <c r="DV102" s="395" t="n"/>
      <c r="DW102" s="396" t="n"/>
      <c r="DX102" s="397">
        <f>IF(Q99="作業者5",N102-N99,0)</f>
        <v/>
      </c>
      <c r="DY102" s="395" t="n"/>
      <c r="DZ102" s="395" t="n"/>
      <c r="EA102" s="395" t="n"/>
      <c r="EB102" s="396" t="n"/>
    </row>
    <row r="103" ht="9" customHeight="1" s="337">
      <c r="B103" s="398" t="n"/>
      <c r="C103" s="372" t="n"/>
      <c r="D103" s="373" t="n"/>
      <c r="E103" s="399" t="n"/>
      <c r="F103" s="372" t="n"/>
      <c r="G103" s="373" t="n"/>
      <c r="H103" s="399" t="n"/>
      <c r="I103" s="372" t="n"/>
      <c r="J103" s="373" t="n"/>
      <c r="K103" s="399" t="n"/>
      <c r="L103" s="372" t="n"/>
      <c r="M103" s="373" t="n"/>
      <c r="N103" s="399" t="n"/>
      <c r="O103" s="372" t="n"/>
      <c r="P103" s="373" t="n"/>
      <c r="Q103" s="371" t="n"/>
      <c r="R103" s="372" t="n"/>
      <c r="S103" s="373" t="n"/>
      <c r="T103" s="371" t="n"/>
      <c r="U103" s="372" t="n"/>
      <c r="V103" s="373" t="n"/>
      <c r="W103" s="443" t="n"/>
      <c r="X103" s="372" t="n"/>
      <c r="Y103" s="372" t="n"/>
      <c r="Z103" s="372" t="n"/>
      <c r="AA103" s="372" t="n"/>
      <c r="AB103" s="372" t="n"/>
      <c r="AC103" s="372" t="n"/>
      <c r="AD103" s="372" t="n"/>
      <c r="AE103" s="372" t="n"/>
      <c r="AF103" s="372" t="n"/>
      <c r="AG103" s="372" t="n"/>
      <c r="AH103" s="372" t="n"/>
      <c r="AI103" s="372" t="n"/>
      <c r="AJ103" s="372" t="n"/>
      <c r="AK103" s="372" t="n"/>
      <c r="AL103" s="372" t="n"/>
      <c r="AM103" s="372" t="n"/>
      <c r="AN103" s="372" t="n"/>
      <c r="AO103" s="372" t="n"/>
      <c r="AP103" s="372" t="n"/>
      <c r="AQ103" s="372" t="n"/>
      <c r="AR103" s="372" t="n"/>
      <c r="AS103" s="372" t="n"/>
      <c r="AT103" s="372" t="n"/>
      <c r="AU103" s="372" t="n"/>
      <c r="AV103" s="372" t="n"/>
      <c r="AW103" s="372" t="n"/>
      <c r="AX103" s="372" t="n"/>
      <c r="AY103" s="372" t="n"/>
      <c r="AZ103" s="372" t="n"/>
      <c r="BA103" s="372" t="n"/>
      <c r="BB103" s="372" t="n"/>
      <c r="BC103" s="372" t="n"/>
      <c r="BD103" s="372" t="n"/>
      <c r="BE103" s="372" t="n"/>
      <c r="BF103" s="372" t="n"/>
      <c r="BG103" s="372" t="n"/>
      <c r="BH103" s="372" t="n"/>
      <c r="BI103" s="372" t="n"/>
      <c r="BJ103" s="372" t="n"/>
      <c r="BK103" s="372" t="n"/>
      <c r="BL103" s="372" t="n"/>
      <c r="BM103" s="372" t="n"/>
      <c r="BN103" s="372" t="n"/>
      <c r="BO103" s="372" t="n"/>
      <c r="BP103" s="372" t="n"/>
      <c r="BQ103" s="372" t="n"/>
      <c r="BR103" s="372" t="n"/>
      <c r="BS103" s="372" t="n"/>
      <c r="BT103" s="372" t="n"/>
      <c r="BU103" s="372" t="n"/>
      <c r="BV103" s="372" t="n"/>
      <c r="BW103" s="372" t="n"/>
      <c r="BX103" s="372" t="n"/>
      <c r="BY103" s="372" t="n"/>
      <c r="BZ103" s="372" t="n"/>
      <c r="CA103" s="372" t="n"/>
      <c r="CB103" s="372" t="n"/>
      <c r="CC103" s="402" t="n"/>
      <c r="CF103" s="248" t="inlineStr">
        <is>
          <t>移動</t>
        </is>
      </c>
      <c r="CG103" s="377" t="n"/>
      <c r="CH103" s="377" t="n"/>
      <c r="CI103" s="378" t="n"/>
      <c r="CJ103" s="379">
        <f>IF(Q103="作業者1",E106-E103,0)</f>
        <v/>
      </c>
      <c r="CK103" s="377" t="n"/>
      <c r="CL103" s="377" t="n"/>
      <c r="CM103" s="377" t="n"/>
      <c r="CN103" s="378" t="n"/>
      <c r="CP103" s="248" t="inlineStr">
        <is>
          <t>移動</t>
        </is>
      </c>
      <c r="CQ103" s="377" t="n"/>
      <c r="CR103" s="377" t="n"/>
      <c r="CS103" s="378" t="n"/>
      <c r="CT103" s="379">
        <f>IF(Q103="作業者2",E106-E103,0)</f>
        <v/>
      </c>
      <c r="CU103" s="377" t="n"/>
      <c r="CV103" s="377" t="n"/>
      <c r="CW103" s="377" t="n"/>
      <c r="CX103" s="378" t="n"/>
      <c r="CZ103" s="248" t="inlineStr">
        <is>
          <t>移動</t>
        </is>
      </c>
      <c r="DA103" s="377" t="n"/>
      <c r="DB103" s="377" t="n"/>
      <c r="DC103" s="378" t="n"/>
      <c r="DD103" s="379">
        <f>IF(Q103="作業者3",E106-E103,0)</f>
        <v/>
      </c>
      <c r="DE103" s="377" t="n"/>
      <c r="DF103" s="377" t="n"/>
      <c r="DG103" s="377" t="n"/>
      <c r="DH103" s="378" t="n"/>
      <c r="DJ103" s="248" t="inlineStr">
        <is>
          <t>移動</t>
        </is>
      </c>
      <c r="DK103" s="377" t="n"/>
      <c r="DL103" s="377" t="n"/>
      <c r="DM103" s="378" t="n"/>
      <c r="DN103" s="379">
        <f>IF(Q103="作業者4",E106-E103,0)</f>
        <v/>
      </c>
      <c r="DO103" s="377" t="n"/>
      <c r="DP103" s="377" t="n"/>
      <c r="DQ103" s="377" t="n"/>
      <c r="DR103" s="378" t="n"/>
      <c r="DT103" s="259" t="inlineStr">
        <is>
          <t>移動</t>
        </is>
      </c>
      <c r="DU103" s="403" t="n"/>
      <c r="DV103" s="403" t="n"/>
      <c r="DW103" s="404" t="n"/>
      <c r="DX103" s="379">
        <f>IF(Q103="作業者5",E106-E103,0)</f>
        <v/>
      </c>
      <c r="DY103" s="377" t="n"/>
      <c r="DZ103" s="377" t="n"/>
      <c r="EA103" s="377" t="n"/>
      <c r="EB103" s="378" t="n"/>
    </row>
    <row r="104" ht="9" customHeight="1" s="337">
      <c r="B104" s="350" t="n"/>
      <c r="C104" s="338" t="n"/>
      <c r="D104" s="380" t="n"/>
      <c r="E104" s="381" t="n"/>
      <c r="F104" s="122" t="inlineStr">
        <is>
          <t>～</t>
        </is>
      </c>
      <c r="G104" s="22" t="n"/>
      <c r="H104" s="381" t="n"/>
      <c r="I104" s="122" t="inlineStr">
        <is>
          <t>～</t>
        </is>
      </c>
      <c r="J104" s="22" t="n"/>
      <c r="K104" s="381" t="n"/>
      <c r="L104" s="122" t="inlineStr">
        <is>
          <t>～</t>
        </is>
      </c>
      <c r="M104" s="22" t="n"/>
      <c r="N104" s="381" t="n"/>
      <c r="O104" s="122" t="inlineStr">
        <is>
          <t>～</t>
        </is>
      </c>
      <c r="P104" s="22" t="n"/>
      <c r="Q104" s="382" t="n"/>
      <c r="R104" s="338" t="n"/>
      <c r="S104" s="380" t="n"/>
      <c r="T104" s="382" t="n"/>
      <c r="U104" s="338" t="n"/>
      <c r="V104" s="380" t="n"/>
      <c r="W104" s="382" t="n"/>
      <c r="X104" s="338" t="n"/>
      <c r="Y104" s="338" t="n"/>
      <c r="Z104" s="338" t="n"/>
      <c r="AA104" s="338" t="n"/>
      <c r="AB104" s="338" t="n"/>
      <c r="AC104" s="338" t="n"/>
      <c r="AD104" s="338" t="n"/>
      <c r="AE104" s="338" t="n"/>
      <c r="AF104" s="338" t="n"/>
      <c r="AG104" s="338" t="n"/>
      <c r="AH104" s="338" t="n"/>
      <c r="AI104" s="338" t="n"/>
      <c r="AJ104" s="338" t="n"/>
      <c r="AK104" s="338" t="n"/>
      <c r="AL104" s="338" t="n"/>
      <c r="AM104" s="338" t="n"/>
      <c r="AN104" s="338" t="n"/>
      <c r="AO104" s="338" t="n"/>
      <c r="AP104" s="338" t="n"/>
      <c r="AQ104" s="338" t="n"/>
      <c r="AR104" s="338" t="n"/>
      <c r="AS104" s="338" t="n"/>
      <c r="AT104" s="338" t="n"/>
      <c r="AU104" s="338" t="n"/>
      <c r="AV104" s="338" t="n"/>
      <c r="AW104" s="338" t="n"/>
      <c r="AX104" s="338" t="n"/>
      <c r="AY104" s="338" t="n"/>
      <c r="AZ104" s="338" t="n"/>
      <c r="BA104" s="338" t="n"/>
      <c r="BB104" s="338" t="n"/>
      <c r="BC104" s="338" t="n"/>
      <c r="BD104" s="338" t="n"/>
      <c r="BE104" s="338" t="n"/>
      <c r="BF104" s="338" t="n"/>
      <c r="BG104" s="338" t="n"/>
      <c r="BH104" s="338" t="n"/>
      <c r="BI104" s="338" t="n"/>
      <c r="BJ104" s="338" t="n"/>
      <c r="BK104" s="338" t="n"/>
      <c r="BL104" s="338" t="n"/>
      <c r="BM104" s="338" t="n"/>
      <c r="BN104" s="338" t="n"/>
      <c r="BO104" s="338" t="n"/>
      <c r="BP104" s="338" t="n"/>
      <c r="BQ104" s="338" t="n"/>
      <c r="BR104" s="338" t="n"/>
      <c r="BS104" s="338" t="n"/>
      <c r="BT104" s="338" t="n"/>
      <c r="BU104" s="338" t="n"/>
      <c r="BV104" s="338" t="n"/>
      <c r="BW104" s="338" t="n"/>
      <c r="BX104" s="338" t="n"/>
      <c r="BY104" s="338" t="n"/>
      <c r="BZ104" s="338" t="n"/>
      <c r="CA104" s="338" t="n"/>
      <c r="CB104" s="338" t="n"/>
      <c r="CC104" s="383" t="n"/>
      <c r="CF104" s="253" t="inlineStr">
        <is>
          <t>時間内</t>
        </is>
      </c>
      <c r="CG104" s="384" t="n"/>
      <c r="CH104" s="384" t="n"/>
      <c r="CI104" s="385" t="n"/>
      <c r="CJ104" s="386">
        <f>IF(Q103="作業者1",H106-H103,0)</f>
        <v/>
      </c>
      <c r="CK104" s="387" t="n"/>
      <c r="CL104" s="387" t="n"/>
      <c r="CM104" s="387" t="n"/>
      <c r="CN104" s="388" t="n"/>
      <c r="CP104" s="253" t="inlineStr">
        <is>
          <t>時間内</t>
        </is>
      </c>
      <c r="CQ104" s="384" t="n"/>
      <c r="CR104" s="384" t="n"/>
      <c r="CS104" s="385" t="n"/>
      <c r="CT104" s="386">
        <f>IF(Q103="作業者2",H106-H103,0)</f>
        <v/>
      </c>
      <c r="CU104" s="387" t="n"/>
      <c r="CV104" s="387" t="n"/>
      <c r="CW104" s="387" t="n"/>
      <c r="CX104" s="388" t="n"/>
      <c r="CZ104" s="253" t="inlineStr">
        <is>
          <t>時間内</t>
        </is>
      </c>
      <c r="DA104" s="384" t="n"/>
      <c r="DB104" s="384" t="n"/>
      <c r="DC104" s="385" t="n"/>
      <c r="DD104" s="386">
        <f>IF(Q103="作業者3",H106-H103,0)</f>
        <v/>
      </c>
      <c r="DE104" s="387" t="n"/>
      <c r="DF104" s="387" t="n"/>
      <c r="DG104" s="387" t="n"/>
      <c r="DH104" s="388" t="n"/>
      <c r="DJ104" s="253" t="inlineStr">
        <is>
          <t>時間内</t>
        </is>
      </c>
      <c r="DK104" s="384" t="n"/>
      <c r="DL104" s="384" t="n"/>
      <c r="DM104" s="385" t="n"/>
      <c r="DN104" s="386">
        <f>IF(Q103="作業者4",H106-H103,0)</f>
        <v/>
      </c>
      <c r="DO104" s="387" t="n"/>
      <c r="DP104" s="387" t="n"/>
      <c r="DQ104" s="387" t="n"/>
      <c r="DR104" s="388" t="n"/>
      <c r="DT104" s="253" t="inlineStr">
        <is>
          <t>時間内</t>
        </is>
      </c>
      <c r="DU104" s="384" t="n"/>
      <c r="DV104" s="384" t="n"/>
      <c r="DW104" s="385" t="n"/>
      <c r="DX104" s="386">
        <f>IF(Q103="作業者5",H106-H103,0)</f>
        <v/>
      </c>
      <c r="DY104" s="387" t="n"/>
      <c r="DZ104" s="387" t="n"/>
      <c r="EA104" s="387" t="n"/>
      <c r="EB104" s="388" t="n"/>
    </row>
    <row r="105" ht="9" customHeight="1" s="337">
      <c r="B105" s="350" t="n"/>
      <c r="C105" s="338" t="n"/>
      <c r="D105" s="380" t="n"/>
      <c r="E105" s="23" t="n"/>
      <c r="F105" s="338" t="n"/>
      <c r="G105" s="24" t="n"/>
      <c r="H105" s="23" t="n"/>
      <c r="I105" s="338" t="n"/>
      <c r="J105" s="24" t="n"/>
      <c r="K105" s="23" t="n"/>
      <c r="L105" s="338" t="n"/>
      <c r="M105" s="24" t="n"/>
      <c r="N105" s="23" t="n"/>
      <c r="O105" s="338" t="n"/>
      <c r="P105" s="24" t="n"/>
      <c r="Q105" s="382" t="n"/>
      <c r="R105" s="338" t="n"/>
      <c r="S105" s="380" t="n"/>
      <c r="T105" s="382" t="n"/>
      <c r="U105" s="338" t="n"/>
      <c r="V105" s="380" t="n"/>
      <c r="W105" s="382" t="n"/>
      <c r="X105" s="338" t="n"/>
      <c r="Y105" s="338" t="n"/>
      <c r="Z105" s="338" t="n"/>
      <c r="AA105" s="338" t="n"/>
      <c r="AB105" s="338" t="n"/>
      <c r="AC105" s="338" t="n"/>
      <c r="AD105" s="338" t="n"/>
      <c r="AE105" s="338" t="n"/>
      <c r="AF105" s="338" t="n"/>
      <c r="AG105" s="338" t="n"/>
      <c r="AH105" s="338" t="n"/>
      <c r="AI105" s="338" t="n"/>
      <c r="AJ105" s="338" t="n"/>
      <c r="AK105" s="338" t="n"/>
      <c r="AL105" s="338" t="n"/>
      <c r="AM105" s="338" t="n"/>
      <c r="AN105" s="338" t="n"/>
      <c r="AO105" s="338" t="n"/>
      <c r="AP105" s="338" t="n"/>
      <c r="AQ105" s="338" t="n"/>
      <c r="AR105" s="338" t="n"/>
      <c r="AS105" s="338" t="n"/>
      <c r="AT105" s="338" t="n"/>
      <c r="AU105" s="338" t="n"/>
      <c r="AV105" s="338" t="n"/>
      <c r="AW105" s="338" t="n"/>
      <c r="AX105" s="338" t="n"/>
      <c r="AY105" s="338" t="n"/>
      <c r="AZ105" s="338" t="n"/>
      <c r="BA105" s="338" t="n"/>
      <c r="BB105" s="338" t="n"/>
      <c r="BC105" s="338" t="n"/>
      <c r="BD105" s="338" t="n"/>
      <c r="BE105" s="338" t="n"/>
      <c r="BF105" s="338" t="n"/>
      <c r="BG105" s="338" t="n"/>
      <c r="BH105" s="338" t="n"/>
      <c r="BI105" s="338" t="n"/>
      <c r="BJ105" s="338" t="n"/>
      <c r="BK105" s="338" t="n"/>
      <c r="BL105" s="338" t="n"/>
      <c r="BM105" s="338" t="n"/>
      <c r="BN105" s="338" t="n"/>
      <c r="BO105" s="338" t="n"/>
      <c r="BP105" s="338" t="n"/>
      <c r="BQ105" s="338" t="n"/>
      <c r="BR105" s="338" t="n"/>
      <c r="BS105" s="338" t="n"/>
      <c r="BT105" s="338" t="n"/>
      <c r="BU105" s="338" t="n"/>
      <c r="BV105" s="338" t="n"/>
      <c r="BW105" s="338" t="n"/>
      <c r="BX105" s="338" t="n"/>
      <c r="BY105" s="338" t="n"/>
      <c r="BZ105" s="338" t="n"/>
      <c r="CA105" s="338" t="n"/>
      <c r="CB105" s="338" t="n"/>
      <c r="CC105" s="383" t="n"/>
      <c r="CF105" s="253" t="inlineStr">
        <is>
          <t>時間外</t>
        </is>
      </c>
      <c r="CG105" s="384" t="n"/>
      <c r="CH105" s="384" t="n"/>
      <c r="CI105" s="385" t="n"/>
      <c r="CJ105" s="386">
        <f>IF(Q103="作業者1",K106-K103,0)</f>
        <v/>
      </c>
      <c r="CK105" s="387" t="n"/>
      <c r="CL105" s="387" t="n"/>
      <c r="CM105" s="387" t="n"/>
      <c r="CN105" s="388" t="n"/>
      <c r="CP105" s="253" t="inlineStr">
        <is>
          <t>時間外</t>
        </is>
      </c>
      <c r="CQ105" s="384" t="n"/>
      <c r="CR105" s="384" t="n"/>
      <c r="CS105" s="385" t="n"/>
      <c r="CT105" s="386">
        <f>IF(Q103="作業者2",K106-K103,0)</f>
        <v/>
      </c>
      <c r="CU105" s="387" t="n"/>
      <c r="CV105" s="387" t="n"/>
      <c r="CW105" s="387" t="n"/>
      <c r="CX105" s="388" t="n"/>
      <c r="CZ105" s="253" t="inlineStr">
        <is>
          <t>時間外</t>
        </is>
      </c>
      <c r="DA105" s="384" t="n"/>
      <c r="DB105" s="384" t="n"/>
      <c r="DC105" s="385" t="n"/>
      <c r="DD105" s="386">
        <f>IF(Q103="作業者3",K106-K103,0)</f>
        <v/>
      </c>
      <c r="DE105" s="387" t="n"/>
      <c r="DF105" s="387" t="n"/>
      <c r="DG105" s="387" t="n"/>
      <c r="DH105" s="388" t="n"/>
      <c r="DJ105" s="253" t="inlineStr">
        <is>
          <t>時間外</t>
        </is>
      </c>
      <c r="DK105" s="384" t="n"/>
      <c r="DL105" s="384" t="n"/>
      <c r="DM105" s="385" t="n"/>
      <c r="DN105" s="386">
        <f>IF(Q103="作業者4",K106-K103,0)</f>
        <v/>
      </c>
      <c r="DO105" s="387" t="n"/>
      <c r="DP105" s="387" t="n"/>
      <c r="DQ105" s="387" t="n"/>
      <c r="DR105" s="388" t="n"/>
      <c r="DT105" s="253" t="inlineStr">
        <is>
          <t>時間外</t>
        </is>
      </c>
      <c r="DU105" s="384" t="n"/>
      <c r="DV105" s="384" t="n"/>
      <c r="DW105" s="385" t="n"/>
      <c r="DX105" s="386">
        <f>IF(Q103="作業者5",K106-K103,0)</f>
        <v/>
      </c>
      <c r="DY105" s="387" t="n"/>
      <c r="DZ105" s="387" t="n"/>
      <c r="EA105" s="387" t="n"/>
      <c r="EB105" s="388" t="n"/>
    </row>
    <row r="106" ht="9" customHeight="1" s="337">
      <c r="B106" s="389" t="n"/>
      <c r="C106" s="390" t="n"/>
      <c r="D106" s="391" t="n"/>
      <c r="E106" s="392" t="n"/>
      <c r="F106" s="390" t="n"/>
      <c r="G106" s="391" t="n"/>
      <c r="H106" s="392" t="n"/>
      <c r="I106" s="390" t="n"/>
      <c r="J106" s="391" t="n"/>
      <c r="K106" s="392" t="n"/>
      <c r="L106" s="390" t="n"/>
      <c r="M106" s="391" t="n"/>
      <c r="N106" s="392" t="n"/>
      <c r="O106" s="390" t="n"/>
      <c r="P106" s="391" t="n"/>
      <c r="Q106" s="393" t="n"/>
      <c r="R106" s="390" t="n"/>
      <c r="S106" s="391" t="n"/>
      <c r="T106" s="393" t="n"/>
      <c r="U106" s="390" t="n"/>
      <c r="V106" s="391" t="n"/>
      <c r="W106" s="393" t="n"/>
      <c r="X106" s="390" t="n"/>
      <c r="Y106" s="390" t="n"/>
      <c r="Z106" s="390" t="n"/>
      <c r="AA106" s="390" t="n"/>
      <c r="AB106" s="390" t="n"/>
      <c r="AC106" s="390" t="n"/>
      <c r="AD106" s="390" t="n"/>
      <c r="AE106" s="390" t="n"/>
      <c r="AF106" s="390" t="n"/>
      <c r="AG106" s="390" t="n"/>
      <c r="AH106" s="390" t="n"/>
      <c r="AI106" s="390" t="n"/>
      <c r="AJ106" s="390" t="n"/>
      <c r="AK106" s="390" t="n"/>
      <c r="AL106" s="390" t="n"/>
      <c r="AM106" s="390" t="n"/>
      <c r="AN106" s="390" t="n"/>
      <c r="AO106" s="390" t="n"/>
      <c r="AP106" s="390" t="n"/>
      <c r="AQ106" s="390" t="n"/>
      <c r="AR106" s="390" t="n"/>
      <c r="AS106" s="390" t="n"/>
      <c r="AT106" s="390" t="n"/>
      <c r="AU106" s="390" t="n"/>
      <c r="AV106" s="390" t="n"/>
      <c r="AW106" s="390" t="n"/>
      <c r="AX106" s="390" t="n"/>
      <c r="AY106" s="390" t="n"/>
      <c r="AZ106" s="390" t="n"/>
      <c r="BA106" s="390" t="n"/>
      <c r="BB106" s="390" t="n"/>
      <c r="BC106" s="390" t="n"/>
      <c r="BD106" s="390" t="n"/>
      <c r="BE106" s="390" t="n"/>
      <c r="BF106" s="390" t="n"/>
      <c r="BG106" s="390" t="n"/>
      <c r="BH106" s="390" t="n"/>
      <c r="BI106" s="390" t="n"/>
      <c r="BJ106" s="390" t="n"/>
      <c r="BK106" s="390" t="n"/>
      <c r="BL106" s="390" t="n"/>
      <c r="BM106" s="390" t="n"/>
      <c r="BN106" s="390" t="n"/>
      <c r="BO106" s="390" t="n"/>
      <c r="BP106" s="390" t="n"/>
      <c r="BQ106" s="390" t="n"/>
      <c r="BR106" s="390" t="n"/>
      <c r="BS106" s="390" t="n"/>
      <c r="BT106" s="390" t="n"/>
      <c r="BU106" s="390" t="n"/>
      <c r="BV106" s="390" t="n"/>
      <c r="BW106" s="390" t="n"/>
      <c r="BX106" s="390" t="n"/>
      <c r="BY106" s="390" t="n"/>
      <c r="BZ106" s="390" t="n"/>
      <c r="CA106" s="390" t="n"/>
      <c r="CB106" s="390" t="n"/>
      <c r="CC106" s="394" t="n"/>
      <c r="CF106" s="254" t="inlineStr">
        <is>
          <t>休日</t>
        </is>
      </c>
      <c r="CG106" s="395" t="n"/>
      <c r="CH106" s="395" t="n"/>
      <c r="CI106" s="396" t="n"/>
      <c r="CJ106" s="386">
        <f>IF(Q103="作業者1",N106-N103,0)</f>
        <v/>
      </c>
      <c r="CK106" s="387" t="n"/>
      <c r="CL106" s="387" t="n"/>
      <c r="CM106" s="387" t="n"/>
      <c r="CN106" s="388" t="n"/>
      <c r="CP106" s="253" t="inlineStr">
        <is>
          <t>休日</t>
        </is>
      </c>
      <c r="CQ106" s="384" t="n"/>
      <c r="CR106" s="384" t="n"/>
      <c r="CS106" s="385" t="n"/>
      <c r="CT106" s="386">
        <f>IF(Q103="作業者2",N106-N103,0)</f>
        <v/>
      </c>
      <c r="CU106" s="387" t="n"/>
      <c r="CV106" s="387" t="n"/>
      <c r="CW106" s="387" t="n"/>
      <c r="CX106" s="388" t="n"/>
      <c r="CZ106" s="254" t="inlineStr">
        <is>
          <t>休日</t>
        </is>
      </c>
      <c r="DA106" s="395" t="n"/>
      <c r="DB106" s="395" t="n"/>
      <c r="DC106" s="396" t="n"/>
      <c r="DD106" s="397">
        <f>IF(Q103="作業者3",N106-N103,0)</f>
        <v/>
      </c>
      <c r="DE106" s="395" t="n"/>
      <c r="DF106" s="395" t="n"/>
      <c r="DG106" s="395" t="n"/>
      <c r="DH106" s="396" t="n"/>
      <c r="DJ106" s="254" t="inlineStr">
        <is>
          <t>休日</t>
        </is>
      </c>
      <c r="DK106" s="395" t="n"/>
      <c r="DL106" s="395" t="n"/>
      <c r="DM106" s="396" t="n"/>
      <c r="DN106" s="397">
        <f>IF(Q103="作業者4",N106-N103,0)</f>
        <v/>
      </c>
      <c r="DO106" s="395" t="n"/>
      <c r="DP106" s="395" t="n"/>
      <c r="DQ106" s="395" t="n"/>
      <c r="DR106" s="396" t="n"/>
      <c r="DT106" s="254" t="inlineStr">
        <is>
          <t>休日</t>
        </is>
      </c>
      <c r="DU106" s="395" t="n"/>
      <c r="DV106" s="395" t="n"/>
      <c r="DW106" s="396" t="n"/>
      <c r="DX106" s="397">
        <f>IF(Q103="作業者5",N106-N103,0)</f>
        <v/>
      </c>
      <c r="DY106" s="395" t="n"/>
      <c r="DZ106" s="395" t="n"/>
      <c r="EA106" s="395" t="n"/>
      <c r="EB106" s="396" t="n"/>
    </row>
    <row r="107" ht="9" customHeight="1" s="337">
      <c r="B107" s="398" t="n"/>
      <c r="C107" s="372" t="n"/>
      <c r="D107" s="373" t="n"/>
      <c r="E107" s="399" t="n"/>
      <c r="F107" s="372" t="n"/>
      <c r="G107" s="373" t="n"/>
      <c r="H107" s="399" t="n"/>
      <c r="I107" s="372" t="n"/>
      <c r="J107" s="373" t="n"/>
      <c r="K107" s="399" t="n"/>
      <c r="L107" s="372" t="n"/>
      <c r="M107" s="373" t="n"/>
      <c r="N107" s="399" t="n"/>
      <c r="O107" s="372" t="n"/>
      <c r="P107" s="373" t="n"/>
      <c r="Q107" s="371" t="n"/>
      <c r="R107" s="372" t="n"/>
      <c r="S107" s="373" t="n"/>
      <c r="T107" s="371" t="n"/>
      <c r="U107" s="372" t="n"/>
      <c r="V107" s="373" t="n"/>
      <c r="W107" s="443" t="n"/>
      <c r="X107" s="372" t="n"/>
      <c r="Y107" s="372" t="n"/>
      <c r="Z107" s="372" t="n"/>
      <c r="AA107" s="372" t="n"/>
      <c r="AB107" s="372" t="n"/>
      <c r="AC107" s="372" t="n"/>
      <c r="AD107" s="372" t="n"/>
      <c r="AE107" s="372" t="n"/>
      <c r="AF107" s="372" t="n"/>
      <c r="AG107" s="372" t="n"/>
      <c r="AH107" s="372" t="n"/>
      <c r="AI107" s="372" t="n"/>
      <c r="AJ107" s="372" t="n"/>
      <c r="AK107" s="372" t="n"/>
      <c r="AL107" s="372" t="n"/>
      <c r="AM107" s="372" t="n"/>
      <c r="AN107" s="372" t="n"/>
      <c r="AO107" s="372" t="n"/>
      <c r="AP107" s="372" t="n"/>
      <c r="AQ107" s="372" t="n"/>
      <c r="AR107" s="372" t="n"/>
      <c r="AS107" s="372" t="n"/>
      <c r="AT107" s="372" t="n"/>
      <c r="AU107" s="372" t="n"/>
      <c r="AV107" s="372" t="n"/>
      <c r="AW107" s="372" t="n"/>
      <c r="AX107" s="372" t="n"/>
      <c r="AY107" s="372" t="n"/>
      <c r="AZ107" s="372" t="n"/>
      <c r="BA107" s="372" t="n"/>
      <c r="BB107" s="372" t="n"/>
      <c r="BC107" s="372" t="n"/>
      <c r="BD107" s="372" t="n"/>
      <c r="BE107" s="372" t="n"/>
      <c r="BF107" s="372" t="n"/>
      <c r="BG107" s="372" t="n"/>
      <c r="BH107" s="372" t="n"/>
      <c r="BI107" s="372" t="n"/>
      <c r="BJ107" s="372" t="n"/>
      <c r="BK107" s="372" t="n"/>
      <c r="BL107" s="372" t="n"/>
      <c r="BM107" s="372" t="n"/>
      <c r="BN107" s="372" t="n"/>
      <c r="BO107" s="372" t="n"/>
      <c r="BP107" s="372" t="n"/>
      <c r="BQ107" s="372" t="n"/>
      <c r="BR107" s="372" t="n"/>
      <c r="BS107" s="372" t="n"/>
      <c r="BT107" s="372" t="n"/>
      <c r="BU107" s="372" t="n"/>
      <c r="BV107" s="372" t="n"/>
      <c r="BW107" s="372" t="n"/>
      <c r="BX107" s="372" t="n"/>
      <c r="BY107" s="372" t="n"/>
      <c r="BZ107" s="372" t="n"/>
      <c r="CA107" s="372" t="n"/>
      <c r="CB107" s="372" t="n"/>
      <c r="CC107" s="402" t="n"/>
      <c r="CF107" s="259" t="inlineStr">
        <is>
          <t>移動</t>
        </is>
      </c>
      <c r="CG107" s="403" t="n"/>
      <c r="CH107" s="403" t="n"/>
      <c r="CI107" s="404" t="n"/>
      <c r="CJ107" s="379">
        <f>IF(Q107="作業者1",E110-E107,0)</f>
        <v/>
      </c>
      <c r="CK107" s="377" t="n"/>
      <c r="CL107" s="377" t="n"/>
      <c r="CM107" s="377" t="n"/>
      <c r="CN107" s="378" t="n"/>
      <c r="CP107" s="248" t="inlineStr">
        <is>
          <t>移動</t>
        </is>
      </c>
      <c r="CQ107" s="377" t="n"/>
      <c r="CR107" s="377" t="n"/>
      <c r="CS107" s="378" t="n"/>
      <c r="CT107" s="379">
        <f>IF(Q107="作業者2",E110-E107,0)</f>
        <v/>
      </c>
      <c r="CU107" s="377" t="n"/>
      <c r="CV107" s="377" t="n"/>
      <c r="CW107" s="377" t="n"/>
      <c r="CX107" s="378" t="n"/>
      <c r="CZ107" s="259" t="inlineStr">
        <is>
          <t>移動</t>
        </is>
      </c>
      <c r="DA107" s="403" t="n"/>
      <c r="DB107" s="403" t="n"/>
      <c r="DC107" s="404" t="n"/>
      <c r="DD107" s="405">
        <f>IF(Q107="作業者3",E110-E107,0)</f>
        <v/>
      </c>
      <c r="DE107" s="406" t="n"/>
      <c r="DF107" s="406" t="n"/>
      <c r="DG107" s="406" t="n"/>
      <c r="DH107" s="407" t="n"/>
      <c r="DJ107" s="259" t="inlineStr">
        <is>
          <t>移動</t>
        </is>
      </c>
      <c r="DK107" s="403" t="n"/>
      <c r="DL107" s="403" t="n"/>
      <c r="DM107" s="404" t="n"/>
      <c r="DN107" s="379">
        <f>IF(Q107="作業者4",E110-E107,0)</f>
        <v/>
      </c>
      <c r="DO107" s="377" t="n"/>
      <c r="DP107" s="377" t="n"/>
      <c r="DQ107" s="377" t="n"/>
      <c r="DR107" s="378" t="n"/>
      <c r="DT107" s="259" t="inlineStr">
        <is>
          <t>移動</t>
        </is>
      </c>
      <c r="DU107" s="403" t="n"/>
      <c r="DV107" s="403" t="n"/>
      <c r="DW107" s="404" t="n"/>
      <c r="DX107" s="379">
        <f>IF(Q107="作業者5",E110-E107,0)</f>
        <v/>
      </c>
      <c r="DY107" s="377" t="n"/>
      <c r="DZ107" s="377" t="n"/>
      <c r="EA107" s="377" t="n"/>
      <c r="EB107" s="378" t="n"/>
    </row>
    <row r="108" ht="9" customHeight="1" s="337">
      <c r="B108" s="350" t="n"/>
      <c r="C108" s="338" t="n"/>
      <c r="D108" s="380" t="n"/>
      <c r="E108" s="381" t="n"/>
      <c r="F108" s="122" t="inlineStr">
        <is>
          <t>～</t>
        </is>
      </c>
      <c r="G108" s="22" t="n"/>
      <c r="H108" s="381" t="n"/>
      <c r="I108" s="122" t="inlineStr">
        <is>
          <t>～</t>
        </is>
      </c>
      <c r="J108" s="22" t="n"/>
      <c r="K108" s="381" t="n"/>
      <c r="L108" s="122" t="inlineStr">
        <is>
          <t>～</t>
        </is>
      </c>
      <c r="M108" s="22" t="n"/>
      <c r="N108" s="381" t="n"/>
      <c r="O108" s="122" t="inlineStr">
        <is>
          <t>～</t>
        </is>
      </c>
      <c r="P108" s="22" t="n"/>
      <c r="Q108" s="382" t="n"/>
      <c r="R108" s="338" t="n"/>
      <c r="S108" s="380" t="n"/>
      <c r="T108" s="382" t="n"/>
      <c r="U108" s="338" t="n"/>
      <c r="V108" s="380" t="n"/>
      <c r="W108" s="382" t="n"/>
      <c r="X108" s="338" t="n"/>
      <c r="Y108" s="338" t="n"/>
      <c r="Z108" s="338" t="n"/>
      <c r="AA108" s="338" t="n"/>
      <c r="AB108" s="338" t="n"/>
      <c r="AC108" s="338" t="n"/>
      <c r="AD108" s="338" t="n"/>
      <c r="AE108" s="338" t="n"/>
      <c r="AF108" s="338" t="n"/>
      <c r="AG108" s="338" t="n"/>
      <c r="AH108" s="338" t="n"/>
      <c r="AI108" s="338" t="n"/>
      <c r="AJ108" s="338" t="n"/>
      <c r="AK108" s="338" t="n"/>
      <c r="AL108" s="338" t="n"/>
      <c r="AM108" s="338" t="n"/>
      <c r="AN108" s="338" t="n"/>
      <c r="AO108" s="338" t="n"/>
      <c r="AP108" s="338" t="n"/>
      <c r="AQ108" s="338" t="n"/>
      <c r="AR108" s="338" t="n"/>
      <c r="AS108" s="338" t="n"/>
      <c r="AT108" s="338" t="n"/>
      <c r="AU108" s="338" t="n"/>
      <c r="AV108" s="338" t="n"/>
      <c r="AW108" s="338" t="n"/>
      <c r="AX108" s="338" t="n"/>
      <c r="AY108" s="338" t="n"/>
      <c r="AZ108" s="338" t="n"/>
      <c r="BA108" s="338" t="n"/>
      <c r="BB108" s="338" t="n"/>
      <c r="BC108" s="338" t="n"/>
      <c r="BD108" s="338" t="n"/>
      <c r="BE108" s="338" t="n"/>
      <c r="BF108" s="338" t="n"/>
      <c r="BG108" s="338" t="n"/>
      <c r="BH108" s="338" t="n"/>
      <c r="BI108" s="338" t="n"/>
      <c r="BJ108" s="338" t="n"/>
      <c r="BK108" s="338" t="n"/>
      <c r="BL108" s="338" t="n"/>
      <c r="BM108" s="338" t="n"/>
      <c r="BN108" s="338" t="n"/>
      <c r="BO108" s="338" t="n"/>
      <c r="BP108" s="338" t="n"/>
      <c r="BQ108" s="338" t="n"/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83" t="n"/>
      <c r="CF108" s="253" t="inlineStr">
        <is>
          <t>時間内</t>
        </is>
      </c>
      <c r="CG108" s="384" t="n"/>
      <c r="CH108" s="384" t="n"/>
      <c r="CI108" s="385" t="n"/>
      <c r="CJ108" s="386">
        <f>IF(Q107="作業者1",H110-H107,0)</f>
        <v/>
      </c>
      <c r="CK108" s="387" t="n"/>
      <c r="CL108" s="387" t="n"/>
      <c r="CM108" s="387" t="n"/>
      <c r="CN108" s="388" t="n"/>
      <c r="CP108" s="253" t="inlineStr">
        <is>
          <t>時間内</t>
        </is>
      </c>
      <c r="CQ108" s="384" t="n"/>
      <c r="CR108" s="384" t="n"/>
      <c r="CS108" s="385" t="n"/>
      <c r="CT108" s="386">
        <f>IF(Q107="作業者2",H110-H107,0)</f>
        <v/>
      </c>
      <c r="CU108" s="387" t="n"/>
      <c r="CV108" s="387" t="n"/>
      <c r="CW108" s="387" t="n"/>
      <c r="CX108" s="388" t="n"/>
      <c r="CZ108" s="253" t="inlineStr">
        <is>
          <t>時間内</t>
        </is>
      </c>
      <c r="DA108" s="384" t="n"/>
      <c r="DB108" s="384" t="n"/>
      <c r="DC108" s="385" t="n"/>
      <c r="DD108" s="386">
        <f>IF(Q107="作業者3",H110-H107,0)</f>
        <v/>
      </c>
      <c r="DE108" s="387" t="n"/>
      <c r="DF108" s="387" t="n"/>
      <c r="DG108" s="387" t="n"/>
      <c r="DH108" s="388" t="n"/>
      <c r="DJ108" s="253" t="inlineStr">
        <is>
          <t>時間内</t>
        </is>
      </c>
      <c r="DK108" s="384" t="n"/>
      <c r="DL108" s="384" t="n"/>
      <c r="DM108" s="385" t="n"/>
      <c r="DN108" s="386">
        <f>IF(Q107="作業者4",H110-H107,0)</f>
        <v/>
      </c>
      <c r="DO108" s="387" t="n"/>
      <c r="DP108" s="387" t="n"/>
      <c r="DQ108" s="387" t="n"/>
      <c r="DR108" s="388" t="n"/>
      <c r="DT108" s="253" t="inlineStr">
        <is>
          <t>時間内</t>
        </is>
      </c>
      <c r="DU108" s="384" t="n"/>
      <c r="DV108" s="384" t="n"/>
      <c r="DW108" s="385" t="n"/>
      <c r="DX108" s="386">
        <f>IF(Q107="作業者5",H110-H107,0)</f>
        <v/>
      </c>
      <c r="DY108" s="387" t="n"/>
      <c r="DZ108" s="387" t="n"/>
      <c r="EA108" s="387" t="n"/>
      <c r="EB108" s="388" t="n"/>
    </row>
    <row r="109" ht="9" customHeight="1" s="337">
      <c r="B109" s="350" t="n"/>
      <c r="C109" s="338" t="n"/>
      <c r="D109" s="380" t="n"/>
      <c r="E109" s="23" t="n"/>
      <c r="F109" s="338" t="n"/>
      <c r="G109" s="24" t="n"/>
      <c r="H109" s="23" t="n"/>
      <c r="I109" s="338" t="n"/>
      <c r="J109" s="24" t="n"/>
      <c r="K109" s="23" t="n"/>
      <c r="L109" s="338" t="n"/>
      <c r="M109" s="24" t="n"/>
      <c r="N109" s="23" t="n"/>
      <c r="O109" s="338" t="n"/>
      <c r="P109" s="24" t="n"/>
      <c r="Q109" s="382" t="n"/>
      <c r="R109" s="338" t="n"/>
      <c r="S109" s="380" t="n"/>
      <c r="T109" s="382" t="n"/>
      <c r="U109" s="338" t="n"/>
      <c r="V109" s="380" t="n"/>
      <c r="W109" s="382" t="n"/>
      <c r="X109" s="338" t="n"/>
      <c r="Y109" s="338" t="n"/>
      <c r="Z109" s="338" t="n"/>
      <c r="AA109" s="338" t="n"/>
      <c r="AB109" s="338" t="n"/>
      <c r="AC109" s="338" t="n"/>
      <c r="AD109" s="338" t="n"/>
      <c r="AE109" s="338" t="n"/>
      <c r="AF109" s="338" t="n"/>
      <c r="AG109" s="338" t="n"/>
      <c r="AH109" s="338" t="n"/>
      <c r="AI109" s="338" t="n"/>
      <c r="AJ109" s="338" t="n"/>
      <c r="AK109" s="338" t="n"/>
      <c r="AL109" s="338" t="n"/>
      <c r="AM109" s="338" t="n"/>
      <c r="AN109" s="338" t="n"/>
      <c r="AO109" s="338" t="n"/>
      <c r="AP109" s="338" t="n"/>
      <c r="AQ109" s="338" t="n"/>
      <c r="AR109" s="338" t="n"/>
      <c r="AS109" s="338" t="n"/>
      <c r="AT109" s="338" t="n"/>
      <c r="AU109" s="338" t="n"/>
      <c r="AV109" s="338" t="n"/>
      <c r="AW109" s="338" t="n"/>
      <c r="AX109" s="338" t="n"/>
      <c r="AY109" s="338" t="n"/>
      <c r="AZ109" s="338" t="n"/>
      <c r="BA109" s="338" t="n"/>
      <c r="BB109" s="338" t="n"/>
      <c r="BC109" s="338" t="n"/>
      <c r="BD109" s="338" t="n"/>
      <c r="BE109" s="338" t="n"/>
      <c r="BF109" s="338" t="n"/>
      <c r="BG109" s="338" t="n"/>
      <c r="BH109" s="338" t="n"/>
      <c r="BI109" s="338" t="n"/>
      <c r="BJ109" s="338" t="n"/>
      <c r="BK109" s="338" t="n"/>
      <c r="BL109" s="338" t="n"/>
      <c r="BM109" s="338" t="n"/>
      <c r="BN109" s="338" t="n"/>
      <c r="BO109" s="338" t="n"/>
      <c r="BP109" s="338" t="n"/>
      <c r="BQ109" s="338" t="n"/>
      <c r="BR109" s="338" t="n"/>
      <c r="BS109" s="338" t="n"/>
      <c r="BT109" s="338" t="n"/>
      <c r="BU109" s="338" t="n"/>
      <c r="BV109" s="338" t="n"/>
      <c r="BW109" s="338" t="n"/>
      <c r="BX109" s="338" t="n"/>
      <c r="BY109" s="338" t="n"/>
      <c r="BZ109" s="338" t="n"/>
      <c r="CA109" s="338" t="n"/>
      <c r="CB109" s="338" t="n"/>
      <c r="CC109" s="383" t="n"/>
      <c r="CF109" s="253" t="inlineStr">
        <is>
          <t>時間外</t>
        </is>
      </c>
      <c r="CG109" s="384" t="n"/>
      <c r="CH109" s="384" t="n"/>
      <c r="CI109" s="385" t="n"/>
      <c r="CJ109" s="386">
        <f>IF(Q107="作業者1",K110-K107,0)</f>
        <v/>
      </c>
      <c r="CK109" s="387" t="n"/>
      <c r="CL109" s="387" t="n"/>
      <c r="CM109" s="387" t="n"/>
      <c r="CN109" s="388" t="n"/>
      <c r="CP109" s="253" t="inlineStr">
        <is>
          <t>時間外</t>
        </is>
      </c>
      <c r="CQ109" s="384" t="n"/>
      <c r="CR109" s="384" t="n"/>
      <c r="CS109" s="385" t="n"/>
      <c r="CT109" s="386">
        <f>IF(Q107="作業者2",K110-K107,0)</f>
        <v/>
      </c>
      <c r="CU109" s="387" t="n"/>
      <c r="CV109" s="387" t="n"/>
      <c r="CW109" s="387" t="n"/>
      <c r="CX109" s="388" t="n"/>
      <c r="CZ109" s="253" t="inlineStr">
        <is>
          <t>時間外</t>
        </is>
      </c>
      <c r="DA109" s="384" t="n"/>
      <c r="DB109" s="384" t="n"/>
      <c r="DC109" s="385" t="n"/>
      <c r="DD109" s="386">
        <f>IF(Q107="作業者3",K110-K107,0)</f>
        <v/>
      </c>
      <c r="DE109" s="387" t="n"/>
      <c r="DF109" s="387" t="n"/>
      <c r="DG109" s="387" t="n"/>
      <c r="DH109" s="388" t="n"/>
      <c r="DJ109" s="253" t="inlineStr">
        <is>
          <t>時間外</t>
        </is>
      </c>
      <c r="DK109" s="384" t="n"/>
      <c r="DL109" s="384" t="n"/>
      <c r="DM109" s="385" t="n"/>
      <c r="DN109" s="386">
        <f>IF(Q107="作業者4",K110-K107,0)</f>
        <v/>
      </c>
      <c r="DO109" s="387" t="n"/>
      <c r="DP109" s="387" t="n"/>
      <c r="DQ109" s="387" t="n"/>
      <c r="DR109" s="388" t="n"/>
      <c r="DT109" s="253" t="inlineStr">
        <is>
          <t>時間外</t>
        </is>
      </c>
      <c r="DU109" s="384" t="n"/>
      <c r="DV109" s="384" t="n"/>
      <c r="DW109" s="385" t="n"/>
      <c r="DX109" s="386">
        <f>IF(Q107="作業者5",K110-K107,0)</f>
        <v/>
      </c>
      <c r="DY109" s="387" t="n"/>
      <c r="DZ109" s="387" t="n"/>
      <c r="EA109" s="387" t="n"/>
      <c r="EB109" s="388" t="n"/>
    </row>
    <row r="110" ht="9" customHeight="1" s="337">
      <c r="B110" s="389" t="n"/>
      <c r="C110" s="390" t="n"/>
      <c r="D110" s="391" t="n"/>
      <c r="E110" s="392" t="n"/>
      <c r="F110" s="390" t="n"/>
      <c r="G110" s="391" t="n"/>
      <c r="H110" s="392" t="n"/>
      <c r="I110" s="390" t="n"/>
      <c r="J110" s="391" t="n"/>
      <c r="K110" s="392" t="n"/>
      <c r="L110" s="390" t="n"/>
      <c r="M110" s="391" t="n"/>
      <c r="N110" s="392" t="n"/>
      <c r="O110" s="390" t="n"/>
      <c r="P110" s="391" t="n"/>
      <c r="Q110" s="393" t="n"/>
      <c r="R110" s="390" t="n"/>
      <c r="S110" s="391" t="n"/>
      <c r="T110" s="393" t="n"/>
      <c r="U110" s="390" t="n"/>
      <c r="V110" s="391" t="n"/>
      <c r="W110" s="393" t="n"/>
      <c r="X110" s="390" t="n"/>
      <c r="Y110" s="390" t="n"/>
      <c r="Z110" s="390" t="n"/>
      <c r="AA110" s="390" t="n"/>
      <c r="AB110" s="390" t="n"/>
      <c r="AC110" s="390" t="n"/>
      <c r="AD110" s="390" t="n"/>
      <c r="AE110" s="390" t="n"/>
      <c r="AF110" s="390" t="n"/>
      <c r="AG110" s="390" t="n"/>
      <c r="AH110" s="390" t="n"/>
      <c r="AI110" s="390" t="n"/>
      <c r="AJ110" s="390" t="n"/>
      <c r="AK110" s="390" t="n"/>
      <c r="AL110" s="390" t="n"/>
      <c r="AM110" s="390" t="n"/>
      <c r="AN110" s="390" t="n"/>
      <c r="AO110" s="390" t="n"/>
      <c r="AP110" s="390" t="n"/>
      <c r="AQ110" s="390" t="n"/>
      <c r="AR110" s="390" t="n"/>
      <c r="AS110" s="390" t="n"/>
      <c r="AT110" s="390" t="n"/>
      <c r="AU110" s="390" t="n"/>
      <c r="AV110" s="390" t="n"/>
      <c r="AW110" s="390" t="n"/>
      <c r="AX110" s="390" t="n"/>
      <c r="AY110" s="390" t="n"/>
      <c r="AZ110" s="390" t="n"/>
      <c r="BA110" s="390" t="n"/>
      <c r="BB110" s="390" t="n"/>
      <c r="BC110" s="390" t="n"/>
      <c r="BD110" s="390" t="n"/>
      <c r="BE110" s="390" t="n"/>
      <c r="BF110" s="390" t="n"/>
      <c r="BG110" s="390" t="n"/>
      <c r="BH110" s="390" t="n"/>
      <c r="BI110" s="390" t="n"/>
      <c r="BJ110" s="390" t="n"/>
      <c r="BK110" s="390" t="n"/>
      <c r="BL110" s="390" t="n"/>
      <c r="BM110" s="390" t="n"/>
      <c r="BN110" s="390" t="n"/>
      <c r="BO110" s="390" t="n"/>
      <c r="BP110" s="390" t="n"/>
      <c r="BQ110" s="390" t="n"/>
      <c r="BR110" s="390" t="n"/>
      <c r="BS110" s="390" t="n"/>
      <c r="BT110" s="390" t="n"/>
      <c r="BU110" s="390" t="n"/>
      <c r="BV110" s="390" t="n"/>
      <c r="BW110" s="390" t="n"/>
      <c r="BX110" s="390" t="n"/>
      <c r="BY110" s="390" t="n"/>
      <c r="BZ110" s="390" t="n"/>
      <c r="CA110" s="390" t="n"/>
      <c r="CB110" s="390" t="n"/>
      <c r="CC110" s="394" t="n"/>
      <c r="CF110" s="254" t="inlineStr">
        <is>
          <t>休日</t>
        </is>
      </c>
      <c r="CG110" s="395" t="n"/>
      <c r="CH110" s="395" t="n"/>
      <c r="CI110" s="396" t="n"/>
      <c r="CJ110" s="397">
        <f>IF(Q107="作業者1",N110-N107,0)</f>
        <v/>
      </c>
      <c r="CK110" s="395" t="n"/>
      <c r="CL110" s="395" t="n"/>
      <c r="CM110" s="395" t="n"/>
      <c r="CN110" s="396" t="n"/>
      <c r="CP110" s="254" t="inlineStr">
        <is>
          <t>休日</t>
        </is>
      </c>
      <c r="CQ110" s="395" t="n"/>
      <c r="CR110" s="395" t="n"/>
      <c r="CS110" s="396" t="n"/>
      <c r="CT110" s="397">
        <f>IF(Q107="作業者2",N110-N107,0)</f>
        <v/>
      </c>
      <c r="CU110" s="395" t="n"/>
      <c r="CV110" s="395" t="n"/>
      <c r="CW110" s="395" t="n"/>
      <c r="CX110" s="396" t="n"/>
      <c r="CZ110" s="254" t="inlineStr">
        <is>
          <t>休日</t>
        </is>
      </c>
      <c r="DA110" s="395" t="n"/>
      <c r="DB110" s="395" t="n"/>
      <c r="DC110" s="396" t="n"/>
      <c r="DD110" s="397">
        <f>IF(Q107="作業者3",N110-N107,0)</f>
        <v/>
      </c>
      <c r="DE110" s="395" t="n"/>
      <c r="DF110" s="395" t="n"/>
      <c r="DG110" s="395" t="n"/>
      <c r="DH110" s="396" t="n"/>
      <c r="DJ110" s="254" t="inlineStr">
        <is>
          <t>休日</t>
        </is>
      </c>
      <c r="DK110" s="395" t="n"/>
      <c r="DL110" s="395" t="n"/>
      <c r="DM110" s="396" t="n"/>
      <c r="DN110" s="397">
        <f>IF(Q107="作業者4",N110-N107,0)</f>
        <v/>
      </c>
      <c r="DO110" s="395" t="n"/>
      <c r="DP110" s="395" t="n"/>
      <c r="DQ110" s="395" t="n"/>
      <c r="DR110" s="396" t="n"/>
      <c r="DT110" s="254" t="inlineStr">
        <is>
          <t>休日</t>
        </is>
      </c>
      <c r="DU110" s="395" t="n"/>
      <c r="DV110" s="395" t="n"/>
      <c r="DW110" s="396" t="n"/>
      <c r="DX110" s="397">
        <f>IF(Q107="作業者5",N110-N107,0)</f>
        <v/>
      </c>
      <c r="DY110" s="395" t="n"/>
      <c r="DZ110" s="395" t="n"/>
      <c r="EA110" s="395" t="n"/>
      <c r="EB110" s="396" t="n"/>
    </row>
    <row r="111" ht="9" customHeight="1" s="337">
      <c r="B111" s="398" t="n"/>
      <c r="C111" s="372" t="n"/>
      <c r="D111" s="373" t="n"/>
      <c r="E111" s="399" t="n"/>
      <c r="F111" s="372" t="n"/>
      <c r="G111" s="373" t="n"/>
      <c r="H111" s="399" t="n"/>
      <c r="I111" s="372" t="n"/>
      <c r="J111" s="373" t="n"/>
      <c r="K111" s="399" t="n"/>
      <c r="L111" s="372" t="n"/>
      <c r="M111" s="373" t="n"/>
      <c r="N111" s="399" t="n"/>
      <c r="O111" s="372" t="n"/>
      <c r="P111" s="373" t="n"/>
      <c r="Q111" s="371" t="n"/>
      <c r="R111" s="372" t="n"/>
      <c r="S111" s="373" t="n"/>
      <c r="T111" s="371" t="n"/>
      <c r="U111" s="372" t="n"/>
      <c r="V111" s="373" t="n"/>
      <c r="W111" s="443" t="n"/>
      <c r="X111" s="372" t="n"/>
      <c r="Y111" s="372" t="n"/>
      <c r="Z111" s="372" t="n"/>
      <c r="AA111" s="372" t="n"/>
      <c r="AB111" s="372" t="n"/>
      <c r="AC111" s="372" t="n"/>
      <c r="AD111" s="372" t="n"/>
      <c r="AE111" s="372" t="n"/>
      <c r="AF111" s="372" t="n"/>
      <c r="AG111" s="372" t="n"/>
      <c r="AH111" s="372" t="n"/>
      <c r="AI111" s="372" t="n"/>
      <c r="AJ111" s="372" t="n"/>
      <c r="AK111" s="372" t="n"/>
      <c r="AL111" s="372" t="n"/>
      <c r="AM111" s="372" t="n"/>
      <c r="AN111" s="372" t="n"/>
      <c r="AO111" s="372" t="n"/>
      <c r="AP111" s="372" t="n"/>
      <c r="AQ111" s="372" t="n"/>
      <c r="AR111" s="372" t="n"/>
      <c r="AS111" s="372" t="n"/>
      <c r="AT111" s="372" t="n"/>
      <c r="AU111" s="372" t="n"/>
      <c r="AV111" s="372" t="n"/>
      <c r="AW111" s="372" t="n"/>
      <c r="AX111" s="372" t="n"/>
      <c r="AY111" s="372" t="n"/>
      <c r="AZ111" s="372" t="n"/>
      <c r="BA111" s="372" t="n"/>
      <c r="BB111" s="372" t="n"/>
      <c r="BC111" s="372" t="n"/>
      <c r="BD111" s="372" t="n"/>
      <c r="BE111" s="372" t="n"/>
      <c r="BF111" s="372" t="n"/>
      <c r="BG111" s="372" t="n"/>
      <c r="BH111" s="372" t="n"/>
      <c r="BI111" s="372" t="n"/>
      <c r="BJ111" s="372" t="n"/>
      <c r="BK111" s="372" t="n"/>
      <c r="BL111" s="372" t="n"/>
      <c r="BM111" s="372" t="n"/>
      <c r="BN111" s="372" t="n"/>
      <c r="BO111" s="372" t="n"/>
      <c r="BP111" s="372" t="n"/>
      <c r="BQ111" s="372" t="n"/>
      <c r="BR111" s="372" t="n"/>
      <c r="BS111" s="372" t="n"/>
      <c r="BT111" s="372" t="n"/>
      <c r="BU111" s="372" t="n"/>
      <c r="BV111" s="372" t="n"/>
      <c r="BW111" s="372" t="n"/>
      <c r="BX111" s="372" t="n"/>
      <c r="BY111" s="372" t="n"/>
      <c r="BZ111" s="372" t="n"/>
      <c r="CA111" s="372" t="n"/>
      <c r="CB111" s="372" t="n"/>
      <c r="CC111" s="402" t="n"/>
      <c r="CF111" s="248" t="inlineStr">
        <is>
          <t>移動</t>
        </is>
      </c>
      <c r="CG111" s="377" t="n"/>
      <c r="CH111" s="377" t="n"/>
      <c r="CI111" s="378" t="n"/>
      <c r="CJ111" s="379">
        <f>IF(Q111="作業者1",E114-E111,0)</f>
        <v/>
      </c>
      <c r="CK111" s="377" t="n"/>
      <c r="CL111" s="377" t="n"/>
      <c r="CM111" s="377" t="n"/>
      <c r="CN111" s="378" t="n"/>
      <c r="CP111" s="248" t="inlineStr">
        <is>
          <t>移動</t>
        </is>
      </c>
      <c r="CQ111" s="377" t="n"/>
      <c r="CR111" s="377" t="n"/>
      <c r="CS111" s="378" t="n"/>
      <c r="CT111" s="379">
        <f>IF(Q111="作業者2",E114-E111,0)</f>
        <v/>
      </c>
      <c r="CU111" s="377" t="n"/>
      <c r="CV111" s="377" t="n"/>
      <c r="CW111" s="377" t="n"/>
      <c r="CX111" s="378" t="n"/>
      <c r="CZ111" s="248" t="inlineStr">
        <is>
          <t>移動</t>
        </is>
      </c>
      <c r="DA111" s="377" t="n"/>
      <c r="DB111" s="377" t="n"/>
      <c r="DC111" s="378" t="n"/>
      <c r="DD111" s="379">
        <f>IF(Q111="作業者3",E114-E111,0)</f>
        <v/>
      </c>
      <c r="DE111" s="377" t="n"/>
      <c r="DF111" s="377" t="n"/>
      <c r="DG111" s="377" t="n"/>
      <c r="DH111" s="378" t="n"/>
      <c r="DJ111" s="248" t="inlineStr">
        <is>
          <t>移動</t>
        </is>
      </c>
      <c r="DK111" s="377" t="n"/>
      <c r="DL111" s="377" t="n"/>
      <c r="DM111" s="378" t="n"/>
      <c r="DN111" s="379">
        <f>IF(Q111="作業者4",E114-E111,0)</f>
        <v/>
      </c>
      <c r="DO111" s="377" t="n"/>
      <c r="DP111" s="377" t="n"/>
      <c r="DQ111" s="377" t="n"/>
      <c r="DR111" s="378" t="n"/>
      <c r="DT111" s="259" t="inlineStr">
        <is>
          <t>移動</t>
        </is>
      </c>
      <c r="DU111" s="403" t="n"/>
      <c r="DV111" s="403" t="n"/>
      <c r="DW111" s="404" t="n"/>
      <c r="DX111" s="379">
        <f>IF(Q111="作業者5",E114-E111,0)</f>
        <v/>
      </c>
      <c r="DY111" s="377" t="n"/>
      <c r="DZ111" s="377" t="n"/>
      <c r="EA111" s="377" t="n"/>
      <c r="EB111" s="378" t="n"/>
    </row>
    <row r="112" ht="9" customHeight="1" s="337">
      <c r="B112" s="350" t="n"/>
      <c r="C112" s="338" t="n"/>
      <c r="D112" s="380" t="n"/>
      <c r="E112" s="381" t="n"/>
      <c r="F112" s="122" t="inlineStr">
        <is>
          <t>～</t>
        </is>
      </c>
      <c r="G112" s="22" t="n"/>
      <c r="H112" s="381" t="n"/>
      <c r="I112" s="122" t="inlineStr">
        <is>
          <t>～</t>
        </is>
      </c>
      <c r="J112" s="22" t="n"/>
      <c r="K112" s="381" t="n"/>
      <c r="L112" s="122" t="inlineStr">
        <is>
          <t>～</t>
        </is>
      </c>
      <c r="M112" s="22" t="n"/>
      <c r="N112" s="381" t="n"/>
      <c r="O112" s="122" t="inlineStr">
        <is>
          <t>～</t>
        </is>
      </c>
      <c r="P112" s="22" t="n"/>
      <c r="Q112" s="382" t="n"/>
      <c r="R112" s="338" t="n"/>
      <c r="S112" s="380" t="n"/>
      <c r="T112" s="382" t="n"/>
      <c r="U112" s="338" t="n"/>
      <c r="V112" s="380" t="n"/>
      <c r="W112" s="382" t="n"/>
      <c r="X112" s="338" t="n"/>
      <c r="Y112" s="338" t="n"/>
      <c r="Z112" s="338" t="n"/>
      <c r="AA112" s="338" t="n"/>
      <c r="AB112" s="338" t="n"/>
      <c r="AC112" s="338" t="n"/>
      <c r="AD112" s="338" t="n"/>
      <c r="AE112" s="338" t="n"/>
      <c r="AF112" s="338" t="n"/>
      <c r="AG112" s="338" t="n"/>
      <c r="AH112" s="338" t="n"/>
      <c r="AI112" s="338" t="n"/>
      <c r="AJ112" s="338" t="n"/>
      <c r="AK112" s="338" t="n"/>
      <c r="AL112" s="338" t="n"/>
      <c r="AM112" s="338" t="n"/>
      <c r="AN112" s="338" t="n"/>
      <c r="AO112" s="338" t="n"/>
      <c r="AP112" s="338" t="n"/>
      <c r="AQ112" s="338" t="n"/>
      <c r="AR112" s="338" t="n"/>
      <c r="AS112" s="338" t="n"/>
      <c r="AT112" s="338" t="n"/>
      <c r="AU112" s="338" t="n"/>
      <c r="AV112" s="338" t="n"/>
      <c r="AW112" s="338" t="n"/>
      <c r="AX112" s="338" t="n"/>
      <c r="AY112" s="338" t="n"/>
      <c r="AZ112" s="338" t="n"/>
      <c r="BA112" s="338" t="n"/>
      <c r="BB112" s="338" t="n"/>
      <c r="BC112" s="338" t="n"/>
      <c r="BD112" s="338" t="n"/>
      <c r="BE112" s="338" t="n"/>
      <c r="BF112" s="338" t="n"/>
      <c r="BG112" s="338" t="n"/>
      <c r="BH112" s="338" t="n"/>
      <c r="BI112" s="338" t="n"/>
      <c r="BJ112" s="338" t="n"/>
      <c r="BK112" s="338" t="n"/>
      <c r="BL112" s="338" t="n"/>
      <c r="BM112" s="338" t="n"/>
      <c r="BN112" s="338" t="n"/>
      <c r="BO112" s="338" t="n"/>
      <c r="BP112" s="338" t="n"/>
      <c r="BQ112" s="338" t="n"/>
      <c r="BR112" s="338" t="n"/>
      <c r="BS112" s="338" t="n"/>
      <c r="BT112" s="338" t="n"/>
      <c r="BU112" s="338" t="n"/>
      <c r="BV112" s="338" t="n"/>
      <c r="BW112" s="338" t="n"/>
      <c r="BX112" s="338" t="n"/>
      <c r="BY112" s="338" t="n"/>
      <c r="BZ112" s="338" t="n"/>
      <c r="CA112" s="338" t="n"/>
      <c r="CB112" s="338" t="n"/>
      <c r="CC112" s="383" t="n"/>
      <c r="CF112" s="253" t="inlineStr">
        <is>
          <t>時間内</t>
        </is>
      </c>
      <c r="CG112" s="384" t="n"/>
      <c r="CH112" s="384" t="n"/>
      <c r="CI112" s="385" t="n"/>
      <c r="CJ112" s="386">
        <f>IF(Q111="作業者1",H114-H111,0)</f>
        <v/>
      </c>
      <c r="CK112" s="387" t="n"/>
      <c r="CL112" s="387" t="n"/>
      <c r="CM112" s="387" t="n"/>
      <c r="CN112" s="388" t="n"/>
      <c r="CP112" s="253" t="inlineStr">
        <is>
          <t>時間内</t>
        </is>
      </c>
      <c r="CQ112" s="384" t="n"/>
      <c r="CR112" s="384" t="n"/>
      <c r="CS112" s="385" t="n"/>
      <c r="CT112" s="386">
        <f>IF(Q111="作業者2",H114-H111,0)</f>
        <v/>
      </c>
      <c r="CU112" s="387" t="n"/>
      <c r="CV112" s="387" t="n"/>
      <c r="CW112" s="387" t="n"/>
      <c r="CX112" s="388" t="n"/>
      <c r="CZ112" s="253" t="inlineStr">
        <is>
          <t>時間内</t>
        </is>
      </c>
      <c r="DA112" s="384" t="n"/>
      <c r="DB112" s="384" t="n"/>
      <c r="DC112" s="385" t="n"/>
      <c r="DD112" s="386">
        <f>IF(Q111="作業者3",H114-H111,0)</f>
        <v/>
      </c>
      <c r="DE112" s="387" t="n"/>
      <c r="DF112" s="387" t="n"/>
      <c r="DG112" s="387" t="n"/>
      <c r="DH112" s="388" t="n"/>
      <c r="DJ112" s="253" t="inlineStr">
        <is>
          <t>時間内</t>
        </is>
      </c>
      <c r="DK112" s="384" t="n"/>
      <c r="DL112" s="384" t="n"/>
      <c r="DM112" s="385" t="n"/>
      <c r="DN112" s="386">
        <f>IF(Q111="作業者4",H114-H111,0)</f>
        <v/>
      </c>
      <c r="DO112" s="387" t="n"/>
      <c r="DP112" s="387" t="n"/>
      <c r="DQ112" s="387" t="n"/>
      <c r="DR112" s="388" t="n"/>
      <c r="DT112" s="253" t="inlineStr">
        <is>
          <t>時間内</t>
        </is>
      </c>
      <c r="DU112" s="384" t="n"/>
      <c r="DV112" s="384" t="n"/>
      <c r="DW112" s="385" t="n"/>
      <c r="DX112" s="386">
        <f>IF(Q111="作業者5",H114-H111,0)</f>
        <v/>
      </c>
      <c r="DY112" s="387" t="n"/>
      <c r="DZ112" s="387" t="n"/>
      <c r="EA112" s="387" t="n"/>
      <c r="EB112" s="388" t="n"/>
    </row>
    <row r="113" ht="9" customHeight="1" s="337">
      <c r="B113" s="350" t="n"/>
      <c r="C113" s="338" t="n"/>
      <c r="D113" s="380" t="n"/>
      <c r="E113" s="23" t="n"/>
      <c r="F113" s="338" t="n"/>
      <c r="G113" s="24" t="n"/>
      <c r="H113" s="23" t="n"/>
      <c r="I113" s="338" t="n"/>
      <c r="J113" s="24" t="n"/>
      <c r="K113" s="23" t="n"/>
      <c r="L113" s="338" t="n"/>
      <c r="M113" s="24" t="n"/>
      <c r="N113" s="23" t="n"/>
      <c r="O113" s="338" t="n"/>
      <c r="P113" s="24" t="n"/>
      <c r="Q113" s="382" t="n"/>
      <c r="R113" s="338" t="n"/>
      <c r="S113" s="380" t="n"/>
      <c r="T113" s="382" t="n"/>
      <c r="U113" s="338" t="n"/>
      <c r="V113" s="380" t="n"/>
      <c r="W113" s="382" t="n"/>
      <c r="X113" s="338" t="n"/>
      <c r="Y113" s="338" t="n"/>
      <c r="Z113" s="338" t="n"/>
      <c r="AA113" s="338" t="n"/>
      <c r="AB113" s="338" t="n"/>
      <c r="AC113" s="338" t="n"/>
      <c r="AD113" s="338" t="n"/>
      <c r="AE113" s="338" t="n"/>
      <c r="AF113" s="338" t="n"/>
      <c r="AG113" s="338" t="n"/>
      <c r="AH113" s="338" t="n"/>
      <c r="AI113" s="338" t="n"/>
      <c r="AJ113" s="338" t="n"/>
      <c r="AK113" s="338" t="n"/>
      <c r="AL113" s="338" t="n"/>
      <c r="AM113" s="338" t="n"/>
      <c r="AN113" s="338" t="n"/>
      <c r="AO113" s="338" t="n"/>
      <c r="AP113" s="338" t="n"/>
      <c r="AQ113" s="338" t="n"/>
      <c r="AR113" s="338" t="n"/>
      <c r="AS113" s="338" t="n"/>
      <c r="AT113" s="338" t="n"/>
      <c r="AU113" s="338" t="n"/>
      <c r="AV113" s="338" t="n"/>
      <c r="AW113" s="338" t="n"/>
      <c r="AX113" s="338" t="n"/>
      <c r="AY113" s="338" t="n"/>
      <c r="AZ113" s="338" t="n"/>
      <c r="BA113" s="338" t="n"/>
      <c r="BB113" s="338" t="n"/>
      <c r="BC113" s="338" t="n"/>
      <c r="BD113" s="338" t="n"/>
      <c r="BE113" s="338" t="n"/>
      <c r="BF113" s="338" t="n"/>
      <c r="BG113" s="338" t="n"/>
      <c r="BH113" s="338" t="n"/>
      <c r="BI113" s="338" t="n"/>
      <c r="BJ113" s="338" t="n"/>
      <c r="BK113" s="338" t="n"/>
      <c r="BL113" s="338" t="n"/>
      <c r="BM113" s="338" t="n"/>
      <c r="BN113" s="338" t="n"/>
      <c r="BO113" s="338" t="n"/>
      <c r="BP113" s="338" t="n"/>
      <c r="BQ113" s="338" t="n"/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83" t="n"/>
      <c r="CF113" s="253" t="inlineStr">
        <is>
          <t>時間外</t>
        </is>
      </c>
      <c r="CG113" s="384" t="n"/>
      <c r="CH113" s="384" t="n"/>
      <c r="CI113" s="385" t="n"/>
      <c r="CJ113" s="386">
        <f>IF(Q111="作業者1",K114-K111,0)</f>
        <v/>
      </c>
      <c r="CK113" s="387" t="n"/>
      <c r="CL113" s="387" t="n"/>
      <c r="CM113" s="387" t="n"/>
      <c r="CN113" s="388" t="n"/>
      <c r="CP113" s="253" t="inlineStr">
        <is>
          <t>時間外</t>
        </is>
      </c>
      <c r="CQ113" s="384" t="n"/>
      <c r="CR113" s="384" t="n"/>
      <c r="CS113" s="385" t="n"/>
      <c r="CT113" s="386">
        <f>IF(Q111="作業者2",K114-K111,0)</f>
        <v/>
      </c>
      <c r="CU113" s="387" t="n"/>
      <c r="CV113" s="387" t="n"/>
      <c r="CW113" s="387" t="n"/>
      <c r="CX113" s="388" t="n"/>
      <c r="CZ113" s="253" t="inlineStr">
        <is>
          <t>時間外</t>
        </is>
      </c>
      <c r="DA113" s="384" t="n"/>
      <c r="DB113" s="384" t="n"/>
      <c r="DC113" s="385" t="n"/>
      <c r="DD113" s="386">
        <f>IF(Q111="作業者3",K114-K111,0)</f>
        <v/>
      </c>
      <c r="DE113" s="387" t="n"/>
      <c r="DF113" s="387" t="n"/>
      <c r="DG113" s="387" t="n"/>
      <c r="DH113" s="388" t="n"/>
      <c r="DJ113" s="253" t="inlineStr">
        <is>
          <t>時間外</t>
        </is>
      </c>
      <c r="DK113" s="384" t="n"/>
      <c r="DL113" s="384" t="n"/>
      <c r="DM113" s="385" t="n"/>
      <c r="DN113" s="386">
        <f>IF(Q111="作業者4",K114-K111,0)</f>
        <v/>
      </c>
      <c r="DO113" s="387" t="n"/>
      <c r="DP113" s="387" t="n"/>
      <c r="DQ113" s="387" t="n"/>
      <c r="DR113" s="388" t="n"/>
      <c r="DT113" s="253" t="inlineStr">
        <is>
          <t>時間外</t>
        </is>
      </c>
      <c r="DU113" s="384" t="n"/>
      <c r="DV113" s="384" t="n"/>
      <c r="DW113" s="385" t="n"/>
      <c r="DX113" s="386">
        <f>IF(Q111="作業者5",K114-K111,0)</f>
        <v/>
      </c>
      <c r="DY113" s="387" t="n"/>
      <c r="DZ113" s="387" t="n"/>
      <c r="EA113" s="387" t="n"/>
      <c r="EB113" s="388" t="n"/>
    </row>
    <row r="114" ht="9" customHeight="1" s="337">
      <c r="B114" s="389" t="n"/>
      <c r="C114" s="390" t="n"/>
      <c r="D114" s="391" t="n"/>
      <c r="E114" s="392" t="n"/>
      <c r="F114" s="390" t="n"/>
      <c r="G114" s="391" t="n"/>
      <c r="H114" s="392" t="n"/>
      <c r="I114" s="390" t="n"/>
      <c r="J114" s="391" t="n"/>
      <c r="K114" s="392" t="n"/>
      <c r="L114" s="390" t="n"/>
      <c r="M114" s="391" t="n"/>
      <c r="N114" s="392" t="n"/>
      <c r="O114" s="390" t="n"/>
      <c r="P114" s="391" t="n"/>
      <c r="Q114" s="393" t="n"/>
      <c r="R114" s="390" t="n"/>
      <c r="S114" s="391" t="n"/>
      <c r="T114" s="393" t="n"/>
      <c r="U114" s="390" t="n"/>
      <c r="V114" s="391" t="n"/>
      <c r="W114" s="393" t="n"/>
      <c r="X114" s="390" t="n"/>
      <c r="Y114" s="390" t="n"/>
      <c r="Z114" s="390" t="n"/>
      <c r="AA114" s="390" t="n"/>
      <c r="AB114" s="390" t="n"/>
      <c r="AC114" s="390" t="n"/>
      <c r="AD114" s="390" t="n"/>
      <c r="AE114" s="390" t="n"/>
      <c r="AF114" s="390" t="n"/>
      <c r="AG114" s="390" t="n"/>
      <c r="AH114" s="390" t="n"/>
      <c r="AI114" s="390" t="n"/>
      <c r="AJ114" s="390" t="n"/>
      <c r="AK114" s="390" t="n"/>
      <c r="AL114" s="390" t="n"/>
      <c r="AM114" s="390" t="n"/>
      <c r="AN114" s="390" t="n"/>
      <c r="AO114" s="390" t="n"/>
      <c r="AP114" s="390" t="n"/>
      <c r="AQ114" s="390" t="n"/>
      <c r="AR114" s="390" t="n"/>
      <c r="AS114" s="390" t="n"/>
      <c r="AT114" s="390" t="n"/>
      <c r="AU114" s="390" t="n"/>
      <c r="AV114" s="390" t="n"/>
      <c r="AW114" s="390" t="n"/>
      <c r="AX114" s="390" t="n"/>
      <c r="AY114" s="390" t="n"/>
      <c r="AZ114" s="390" t="n"/>
      <c r="BA114" s="390" t="n"/>
      <c r="BB114" s="390" t="n"/>
      <c r="BC114" s="390" t="n"/>
      <c r="BD114" s="390" t="n"/>
      <c r="BE114" s="390" t="n"/>
      <c r="BF114" s="390" t="n"/>
      <c r="BG114" s="390" t="n"/>
      <c r="BH114" s="390" t="n"/>
      <c r="BI114" s="390" t="n"/>
      <c r="BJ114" s="390" t="n"/>
      <c r="BK114" s="390" t="n"/>
      <c r="BL114" s="390" t="n"/>
      <c r="BM114" s="390" t="n"/>
      <c r="BN114" s="390" t="n"/>
      <c r="BO114" s="390" t="n"/>
      <c r="BP114" s="390" t="n"/>
      <c r="BQ114" s="390" t="n"/>
      <c r="BR114" s="390" t="n"/>
      <c r="BS114" s="390" t="n"/>
      <c r="BT114" s="390" t="n"/>
      <c r="BU114" s="390" t="n"/>
      <c r="BV114" s="390" t="n"/>
      <c r="BW114" s="390" t="n"/>
      <c r="BX114" s="390" t="n"/>
      <c r="BY114" s="390" t="n"/>
      <c r="BZ114" s="390" t="n"/>
      <c r="CA114" s="390" t="n"/>
      <c r="CB114" s="390" t="n"/>
      <c r="CC114" s="394" t="n"/>
      <c r="CF114" s="254" t="inlineStr">
        <is>
          <t>休日</t>
        </is>
      </c>
      <c r="CG114" s="395" t="n"/>
      <c r="CH114" s="395" t="n"/>
      <c r="CI114" s="396" t="n"/>
      <c r="CJ114" s="386">
        <f>IF(Q111="作業者1",N114-N111,0)</f>
        <v/>
      </c>
      <c r="CK114" s="387" t="n"/>
      <c r="CL114" s="387" t="n"/>
      <c r="CM114" s="387" t="n"/>
      <c r="CN114" s="388" t="n"/>
      <c r="CP114" s="253" t="inlineStr">
        <is>
          <t>休日</t>
        </is>
      </c>
      <c r="CQ114" s="384" t="n"/>
      <c r="CR114" s="384" t="n"/>
      <c r="CS114" s="385" t="n"/>
      <c r="CT114" s="386">
        <f>IF(Q111="作業者2",N114-N111,0)</f>
        <v/>
      </c>
      <c r="CU114" s="387" t="n"/>
      <c r="CV114" s="387" t="n"/>
      <c r="CW114" s="387" t="n"/>
      <c r="CX114" s="388" t="n"/>
      <c r="CZ114" s="254" t="inlineStr">
        <is>
          <t>休日</t>
        </is>
      </c>
      <c r="DA114" s="395" t="n"/>
      <c r="DB114" s="395" t="n"/>
      <c r="DC114" s="396" t="n"/>
      <c r="DD114" s="397">
        <f>IF(Q111="作業者3",N114-N111,0)</f>
        <v/>
      </c>
      <c r="DE114" s="395" t="n"/>
      <c r="DF114" s="395" t="n"/>
      <c r="DG114" s="395" t="n"/>
      <c r="DH114" s="396" t="n"/>
      <c r="DJ114" s="254" t="inlineStr">
        <is>
          <t>休日</t>
        </is>
      </c>
      <c r="DK114" s="395" t="n"/>
      <c r="DL114" s="395" t="n"/>
      <c r="DM114" s="396" t="n"/>
      <c r="DN114" s="397">
        <f>IF(Q111="作業者4",N114-N111,0)</f>
        <v/>
      </c>
      <c r="DO114" s="395" t="n"/>
      <c r="DP114" s="395" t="n"/>
      <c r="DQ114" s="395" t="n"/>
      <c r="DR114" s="396" t="n"/>
      <c r="DT114" s="254" t="inlineStr">
        <is>
          <t>休日</t>
        </is>
      </c>
      <c r="DU114" s="395" t="n"/>
      <c r="DV114" s="395" t="n"/>
      <c r="DW114" s="396" t="n"/>
      <c r="DX114" s="397">
        <f>IF(Q111="作業者5",N114-N111,0)</f>
        <v/>
      </c>
      <c r="DY114" s="395" t="n"/>
      <c r="DZ114" s="395" t="n"/>
      <c r="EA114" s="395" t="n"/>
      <c r="EB114" s="396" t="n"/>
    </row>
    <row r="115" ht="9" customHeight="1" s="337">
      <c r="B115" s="398" t="n"/>
      <c r="C115" s="372" t="n"/>
      <c r="D115" s="373" t="n"/>
      <c r="E115" s="399" t="n"/>
      <c r="F115" s="372" t="n"/>
      <c r="G115" s="373" t="n"/>
      <c r="H115" s="399" t="n"/>
      <c r="I115" s="372" t="n"/>
      <c r="J115" s="373" t="n"/>
      <c r="K115" s="399" t="n"/>
      <c r="L115" s="372" t="n"/>
      <c r="M115" s="373" t="n"/>
      <c r="N115" s="399" t="n"/>
      <c r="O115" s="372" t="n"/>
      <c r="P115" s="373" t="n"/>
      <c r="Q115" s="371" t="n"/>
      <c r="R115" s="372" t="n"/>
      <c r="S115" s="373" t="n"/>
      <c r="T115" s="371" t="n"/>
      <c r="U115" s="372" t="n"/>
      <c r="V115" s="373" t="n"/>
      <c r="W115" s="443" t="n"/>
      <c r="X115" s="372" t="n"/>
      <c r="Y115" s="372" t="n"/>
      <c r="Z115" s="372" t="n"/>
      <c r="AA115" s="372" t="n"/>
      <c r="AB115" s="372" t="n"/>
      <c r="AC115" s="372" t="n"/>
      <c r="AD115" s="372" t="n"/>
      <c r="AE115" s="372" t="n"/>
      <c r="AF115" s="372" t="n"/>
      <c r="AG115" s="372" t="n"/>
      <c r="AH115" s="372" t="n"/>
      <c r="AI115" s="372" t="n"/>
      <c r="AJ115" s="372" t="n"/>
      <c r="AK115" s="372" t="n"/>
      <c r="AL115" s="372" t="n"/>
      <c r="AM115" s="372" t="n"/>
      <c r="AN115" s="372" t="n"/>
      <c r="AO115" s="372" t="n"/>
      <c r="AP115" s="372" t="n"/>
      <c r="AQ115" s="372" t="n"/>
      <c r="AR115" s="372" t="n"/>
      <c r="AS115" s="372" t="n"/>
      <c r="AT115" s="372" t="n"/>
      <c r="AU115" s="372" t="n"/>
      <c r="AV115" s="372" t="n"/>
      <c r="AW115" s="372" t="n"/>
      <c r="AX115" s="372" t="n"/>
      <c r="AY115" s="372" t="n"/>
      <c r="AZ115" s="372" t="n"/>
      <c r="BA115" s="372" t="n"/>
      <c r="BB115" s="372" t="n"/>
      <c r="BC115" s="372" t="n"/>
      <c r="BD115" s="372" t="n"/>
      <c r="BE115" s="372" t="n"/>
      <c r="BF115" s="372" t="n"/>
      <c r="BG115" s="372" t="n"/>
      <c r="BH115" s="372" t="n"/>
      <c r="BI115" s="372" t="n"/>
      <c r="BJ115" s="372" t="n"/>
      <c r="BK115" s="372" t="n"/>
      <c r="BL115" s="372" t="n"/>
      <c r="BM115" s="372" t="n"/>
      <c r="BN115" s="372" t="n"/>
      <c r="BO115" s="372" t="n"/>
      <c r="BP115" s="372" t="n"/>
      <c r="BQ115" s="372" t="n"/>
      <c r="BR115" s="372" t="n"/>
      <c r="BS115" s="372" t="n"/>
      <c r="BT115" s="372" t="n"/>
      <c r="BU115" s="372" t="n"/>
      <c r="BV115" s="372" t="n"/>
      <c r="BW115" s="372" t="n"/>
      <c r="BX115" s="372" t="n"/>
      <c r="BY115" s="372" t="n"/>
      <c r="BZ115" s="372" t="n"/>
      <c r="CA115" s="372" t="n"/>
      <c r="CB115" s="372" t="n"/>
      <c r="CC115" s="402" t="n"/>
      <c r="CF115" s="259" t="inlineStr">
        <is>
          <t>移動</t>
        </is>
      </c>
      <c r="CG115" s="403" t="n"/>
      <c r="CH115" s="403" t="n"/>
      <c r="CI115" s="404" t="n"/>
      <c r="CJ115" s="379">
        <f>IF(Q115="作業者1",E118-E115,0)</f>
        <v/>
      </c>
      <c r="CK115" s="377" t="n"/>
      <c r="CL115" s="377" t="n"/>
      <c r="CM115" s="377" t="n"/>
      <c r="CN115" s="378" t="n"/>
      <c r="CP115" s="248" t="inlineStr">
        <is>
          <t>移動</t>
        </is>
      </c>
      <c r="CQ115" s="377" t="n"/>
      <c r="CR115" s="377" t="n"/>
      <c r="CS115" s="378" t="n"/>
      <c r="CT115" s="379">
        <f>IF(Q115="作業者2",E118-E115,0)</f>
        <v/>
      </c>
      <c r="CU115" s="377" t="n"/>
      <c r="CV115" s="377" t="n"/>
      <c r="CW115" s="377" t="n"/>
      <c r="CX115" s="378" t="n"/>
      <c r="CZ115" s="259" t="inlineStr">
        <is>
          <t>移動</t>
        </is>
      </c>
      <c r="DA115" s="403" t="n"/>
      <c r="DB115" s="403" t="n"/>
      <c r="DC115" s="404" t="n"/>
      <c r="DD115" s="405">
        <f>IF(Q115="作業者3",E118-E115,0)</f>
        <v/>
      </c>
      <c r="DE115" s="406" t="n"/>
      <c r="DF115" s="406" t="n"/>
      <c r="DG115" s="406" t="n"/>
      <c r="DH115" s="407" t="n"/>
      <c r="DJ115" s="259" t="inlineStr">
        <is>
          <t>移動</t>
        </is>
      </c>
      <c r="DK115" s="403" t="n"/>
      <c r="DL115" s="403" t="n"/>
      <c r="DM115" s="404" t="n"/>
      <c r="DN115" s="379">
        <f>IF(Q115="作業者4",E118-E115,0)</f>
        <v/>
      </c>
      <c r="DO115" s="377" t="n"/>
      <c r="DP115" s="377" t="n"/>
      <c r="DQ115" s="377" t="n"/>
      <c r="DR115" s="378" t="n"/>
      <c r="DT115" s="259" t="inlineStr">
        <is>
          <t>移動</t>
        </is>
      </c>
      <c r="DU115" s="403" t="n"/>
      <c r="DV115" s="403" t="n"/>
      <c r="DW115" s="404" t="n"/>
      <c r="DX115" s="379">
        <f>IF(Q115="作業者5",E118-E115,0)</f>
        <v/>
      </c>
      <c r="DY115" s="377" t="n"/>
      <c r="DZ115" s="377" t="n"/>
      <c r="EA115" s="377" t="n"/>
      <c r="EB115" s="378" t="n"/>
    </row>
    <row r="116" ht="9" customHeight="1" s="337">
      <c r="B116" s="350" t="n"/>
      <c r="C116" s="338" t="n"/>
      <c r="D116" s="380" t="n"/>
      <c r="E116" s="381" t="n"/>
      <c r="F116" s="122" t="inlineStr">
        <is>
          <t>～</t>
        </is>
      </c>
      <c r="G116" s="22" t="n"/>
      <c r="H116" s="381" t="n"/>
      <c r="I116" s="122" t="inlineStr">
        <is>
          <t>～</t>
        </is>
      </c>
      <c r="J116" s="22" t="n"/>
      <c r="K116" s="381" t="n"/>
      <c r="L116" s="122" t="inlineStr">
        <is>
          <t>～</t>
        </is>
      </c>
      <c r="M116" s="22" t="n"/>
      <c r="N116" s="381" t="n"/>
      <c r="O116" s="122" t="inlineStr">
        <is>
          <t>～</t>
        </is>
      </c>
      <c r="P116" s="22" t="n"/>
      <c r="Q116" s="382" t="n"/>
      <c r="R116" s="338" t="n"/>
      <c r="S116" s="380" t="n"/>
      <c r="T116" s="382" t="n"/>
      <c r="U116" s="338" t="n"/>
      <c r="V116" s="380" t="n"/>
      <c r="W116" s="382" t="n"/>
      <c r="X116" s="338" t="n"/>
      <c r="Y116" s="338" t="n"/>
      <c r="Z116" s="338" t="n"/>
      <c r="AA116" s="338" t="n"/>
      <c r="AB116" s="338" t="n"/>
      <c r="AC116" s="338" t="n"/>
      <c r="AD116" s="338" t="n"/>
      <c r="AE116" s="338" t="n"/>
      <c r="AF116" s="338" t="n"/>
      <c r="AG116" s="338" t="n"/>
      <c r="AH116" s="338" t="n"/>
      <c r="AI116" s="338" t="n"/>
      <c r="AJ116" s="338" t="n"/>
      <c r="AK116" s="338" t="n"/>
      <c r="AL116" s="338" t="n"/>
      <c r="AM116" s="338" t="n"/>
      <c r="AN116" s="338" t="n"/>
      <c r="AO116" s="338" t="n"/>
      <c r="AP116" s="338" t="n"/>
      <c r="AQ116" s="338" t="n"/>
      <c r="AR116" s="338" t="n"/>
      <c r="AS116" s="338" t="n"/>
      <c r="AT116" s="338" t="n"/>
      <c r="AU116" s="338" t="n"/>
      <c r="AV116" s="338" t="n"/>
      <c r="AW116" s="338" t="n"/>
      <c r="AX116" s="338" t="n"/>
      <c r="AY116" s="338" t="n"/>
      <c r="AZ116" s="338" t="n"/>
      <c r="BA116" s="338" t="n"/>
      <c r="BB116" s="338" t="n"/>
      <c r="BC116" s="338" t="n"/>
      <c r="BD116" s="338" t="n"/>
      <c r="BE116" s="338" t="n"/>
      <c r="BF116" s="338" t="n"/>
      <c r="BG116" s="338" t="n"/>
      <c r="BH116" s="338" t="n"/>
      <c r="BI116" s="338" t="n"/>
      <c r="BJ116" s="338" t="n"/>
      <c r="BK116" s="338" t="n"/>
      <c r="BL116" s="338" t="n"/>
      <c r="BM116" s="338" t="n"/>
      <c r="BN116" s="338" t="n"/>
      <c r="BO116" s="338" t="n"/>
      <c r="BP116" s="338" t="n"/>
      <c r="BQ116" s="338" t="n"/>
      <c r="BR116" s="338" t="n"/>
      <c r="BS116" s="338" t="n"/>
      <c r="BT116" s="338" t="n"/>
      <c r="BU116" s="338" t="n"/>
      <c r="BV116" s="338" t="n"/>
      <c r="BW116" s="338" t="n"/>
      <c r="BX116" s="338" t="n"/>
      <c r="BY116" s="338" t="n"/>
      <c r="BZ116" s="338" t="n"/>
      <c r="CA116" s="338" t="n"/>
      <c r="CB116" s="338" t="n"/>
      <c r="CC116" s="383" t="n"/>
      <c r="CF116" s="253" t="inlineStr">
        <is>
          <t>時間内</t>
        </is>
      </c>
      <c r="CG116" s="384" t="n"/>
      <c r="CH116" s="384" t="n"/>
      <c r="CI116" s="385" t="n"/>
      <c r="CJ116" s="386">
        <f>IF(Q115="作業者1",H118-H115,0)</f>
        <v/>
      </c>
      <c r="CK116" s="387" t="n"/>
      <c r="CL116" s="387" t="n"/>
      <c r="CM116" s="387" t="n"/>
      <c r="CN116" s="388" t="n"/>
      <c r="CP116" s="253" t="inlineStr">
        <is>
          <t>時間内</t>
        </is>
      </c>
      <c r="CQ116" s="384" t="n"/>
      <c r="CR116" s="384" t="n"/>
      <c r="CS116" s="385" t="n"/>
      <c r="CT116" s="386">
        <f>IF(Q115="作業者2",H118-H115,0)</f>
        <v/>
      </c>
      <c r="CU116" s="387" t="n"/>
      <c r="CV116" s="387" t="n"/>
      <c r="CW116" s="387" t="n"/>
      <c r="CX116" s="388" t="n"/>
      <c r="CZ116" s="253" t="inlineStr">
        <is>
          <t>時間内</t>
        </is>
      </c>
      <c r="DA116" s="384" t="n"/>
      <c r="DB116" s="384" t="n"/>
      <c r="DC116" s="385" t="n"/>
      <c r="DD116" s="386">
        <f>IF(Q115="作業者3",H118-H115,0)</f>
        <v/>
      </c>
      <c r="DE116" s="387" t="n"/>
      <c r="DF116" s="387" t="n"/>
      <c r="DG116" s="387" t="n"/>
      <c r="DH116" s="388" t="n"/>
      <c r="DJ116" s="253" t="inlineStr">
        <is>
          <t>時間内</t>
        </is>
      </c>
      <c r="DK116" s="384" t="n"/>
      <c r="DL116" s="384" t="n"/>
      <c r="DM116" s="385" t="n"/>
      <c r="DN116" s="386">
        <f>IF(Q115="作業者4",H118-H115,0)</f>
        <v/>
      </c>
      <c r="DO116" s="387" t="n"/>
      <c r="DP116" s="387" t="n"/>
      <c r="DQ116" s="387" t="n"/>
      <c r="DR116" s="388" t="n"/>
      <c r="DT116" s="253" t="inlineStr">
        <is>
          <t>時間内</t>
        </is>
      </c>
      <c r="DU116" s="384" t="n"/>
      <c r="DV116" s="384" t="n"/>
      <c r="DW116" s="385" t="n"/>
      <c r="DX116" s="386">
        <f>IF(Q115="作業者5",H118-H115,0)</f>
        <v/>
      </c>
      <c r="DY116" s="387" t="n"/>
      <c r="DZ116" s="387" t="n"/>
      <c r="EA116" s="387" t="n"/>
      <c r="EB116" s="388" t="n"/>
    </row>
    <row r="117" ht="9" customHeight="1" s="337">
      <c r="B117" s="350" t="n"/>
      <c r="C117" s="338" t="n"/>
      <c r="D117" s="380" t="n"/>
      <c r="E117" s="23" t="n"/>
      <c r="F117" s="338" t="n"/>
      <c r="G117" s="24" t="n"/>
      <c r="H117" s="23" t="n"/>
      <c r="I117" s="338" t="n"/>
      <c r="J117" s="24" t="n"/>
      <c r="K117" s="23" t="n"/>
      <c r="L117" s="338" t="n"/>
      <c r="M117" s="24" t="n"/>
      <c r="N117" s="23" t="n"/>
      <c r="O117" s="338" t="n"/>
      <c r="P117" s="24" t="n"/>
      <c r="Q117" s="382" t="n"/>
      <c r="R117" s="338" t="n"/>
      <c r="S117" s="380" t="n"/>
      <c r="T117" s="382" t="n"/>
      <c r="U117" s="338" t="n"/>
      <c r="V117" s="380" t="n"/>
      <c r="W117" s="382" t="n"/>
      <c r="X117" s="338" t="n"/>
      <c r="Y117" s="338" t="n"/>
      <c r="Z117" s="338" t="n"/>
      <c r="AA117" s="338" t="n"/>
      <c r="AB117" s="338" t="n"/>
      <c r="AC117" s="338" t="n"/>
      <c r="AD117" s="338" t="n"/>
      <c r="AE117" s="338" t="n"/>
      <c r="AF117" s="338" t="n"/>
      <c r="AG117" s="338" t="n"/>
      <c r="AH117" s="338" t="n"/>
      <c r="AI117" s="338" t="n"/>
      <c r="AJ117" s="338" t="n"/>
      <c r="AK117" s="338" t="n"/>
      <c r="AL117" s="338" t="n"/>
      <c r="AM117" s="338" t="n"/>
      <c r="AN117" s="338" t="n"/>
      <c r="AO117" s="338" t="n"/>
      <c r="AP117" s="338" t="n"/>
      <c r="AQ117" s="338" t="n"/>
      <c r="AR117" s="338" t="n"/>
      <c r="AS117" s="338" t="n"/>
      <c r="AT117" s="338" t="n"/>
      <c r="AU117" s="338" t="n"/>
      <c r="AV117" s="338" t="n"/>
      <c r="AW117" s="338" t="n"/>
      <c r="AX117" s="338" t="n"/>
      <c r="AY117" s="338" t="n"/>
      <c r="AZ117" s="338" t="n"/>
      <c r="BA117" s="338" t="n"/>
      <c r="BB117" s="338" t="n"/>
      <c r="BC117" s="338" t="n"/>
      <c r="BD117" s="338" t="n"/>
      <c r="BE117" s="338" t="n"/>
      <c r="BF117" s="338" t="n"/>
      <c r="BG117" s="338" t="n"/>
      <c r="BH117" s="338" t="n"/>
      <c r="BI117" s="338" t="n"/>
      <c r="BJ117" s="338" t="n"/>
      <c r="BK117" s="338" t="n"/>
      <c r="BL117" s="338" t="n"/>
      <c r="BM117" s="338" t="n"/>
      <c r="BN117" s="338" t="n"/>
      <c r="BO117" s="338" t="n"/>
      <c r="BP117" s="338" t="n"/>
      <c r="BQ117" s="338" t="n"/>
      <c r="BR117" s="338" t="n"/>
      <c r="BS117" s="338" t="n"/>
      <c r="BT117" s="338" t="n"/>
      <c r="BU117" s="338" t="n"/>
      <c r="BV117" s="338" t="n"/>
      <c r="BW117" s="338" t="n"/>
      <c r="BX117" s="338" t="n"/>
      <c r="BY117" s="338" t="n"/>
      <c r="BZ117" s="338" t="n"/>
      <c r="CA117" s="338" t="n"/>
      <c r="CB117" s="338" t="n"/>
      <c r="CC117" s="383" t="n"/>
      <c r="CF117" s="253" t="inlineStr">
        <is>
          <t>時間外</t>
        </is>
      </c>
      <c r="CG117" s="384" t="n"/>
      <c r="CH117" s="384" t="n"/>
      <c r="CI117" s="385" t="n"/>
      <c r="CJ117" s="386">
        <f>IF(Q115="作業者1",K118-K115,0)</f>
        <v/>
      </c>
      <c r="CK117" s="387" t="n"/>
      <c r="CL117" s="387" t="n"/>
      <c r="CM117" s="387" t="n"/>
      <c r="CN117" s="388" t="n"/>
      <c r="CP117" s="253" t="inlineStr">
        <is>
          <t>時間外</t>
        </is>
      </c>
      <c r="CQ117" s="384" t="n"/>
      <c r="CR117" s="384" t="n"/>
      <c r="CS117" s="385" t="n"/>
      <c r="CT117" s="386">
        <f>IF(Q115="作業者2",K118-K115,0)</f>
        <v/>
      </c>
      <c r="CU117" s="387" t="n"/>
      <c r="CV117" s="387" t="n"/>
      <c r="CW117" s="387" t="n"/>
      <c r="CX117" s="388" t="n"/>
      <c r="CZ117" s="253" t="inlineStr">
        <is>
          <t>時間外</t>
        </is>
      </c>
      <c r="DA117" s="384" t="n"/>
      <c r="DB117" s="384" t="n"/>
      <c r="DC117" s="385" t="n"/>
      <c r="DD117" s="386">
        <f>IF(Q115="作業者3",K118-K115,0)</f>
        <v/>
      </c>
      <c r="DE117" s="387" t="n"/>
      <c r="DF117" s="387" t="n"/>
      <c r="DG117" s="387" t="n"/>
      <c r="DH117" s="388" t="n"/>
      <c r="DJ117" s="253" t="inlineStr">
        <is>
          <t>時間外</t>
        </is>
      </c>
      <c r="DK117" s="384" t="n"/>
      <c r="DL117" s="384" t="n"/>
      <c r="DM117" s="385" t="n"/>
      <c r="DN117" s="386">
        <f>IF(Q115="作業者4",K118-K115,0)</f>
        <v/>
      </c>
      <c r="DO117" s="387" t="n"/>
      <c r="DP117" s="387" t="n"/>
      <c r="DQ117" s="387" t="n"/>
      <c r="DR117" s="388" t="n"/>
      <c r="DT117" s="253" t="inlineStr">
        <is>
          <t>時間外</t>
        </is>
      </c>
      <c r="DU117" s="384" t="n"/>
      <c r="DV117" s="384" t="n"/>
      <c r="DW117" s="385" t="n"/>
      <c r="DX117" s="386">
        <f>IF(Q115="作業者5",K118-K115,0)</f>
        <v/>
      </c>
      <c r="DY117" s="387" t="n"/>
      <c r="DZ117" s="387" t="n"/>
      <c r="EA117" s="387" t="n"/>
      <c r="EB117" s="388" t="n"/>
    </row>
    <row r="118" ht="9" customHeight="1" s="337">
      <c r="B118" s="389" t="n"/>
      <c r="C118" s="390" t="n"/>
      <c r="D118" s="391" t="n"/>
      <c r="E118" s="392" t="n"/>
      <c r="F118" s="390" t="n"/>
      <c r="G118" s="391" t="n"/>
      <c r="H118" s="392" t="n"/>
      <c r="I118" s="390" t="n"/>
      <c r="J118" s="391" t="n"/>
      <c r="K118" s="392" t="n"/>
      <c r="L118" s="390" t="n"/>
      <c r="M118" s="391" t="n"/>
      <c r="N118" s="392" t="n"/>
      <c r="O118" s="390" t="n"/>
      <c r="P118" s="391" t="n"/>
      <c r="Q118" s="393" t="n"/>
      <c r="R118" s="390" t="n"/>
      <c r="S118" s="391" t="n"/>
      <c r="T118" s="393" t="n"/>
      <c r="U118" s="390" t="n"/>
      <c r="V118" s="391" t="n"/>
      <c r="W118" s="393" t="n"/>
      <c r="X118" s="390" t="n"/>
      <c r="Y118" s="390" t="n"/>
      <c r="Z118" s="390" t="n"/>
      <c r="AA118" s="390" t="n"/>
      <c r="AB118" s="390" t="n"/>
      <c r="AC118" s="390" t="n"/>
      <c r="AD118" s="390" t="n"/>
      <c r="AE118" s="390" t="n"/>
      <c r="AF118" s="390" t="n"/>
      <c r="AG118" s="390" t="n"/>
      <c r="AH118" s="390" t="n"/>
      <c r="AI118" s="390" t="n"/>
      <c r="AJ118" s="390" t="n"/>
      <c r="AK118" s="390" t="n"/>
      <c r="AL118" s="390" t="n"/>
      <c r="AM118" s="390" t="n"/>
      <c r="AN118" s="390" t="n"/>
      <c r="AO118" s="390" t="n"/>
      <c r="AP118" s="390" t="n"/>
      <c r="AQ118" s="390" t="n"/>
      <c r="AR118" s="390" t="n"/>
      <c r="AS118" s="390" t="n"/>
      <c r="AT118" s="390" t="n"/>
      <c r="AU118" s="390" t="n"/>
      <c r="AV118" s="390" t="n"/>
      <c r="AW118" s="390" t="n"/>
      <c r="AX118" s="390" t="n"/>
      <c r="AY118" s="390" t="n"/>
      <c r="AZ118" s="390" t="n"/>
      <c r="BA118" s="390" t="n"/>
      <c r="BB118" s="390" t="n"/>
      <c r="BC118" s="390" t="n"/>
      <c r="BD118" s="390" t="n"/>
      <c r="BE118" s="390" t="n"/>
      <c r="BF118" s="390" t="n"/>
      <c r="BG118" s="390" t="n"/>
      <c r="BH118" s="390" t="n"/>
      <c r="BI118" s="390" t="n"/>
      <c r="BJ118" s="390" t="n"/>
      <c r="BK118" s="390" t="n"/>
      <c r="BL118" s="390" t="n"/>
      <c r="BM118" s="390" t="n"/>
      <c r="BN118" s="390" t="n"/>
      <c r="BO118" s="390" t="n"/>
      <c r="BP118" s="390" t="n"/>
      <c r="BQ118" s="390" t="n"/>
      <c r="BR118" s="390" t="n"/>
      <c r="BS118" s="390" t="n"/>
      <c r="BT118" s="390" t="n"/>
      <c r="BU118" s="390" t="n"/>
      <c r="BV118" s="390" t="n"/>
      <c r="BW118" s="390" t="n"/>
      <c r="BX118" s="390" t="n"/>
      <c r="BY118" s="390" t="n"/>
      <c r="BZ118" s="390" t="n"/>
      <c r="CA118" s="390" t="n"/>
      <c r="CB118" s="390" t="n"/>
      <c r="CC118" s="394" t="n"/>
      <c r="CF118" s="254" t="inlineStr">
        <is>
          <t>休日</t>
        </is>
      </c>
      <c r="CG118" s="395" t="n"/>
      <c r="CH118" s="395" t="n"/>
      <c r="CI118" s="396" t="n"/>
      <c r="CJ118" s="397">
        <f>IF(Q115="作業者1",N118-N115,0)</f>
        <v/>
      </c>
      <c r="CK118" s="395" t="n"/>
      <c r="CL118" s="395" t="n"/>
      <c r="CM118" s="395" t="n"/>
      <c r="CN118" s="396" t="n"/>
      <c r="CP118" s="254" t="inlineStr">
        <is>
          <t>休日</t>
        </is>
      </c>
      <c r="CQ118" s="395" t="n"/>
      <c r="CR118" s="395" t="n"/>
      <c r="CS118" s="396" t="n"/>
      <c r="CT118" s="397">
        <f>IF(Q115="作業者2",N118-N115,0)</f>
        <v/>
      </c>
      <c r="CU118" s="395" t="n"/>
      <c r="CV118" s="395" t="n"/>
      <c r="CW118" s="395" t="n"/>
      <c r="CX118" s="396" t="n"/>
      <c r="CZ118" s="254" t="inlineStr">
        <is>
          <t>休日</t>
        </is>
      </c>
      <c r="DA118" s="395" t="n"/>
      <c r="DB118" s="395" t="n"/>
      <c r="DC118" s="396" t="n"/>
      <c r="DD118" s="397">
        <f>IF(Q115="作業者3",N118-N115,0)</f>
        <v/>
      </c>
      <c r="DE118" s="395" t="n"/>
      <c r="DF118" s="395" t="n"/>
      <c r="DG118" s="395" t="n"/>
      <c r="DH118" s="396" t="n"/>
      <c r="DJ118" s="254" t="inlineStr">
        <is>
          <t>休日</t>
        </is>
      </c>
      <c r="DK118" s="395" t="n"/>
      <c r="DL118" s="395" t="n"/>
      <c r="DM118" s="396" t="n"/>
      <c r="DN118" s="397">
        <f>IF(Q115="作業者4",N118-N115,0)</f>
        <v/>
      </c>
      <c r="DO118" s="395" t="n"/>
      <c r="DP118" s="395" t="n"/>
      <c r="DQ118" s="395" t="n"/>
      <c r="DR118" s="396" t="n"/>
      <c r="DT118" s="254" t="inlineStr">
        <is>
          <t>休日</t>
        </is>
      </c>
      <c r="DU118" s="395" t="n"/>
      <c r="DV118" s="395" t="n"/>
      <c r="DW118" s="396" t="n"/>
      <c r="DX118" s="397">
        <f>IF(Q115="作業者5",N118-N115,0)</f>
        <v/>
      </c>
      <c r="DY118" s="395" t="n"/>
      <c r="DZ118" s="395" t="n"/>
      <c r="EA118" s="395" t="n"/>
      <c r="EB118" s="396" t="n"/>
    </row>
    <row r="119" ht="9" customHeight="1" s="337">
      <c r="B119" s="398" t="n"/>
      <c r="C119" s="372" t="n"/>
      <c r="D119" s="373" t="n"/>
      <c r="E119" s="399" t="n"/>
      <c r="F119" s="372" t="n"/>
      <c r="G119" s="373" t="n"/>
      <c r="H119" s="399" t="n"/>
      <c r="I119" s="372" t="n"/>
      <c r="J119" s="373" t="n"/>
      <c r="K119" s="399" t="n"/>
      <c r="L119" s="372" t="n"/>
      <c r="M119" s="373" t="n"/>
      <c r="N119" s="399" t="n"/>
      <c r="O119" s="372" t="n"/>
      <c r="P119" s="373" t="n"/>
      <c r="Q119" s="371" t="n"/>
      <c r="R119" s="372" t="n"/>
      <c r="S119" s="373" t="n"/>
      <c r="T119" s="371" t="n"/>
      <c r="U119" s="372" t="n"/>
      <c r="V119" s="373" t="n"/>
      <c r="W119" s="443" t="n"/>
      <c r="X119" s="372" t="n"/>
      <c r="Y119" s="372" t="n"/>
      <c r="Z119" s="372" t="n"/>
      <c r="AA119" s="372" t="n"/>
      <c r="AB119" s="372" t="n"/>
      <c r="AC119" s="372" t="n"/>
      <c r="AD119" s="372" t="n"/>
      <c r="AE119" s="372" t="n"/>
      <c r="AF119" s="372" t="n"/>
      <c r="AG119" s="372" t="n"/>
      <c r="AH119" s="372" t="n"/>
      <c r="AI119" s="372" t="n"/>
      <c r="AJ119" s="372" t="n"/>
      <c r="AK119" s="372" t="n"/>
      <c r="AL119" s="372" t="n"/>
      <c r="AM119" s="372" t="n"/>
      <c r="AN119" s="372" t="n"/>
      <c r="AO119" s="372" t="n"/>
      <c r="AP119" s="372" t="n"/>
      <c r="AQ119" s="372" t="n"/>
      <c r="AR119" s="372" t="n"/>
      <c r="AS119" s="372" t="n"/>
      <c r="AT119" s="372" t="n"/>
      <c r="AU119" s="372" t="n"/>
      <c r="AV119" s="372" t="n"/>
      <c r="AW119" s="372" t="n"/>
      <c r="AX119" s="372" t="n"/>
      <c r="AY119" s="372" t="n"/>
      <c r="AZ119" s="372" t="n"/>
      <c r="BA119" s="372" t="n"/>
      <c r="BB119" s="372" t="n"/>
      <c r="BC119" s="372" t="n"/>
      <c r="BD119" s="372" t="n"/>
      <c r="BE119" s="372" t="n"/>
      <c r="BF119" s="372" t="n"/>
      <c r="BG119" s="372" t="n"/>
      <c r="BH119" s="372" t="n"/>
      <c r="BI119" s="372" t="n"/>
      <c r="BJ119" s="372" t="n"/>
      <c r="BK119" s="372" t="n"/>
      <c r="BL119" s="372" t="n"/>
      <c r="BM119" s="372" t="n"/>
      <c r="BN119" s="372" t="n"/>
      <c r="BO119" s="372" t="n"/>
      <c r="BP119" s="372" t="n"/>
      <c r="BQ119" s="372" t="n"/>
      <c r="BR119" s="372" t="n"/>
      <c r="BS119" s="372" t="n"/>
      <c r="BT119" s="372" t="n"/>
      <c r="BU119" s="372" t="n"/>
      <c r="BV119" s="372" t="n"/>
      <c r="BW119" s="372" t="n"/>
      <c r="BX119" s="372" t="n"/>
      <c r="BY119" s="372" t="n"/>
      <c r="BZ119" s="372" t="n"/>
      <c r="CA119" s="372" t="n"/>
      <c r="CB119" s="372" t="n"/>
      <c r="CC119" s="402" t="n"/>
      <c r="CF119" s="248" t="inlineStr">
        <is>
          <t>移動</t>
        </is>
      </c>
      <c r="CG119" s="377" t="n"/>
      <c r="CH119" s="377" t="n"/>
      <c r="CI119" s="378" t="n"/>
      <c r="CJ119" s="379">
        <f>IF(Q119="作業者1",E122-E119,0)</f>
        <v/>
      </c>
      <c r="CK119" s="377" t="n"/>
      <c r="CL119" s="377" t="n"/>
      <c r="CM119" s="377" t="n"/>
      <c r="CN119" s="378" t="n"/>
      <c r="CP119" s="248" t="inlineStr">
        <is>
          <t>移動</t>
        </is>
      </c>
      <c r="CQ119" s="377" t="n"/>
      <c r="CR119" s="377" t="n"/>
      <c r="CS119" s="378" t="n"/>
      <c r="CT119" s="379">
        <f>IF(Q119="作業者2",E122-E119,0)</f>
        <v/>
      </c>
      <c r="CU119" s="377" t="n"/>
      <c r="CV119" s="377" t="n"/>
      <c r="CW119" s="377" t="n"/>
      <c r="CX119" s="378" t="n"/>
      <c r="CZ119" s="248" t="inlineStr">
        <is>
          <t>移動</t>
        </is>
      </c>
      <c r="DA119" s="377" t="n"/>
      <c r="DB119" s="377" t="n"/>
      <c r="DC119" s="378" t="n"/>
      <c r="DD119" s="379">
        <f>IF(Q119="作業者3",E122-E119,0)</f>
        <v/>
      </c>
      <c r="DE119" s="377" t="n"/>
      <c r="DF119" s="377" t="n"/>
      <c r="DG119" s="377" t="n"/>
      <c r="DH119" s="378" t="n"/>
      <c r="DJ119" s="248" t="inlineStr">
        <is>
          <t>移動</t>
        </is>
      </c>
      <c r="DK119" s="377" t="n"/>
      <c r="DL119" s="377" t="n"/>
      <c r="DM119" s="378" t="n"/>
      <c r="DN119" s="379">
        <f>IF(Q119="作業者4",E122-E119,0)</f>
        <v/>
      </c>
      <c r="DO119" s="377" t="n"/>
      <c r="DP119" s="377" t="n"/>
      <c r="DQ119" s="377" t="n"/>
      <c r="DR119" s="378" t="n"/>
      <c r="DT119" s="259" t="inlineStr">
        <is>
          <t>移動</t>
        </is>
      </c>
      <c r="DU119" s="403" t="n"/>
      <c r="DV119" s="403" t="n"/>
      <c r="DW119" s="404" t="n"/>
      <c r="DX119" s="379">
        <f>IF(Q119="作業者5",E122-E119,0)</f>
        <v/>
      </c>
      <c r="DY119" s="377" t="n"/>
      <c r="DZ119" s="377" t="n"/>
      <c r="EA119" s="377" t="n"/>
      <c r="EB119" s="378" t="n"/>
    </row>
    <row r="120" ht="9" customHeight="1" s="337">
      <c r="B120" s="350" t="n"/>
      <c r="C120" s="338" t="n"/>
      <c r="D120" s="380" t="n"/>
      <c r="E120" s="381" t="n"/>
      <c r="F120" s="122" t="inlineStr">
        <is>
          <t>～</t>
        </is>
      </c>
      <c r="G120" s="22" t="n"/>
      <c r="H120" s="381" t="n"/>
      <c r="I120" s="122" t="inlineStr">
        <is>
          <t>～</t>
        </is>
      </c>
      <c r="J120" s="22" t="n"/>
      <c r="K120" s="381" t="n"/>
      <c r="L120" s="122" t="inlineStr">
        <is>
          <t>～</t>
        </is>
      </c>
      <c r="M120" s="22" t="n"/>
      <c r="N120" s="381" t="n"/>
      <c r="O120" s="122" t="inlineStr">
        <is>
          <t>～</t>
        </is>
      </c>
      <c r="P120" s="22" t="n"/>
      <c r="Q120" s="382" t="n"/>
      <c r="R120" s="338" t="n"/>
      <c r="S120" s="380" t="n"/>
      <c r="T120" s="382" t="n"/>
      <c r="U120" s="338" t="n"/>
      <c r="V120" s="380" t="n"/>
      <c r="W120" s="382" t="n"/>
      <c r="X120" s="338" t="n"/>
      <c r="Y120" s="338" t="n"/>
      <c r="Z120" s="338" t="n"/>
      <c r="AA120" s="338" t="n"/>
      <c r="AB120" s="338" t="n"/>
      <c r="AC120" s="338" t="n"/>
      <c r="AD120" s="338" t="n"/>
      <c r="AE120" s="338" t="n"/>
      <c r="AF120" s="338" t="n"/>
      <c r="AG120" s="338" t="n"/>
      <c r="AH120" s="338" t="n"/>
      <c r="AI120" s="338" t="n"/>
      <c r="AJ120" s="338" t="n"/>
      <c r="AK120" s="338" t="n"/>
      <c r="AL120" s="338" t="n"/>
      <c r="AM120" s="338" t="n"/>
      <c r="AN120" s="338" t="n"/>
      <c r="AO120" s="338" t="n"/>
      <c r="AP120" s="338" t="n"/>
      <c r="AQ120" s="338" t="n"/>
      <c r="AR120" s="338" t="n"/>
      <c r="AS120" s="338" t="n"/>
      <c r="AT120" s="338" t="n"/>
      <c r="AU120" s="338" t="n"/>
      <c r="AV120" s="338" t="n"/>
      <c r="AW120" s="338" t="n"/>
      <c r="AX120" s="338" t="n"/>
      <c r="AY120" s="338" t="n"/>
      <c r="AZ120" s="338" t="n"/>
      <c r="BA120" s="338" t="n"/>
      <c r="BB120" s="338" t="n"/>
      <c r="BC120" s="338" t="n"/>
      <c r="BD120" s="338" t="n"/>
      <c r="BE120" s="338" t="n"/>
      <c r="BF120" s="338" t="n"/>
      <c r="BG120" s="338" t="n"/>
      <c r="BH120" s="338" t="n"/>
      <c r="BI120" s="338" t="n"/>
      <c r="BJ120" s="338" t="n"/>
      <c r="BK120" s="338" t="n"/>
      <c r="BL120" s="338" t="n"/>
      <c r="BM120" s="338" t="n"/>
      <c r="BN120" s="338" t="n"/>
      <c r="BO120" s="338" t="n"/>
      <c r="BP120" s="338" t="n"/>
      <c r="BQ120" s="338" t="n"/>
      <c r="BR120" s="338" t="n"/>
      <c r="BS120" s="338" t="n"/>
      <c r="BT120" s="338" t="n"/>
      <c r="BU120" s="338" t="n"/>
      <c r="BV120" s="338" t="n"/>
      <c r="BW120" s="338" t="n"/>
      <c r="BX120" s="338" t="n"/>
      <c r="BY120" s="338" t="n"/>
      <c r="BZ120" s="338" t="n"/>
      <c r="CA120" s="338" t="n"/>
      <c r="CB120" s="338" t="n"/>
      <c r="CC120" s="383" t="n"/>
      <c r="CF120" s="253" t="inlineStr">
        <is>
          <t>時間内</t>
        </is>
      </c>
      <c r="CG120" s="384" t="n"/>
      <c r="CH120" s="384" t="n"/>
      <c r="CI120" s="385" t="n"/>
      <c r="CJ120" s="386">
        <f>IF(Q119="作業者1",H122-H119,0)</f>
        <v/>
      </c>
      <c r="CK120" s="387" t="n"/>
      <c r="CL120" s="387" t="n"/>
      <c r="CM120" s="387" t="n"/>
      <c r="CN120" s="388" t="n"/>
      <c r="CP120" s="253" t="inlineStr">
        <is>
          <t>時間内</t>
        </is>
      </c>
      <c r="CQ120" s="384" t="n"/>
      <c r="CR120" s="384" t="n"/>
      <c r="CS120" s="385" t="n"/>
      <c r="CT120" s="386">
        <f>IF(Q119="作業者2",H122-H119,0)</f>
        <v/>
      </c>
      <c r="CU120" s="387" t="n"/>
      <c r="CV120" s="387" t="n"/>
      <c r="CW120" s="387" t="n"/>
      <c r="CX120" s="388" t="n"/>
      <c r="CZ120" s="253" t="inlineStr">
        <is>
          <t>時間内</t>
        </is>
      </c>
      <c r="DA120" s="384" t="n"/>
      <c r="DB120" s="384" t="n"/>
      <c r="DC120" s="385" t="n"/>
      <c r="DD120" s="386">
        <f>IF(Q119="作業者3",H122-H119,0)</f>
        <v/>
      </c>
      <c r="DE120" s="387" t="n"/>
      <c r="DF120" s="387" t="n"/>
      <c r="DG120" s="387" t="n"/>
      <c r="DH120" s="388" t="n"/>
      <c r="DJ120" s="253" t="inlineStr">
        <is>
          <t>時間内</t>
        </is>
      </c>
      <c r="DK120" s="384" t="n"/>
      <c r="DL120" s="384" t="n"/>
      <c r="DM120" s="385" t="n"/>
      <c r="DN120" s="386">
        <f>IF(Q119="作業者4",H122-H119,0)</f>
        <v/>
      </c>
      <c r="DO120" s="387" t="n"/>
      <c r="DP120" s="387" t="n"/>
      <c r="DQ120" s="387" t="n"/>
      <c r="DR120" s="388" t="n"/>
      <c r="DT120" s="253" t="inlineStr">
        <is>
          <t>時間内</t>
        </is>
      </c>
      <c r="DU120" s="384" t="n"/>
      <c r="DV120" s="384" t="n"/>
      <c r="DW120" s="385" t="n"/>
      <c r="DX120" s="386">
        <f>IF(Q119="作業者5",H122-H119,0)</f>
        <v/>
      </c>
      <c r="DY120" s="387" t="n"/>
      <c r="DZ120" s="387" t="n"/>
      <c r="EA120" s="387" t="n"/>
      <c r="EB120" s="388" t="n"/>
    </row>
    <row r="121" ht="9" customHeight="1" s="337">
      <c r="B121" s="350" t="n"/>
      <c r="C121" s="338" t="n"/>
      <c r="D121" s="380" t="n"/>
      <c r="E121" s="23" t="n"/>
      <c r="F121" s="338" t="n"/>
      <c r="G121" s="24" t="n"/>
      <c r="H121" s="23" t="n"/>
      <c r="I121" s="338" t="n"/>
      <c r="J121" s="24" t="n"/>
      <c r="K121" s="23" t="n"/>
      <c r="L121" s="338" t="n"/>
      <c r="M121" s="24" t="n"/>
      <c r="N121" s="23" t="n"/>
      <c r="O121" s="338" t="n"/>
      <c r="P121" s="24" t="n"/>
      <c r="Q121" s="382" t="n"/>
      <c r="R121" s="338" t="n"/>
      <c r="S121" s="380" t="n"/>
      <c r="T121" s="382" t="n"/>
      <c r="U121" s="338" t="n"/>
      <c r="V121" s="380" t="n"/>
      <c r="W121" s="382" t="n"/>
      <c r="X121" s="338" t="n"/>
      <c r="Y121" s="338" t="n"/>
      <c r="Z121" s="338" t="n"/>
      <c r="AA121" s="338" t="n"/>
      <c r="AB121" s="338" t="n"/>
      <c r="AC121" s="338" t="n"/>
      <c r="AD121" s="338" t="n"/>
      <c r="AE121" s="338" t="n"/>
      <c r="AF121" s="338" t="n"/>
      <c r="AG121" s="338" t="n"/>
      <c r="AH121" s="338" t="n"/>
      <c r="AI121" s="338" t="n"/>
      <c r="AJ121" s="338" t="n"/>
      <c r="AK121" s="338" t="n"/>
      <c r="AL121" s="338" t="n"/>
      <c r="AM121" s="338" t="n"/>
      <c r="AN121" s="338" t="n"/>
      <c r="AO121" s="338" t="n"/>
      <c r="AP121" s="338" t="n"/>
      <c r="AQ121" s="338" t="n"/>
      <c r="AR121" s="338" t="n"/>
      <c r="AS121" s="338" t="n"/>
      <c r="AT121" s="338" t="n"/>
      <c r="AU121" s="338" t="n"/>
      <c r="AV121" s="338" t="n"/>
      <c r="AW121" s="338" t="n"/>
      <c r="AX121" s="338" t="n"/>
      <c r="AY121" s="338" t="n"/>
      <c r="AZ121" s="338" t="n"/>
      <c r="BA121" s="338" t="n"/>
      <c r="BB121" s="338" t="n"/>
      <c r="BC121" s="338" t="n"/>
      <c r="BD121" s="338" t="n"/>
      <c r="BE121" s="338" t="n"/>
      <c r="BF121" s="338" t="n"/>
      <c r="BG121" s="338" t="n"/>
      <c r="BH121" s="338" t="n"/>
      <c r="BI121" s="338" t="n"/>
      <c r="BJ121" s="338" t="n"/>
      <c r="BK121" s="338" t="n"/>
      <c r="BL121" s="338" t="n"/>
      <c r="BM121" s="338" t="n"/>
      <c r="BN121" s="338" t="n"/>
      <c r="BO121" s="338" t="n"/>
      <c r="BP121" s="338" t="n"/>
      <c r="BQ121" s="338" t="n"/>
      <c r="BR121" s="338" t="n"/>
      <c r="BS121" s="338" t="n"/>
      <c r="BT121" s="338" t="n"/>
      <c r="BU121" s="338" t="n"/>
      <c r="BV121" s="338" t="n"/>
      <c r="BW121" s="338" t="n"/>
      <c r="BX121" s="338" t="n"/>
      <c r="BY121" s="338" t="n"/>
      <c r="BZ121" s="338" t="n"/>
      <c r="CA121" s="338" t="n"/>
      <c r="CB121" s="338" t="n"/>
      <c r="CC121" s="383" t="n"/>
      <c r="CF121" s="253" t="inlineStr">
        <is>
          <t>時間外</t>
        </is>
      </c>
      <c r="CG121" s="384" t="n"/>
      <c r="CH121" s="384" t="n"/>
      <c r="CI121" s="385" t="n"/>
      <c r="CJ121" s="386">
        <f>IF(Q119="作業者1",K122-K119,0)</f>
        <v/>
      </c>
      <c r="CK121" s="387" t="n"/>
      <c r="CL121" s="387" t="n"/>
      <c r="CM121" s="387" t="n"/>
      <c r="CN121" s="388" t="n"/>
      <c r="CP121" s="253" t="inlineStr">
        <is>
          <t>時間外</t>
        </is>
      </c>
      <c r="CQ121" s="384" t="n"/>
      <c r="CR121" s="384" t="n"/>
      <c r="CS121" s="385" t="n"/>
      <c r="CT121" s="386">
        <f>IF(Q119="作業者2",K122-K119,0)</f>
        <v/>
      </c>
      <c r="CU121" s="387" t="n"/>
      <c r="CV121" s="387" t="n"/>
      <c r="CW121" s="387" t="n"/>
      <c r="CX121" s="388" t="n"/>
      <c r="CZ121" s="253" t="inlineStr">
        <is>
          <t>時間外</t>
        </is>
      </c>
      <c r="DA121" s="384" t="n"/>
      <c r="DB121" s="384" t="n"/>
      <c r="DC121" s="385" t="n"/>
      <c r="DD121" s="386">
        <f>IF(Q119="作業者3",K122-K119,0)</f>
        <v/>
      </c>
      <c r="DE121" s="387" t="n"/>
      <c r="DF121" s="387" t="n"/>
      <c r="DG121" s="387" t="n"/>
      <c r="DH121" s="388" t="n"/>
      <c r="DJ121" s="253" t="inlineStr">
        <is>
          <t>時間外</t>
        </is>
      </c>
      <c r="DK121" s="384" t="n"/>
      <c r="DL121" s="384" t="n"/>
      <c r="DM121" s="385" t="n"/>
      <c r="DN121" s="386">
        <f>IF(Q119="作業者4",K122-K119,0)</f>
        <v/>
      </c>
      <c r="DO121" s="387" t="n"/>
      <c r="DP121" s="387" t="n"/>
      <c r="DQ121" s="387" t="n"/>
      <c r="DR121" s="388" t="n"/>
      <c r="DT121" s="253" t="inlineStr">
        <is>
          <t>時間外</t>
        </is>
      </c>
      <c r="DU121" s="384" t="n"/>
      <c r="DV121" s="384" t="n"/>
      <c r="DW121" s="385" t="n"/>
      <c r="DX121" s="386">
        <f>IF(Q119="作業者5",K122-K119,0)</f>
        <v/>
      </c>
      <c r="DY121" s="387" t="n"/>
      <c r="DZ121" s="387" t="n"/>
      <c r="EA121" s="387" t="n"/>
      <c r="EB121" s="388" t="n"/>
    </row>
    <row r="122" ht="9" customHeight="1" s="337">
      <c r="B122" s="389" t="n"/>
      <c r="C122" s="390" t="n"/>
      <c r="D122" s="391" t="n"/>
      <c r="E122" s="392" t="n"/>
      <c r="F122" s="390" t="n"/>
      <c r="G122" s="391" t="n"/>
      <c r="H122" s="392" t="n"/>
      <c r="I122" s="390" t="n"/>
      <c r="J122" s="391" t="n"/>
      <c r="K122" s="392" t="n"/>
      <c r="L122" s="390" t="n"/>
      <c r="M122" s="391" t="n"/>
      <c r="N122" s="392" t="n"/>
      <c r="O122" s="390" t="n"/>
      <c r="P122" s="391" t="n"/>
      <c r="Q122" s="393" t="n"/>
      <c r="R122" s="390" t="n"/>
      <c r="S122" s="391" t="n"/>
      <c r="T122" s="393" t="n"/>
      <c r="U122" s="390" t="n"/>
      <c r="V122" s="391" t="n"/>
      <c r="W122" s="393" t="n"/>
      <c r="X122" s="390" t="n"/>
      <c r="Y122" s="390" t="n"/>
      <c r="Z122" s="390" t="n"/>
      <c r="AA122" s="390" t="n"/>
      <c r="AB122" s="390" t="n"/>
      <c r="AC122" s="390" t="n"/>
      <c r="AD122" s="390" t="n"/>
      <c r="AE122" s="390" t="n"/>
      <c r="AF122" s="390" t="n"/>
      <c r="AG122" s="390" t="n"/>
      <c r="AH122" s="390" t="n"/>
      <c r="AI122" s="390" t="n"/>
      <c r="AJ122" s="390" t="n"/>
      <c r="AK122" s="390" t="n"/>
      <c r="AL122" s="390" t="n"/>
      <c r="AM122" s="390" t="n"/>
      <c r="AN122" s="390" t="n"/>
      <c r="AO122" s="390" t="n"/>
      <c r="AP122" s="390" t="n"/>
      <c r="AQ122" s="390" t="n"/>
      <c r="AR122" s="390" t="n"/>
      <c r="AS122" s="390" t="n"/>
      <c r="AT122" s="390" t="n"/>
      <c r="AU122" s="390" t="n"/>
      <c r="AV122" s="390" t="n"/>
      <c r="AW122" s="390" t="n"/>
      <c r="AX122" s="390" t="n"/>
      <c r="AY122" s="390" t="n"/>
      <c r="AZ122" s="390" t="n"/>
      <c r="BA122" s="390" t="n"/>
      <c r="BB122" s="390" t="n"/>
      <c r="BC122" s="390" t="n"/>
      <c r="BD122" s="390" t="n"/>
      <c r="BE122" s="390" t="n"/>
      <c r="BF122" s="390" t="n"/>
      <c r="BG122" s="390" t="n"/>
      <c r="BH122" s="390" t="n"/>
      <c r="BI122" s="390" t="n"/>
      <c r="BJ122" s="390" t="n"/>
      <c r="BK122" s="390" t="n"/>
      <c r="BL122" s="390" t="n"/>
      <c r="BM122" s="390" t="n"/>
      <c r="BN122" s="390" t="n"/>
      <c r="BO122" s="390" t="n"/>
      <c r="BP122" s="390" t="n"/>
      <c r="BQ122" s="390" t="n"/>
      <c r="BR122" s="390" t="n"/>
      <c r="BS122" s="390" t="n"/>
      <c r="BT122" s="390" t="n"/>
      <c r="BU122" s="390" t="n"/>
      <c r="BV122" s="390" t="n"/>
      <c r="BW122" s="390" t="n"/>
      <c r="BX122" s="390" t="n"/>
      <c r="BY122" s="390" t="n"/>
      <c r="BZ122" s="390" t="n"/>
      <c r="CA122" s="390" t="n"/>
      <c r="CB122" s="390" t="n"/>
      <c r="CC122" s="394" t="n"/>
      <c r="CF122" s="254" t="inlineStr">
        <is>
          <t>休日</t>
        </is>
      </c>
      <c r="CG122" s="395" t="n"/>
      <c r="CH122" s="395" t="n"/>
      <c r="CI122" s="396" t="n"/>
      <c r="CJ122" s="386">
        <f>IF(Q119="作業者1",N122-N119,0)</f>
        <v/>
      </c>
      <c r="CK122" s="387" t="n"/>
      <c r="CL122" s="387" t="n"/>
      <c r="CM122" s="387" t="n"/>
      <c r="CN122" s="388" t="n"/>
      <c r="CP122" s="253" t="inlineStr">
        <is>
          <t>休日</t>
        </is>
      </c>
      <c r="CQ122" s="384" t="n"/>
      <c r="CR122" s="384" t="n"/>
      <c r="CS122" s="385" t="n"/>
      <c r="CT122" s="386">
        <f>IF(Q119="作業者2",N122-N119,0)</f>
        <v/>
      </c>
      <c r="CU122" s="387" t="n"/>
      <c r="CV122" s="387" t="n"/>
      <c r="CW122" s="387" t="n"/>
      <c r="CX122" s="388" t="n"/>
      <c r="CZ122" s="254" t="inlineStr">
        <is>
          <t>休日</t>
        </is>
      </c>
      <c r="DA122" s="395" t="n"/>
      <c r="DB122" s="395" t="n"/>
      <c r="DC122" s="396" t="n"/>
      <c r="DD122" s="397">
        <f>IF(Q119="作業者3",N122-N119,0)</f>
        <v/>
      </c>
      <c r="DE122" s="395" t="n"/>
      <c r="DF122" s="395" t="n"/>
      <c r="DG122" s="395" t="n"/>
      <c r="DH122" s="396" t="n"/>
      <c r="DJ122" s="254" t="inlineStr">
        <is>
          <t>休日</t>
        </is>
      </c>
      <c r="DK122" s="395" t="n"/>
      <c r="DL122" s="395" t="n"/>
      <c r="DM122" s="396" t="n"/>
      <c r="DN122" s="397">
        <f>IF(Q119="作業者4",N122-N119,0)</f>
        <v/>
      </c>
      <c r="DO122" s="395" t="n"/>
      <c r="DP122" s="395" t="n"/>
      <c r="DQ122" s="395" t="n"/>
      <c r="DR122" s="396" t="n"/>
      <c r="DT122" s="254" t="inlineStr">
        <is>
          <t>休日</t>
        </is>
      </c>
      <c r="DU122" s="395" t="n"/>
      <c r="DV122" s="395" t="n"/>
      <c r="DW122" s="396" t="n"/>
      <c r="DX122" s="397">
        <f>IF(Q119="作業者5",N122-N119,0)</f>
        <v/>
      </c>
      <c r="DY122" s="395" t="n"/>
      <c r="DZ122" s="395" t="n"/>
      <c r="EA122" s="395" t="n"/>
      <c r="EB122" s="396" t="n"/>
    </row>
    <row r="123" ht="9" customHeight="1" s="337">
      <c r="B123" s="398" t="n"/>
      <c r="C123" s="372" t="n"/>
      <c r="D123" s="373" t="n"/>
      <c r="E123" s="399" t="n"/>
      <c r="F123" s="372" t="n"/>
      <c r="G123" s="373" t="n"/>
      <c r="H123" s="399" t="n"/>
      <c r="I123" s="372" t="n"/>
      <c r="J123" s="373" t="n"/>
      <c r="K123" s="399" t="n"/>
      <c r="L123" s="372" t="n"/>
      <c r="M123" s="373" t="n"/>
      <c r="N123" s="399" t="n"/>
      <c r="O123" s="372" t="n"/>
      <c r="P123" s="373" t="n"/>
      <c r="Q123" s="371" t="n"/>
      <c r="R123" s="372" t="n"/>
      <c r="S123" s="373" t="n"/>
      <c r="T123" s="371" t="n"/>
      <c r="U123" s="372" t="n"/>
      <c r="V123" s="373" t="n"/>
      <c r="W123" s="443" t="n"/>
      <c r="X123" s="372" t="n"/>
      <c r="Y123" s="372" t="n"/>
      <c r="Z123" s="372" t="n"/>
      <c r="AA123" s="372" t="n"/>
      <c r="AB123" s="372" t="n"/>
      <c r="AC123" s="372" t="n"/>
      <c r="AD123" s="372" t="n"/>
      <c r="AE123" s="372" t="n"/>
      <c r="AF123" s="372" t="n"/>
      <c r="AG123" s="372" t="n"/>
      <c r="AH123" s="372" t="n"/>
      <c r="AI123" s="372" t="n"/>
      <c r="AJ123" s="372" t="n"/>
      <c r="AK123" s="372" t="n"/>
      <c r="AL123" s="372" t="n"/>
      <c r="AM123" s="372" t="n"/>
      <c r="AN123" s="372" t="n"/>
      <c r="AO123" s="372" t="n"/>
      <c r="AP123" s="372" t="n"/>
      <c r="AQ123" s="372" t="n"/>
      <c r="AR123" s="372" t="n"/>
      <c r="AS123" s="372" t="n"/>
      <c r="AT123" s="372" t="n"/>
      <c r="AU123" s="372" t="n"/>
      <c r="AV123" s="372" t="n"/>
      <c r="AW123" s="372" t="n"/>
      <c r="AX123" s="372" t="n"/>
      <c r="AY123" s="372" t="n"/>
      <c r="AZ123" s="372" t="n"/>
      <c r="BA123" s="372" t="n"/>
      <c r="BB123" s="372" t="n"/>
      <c r="BC123" s="372" t="n"/>
      <c r="BD123" s="372" t="n"/>
      <c r="BE123" s="372" t="n"/>
      <c r="BF123" s="372" t="n"/>
      <c r="BG123" s="372" t="n"/>
      <c r="BH123" s="372" t="n"/>
      <c r="BI123" s="372" t="n"/>
      <c r="BJ123" s="372" t="n"/>
      <c r="BK123" s="372" t="n"/>
      <c r="BL123" s="372" t="n"/>
      <c r="BM123" s="372" t="n"/>
      <c r="BN123" s="372" t="n"/>
      <c r="BO123" s="372" t="n"/>
      <c r="BP123" s="372" t="n"/>
      <c r="BQ123" s="372" t="n"/>
      <c r="BR123" s="372" t="n"/>
      <c r="BS123" s="372" t="n"/>
      <c r="BT123" s="372" t="n"/>
      <c r="BU123" s="372" t="n"/>
      <c r="BV123" s="372" t="n"/>
      <c r="BW123" s="372" t="n"/>
      <c r="BX123" s="372" t="n"/>
      <c r="BY123" s="372" t="n"/>
      <c r="BZ123" s="372" t="n"/>
      <c r="CA123" s="372" t="n"/>
      <c r="CB123" s="372" t="n"/>
      <c r="CC123" s="402" t="n"/>
      <c r="CF123" s="259" t="inlineStr">
        <is>
          <t>移動</t>
        </is>
      </c>
      <c r="CG123" s="403" t="n"/>
      <c r="CH123" s="403" t="n"/>
      <c r="CI123" s="404" t="n"/>
      <c r="CJ123" s="379">
        <f>IF(Q123="作業者1",E126-E123,0)</f>
        <v/>
      </c>
      <c r="CK123" s="377" t="n"/>
      <c r="CL123" s="377" t="n"/>
      <c r="CM123" s="377" t="n"/>
      <c r="CN123" s="378" t="n"/>
      <c r="CP123" s="248" t="inlineStr">
        <is>
          <t>移動</t>
        </is>
      </c>
      <c r="CQ123" s="377" t="n"/>
      <c r="CR123" s="377" t="n"/>
      <c r="CS123" s="378" t="n"/>
      <c r="CT123" s="379">
        <f>IF(Q123="作業者2",E126-E123,0)</f>
        <v/>
      </c>
      <c r="CU123" s="377" t="n"/>
      <c r="CV123" s="377" t="n"/>
      <c r="CW123" s="377" t="n"/>
      <c r="CX123" s="378" t="n"/>
      <c r="CZ123" s="259" t="inlineStr">
        <is>
          <t>移動</t>
        </is>
      </c>
      <c r="DA123" s="403" t="n"/>
      <c r="DB123" s="403" t="n"/>
      <c r="DC123" s="404" t="n"/>
      <c r="DD123" s="405">
        <f>IF(Q123="作業者3",E126-E123,0)</f>
        <v/>
      </c>
      <c r="DE123" s="406" t="n"/>
      <c r="DF123" s="406" t="n"/>
      <c r="DG123" s="406" t="n"/>
      <c r="DH123" s="407" t="n"/>
      <c r="DJ123" s="259" t="inlineStr">
        <is>
          <t>移動</t>
        </is>
      </c>
      <c r="DK123" s="403" t="n"/>
      <c r="DL123" s="403" t="n"/>
      <c r="DM123" s="404" t="n"/>
      <c r="DN123" s="379">
        <f>IF(Q123="作業者4",E126-E123,0)</f>
        <v/>
      </c>
      <c r="DO123" s="377" t="n"/>
      <c r="DP123" s="377" t="n"/>
      <c r="DQ123" s="377" t="n"/>
      <c r="DR123" s="378" t="n"/>
      <c r="DT123" s="259" t="inlineStr">
        <is>
          <t>移動</t>
        </is>
      </c>
      <c r="DU123" s="403" t="n"/>
      <c r="DV123" s="403" t="n"/>
      <c r="DW123" s="404" t="n"/>
      <c r="DX123" s="379">
        <f>IF(Q123="作業者5",E126-E123,0)</f>
        <v/>
      </c>
      <c r="DY123" s="377" t="n"/>
      <c r="DZ123" s="377" t="n"/>
      <c r="EA123" s="377" t="n"/>
      <c r="EB123" s="378" t="n"/>
    </row>
    <row r="124" ht="9" customHeight="1" s="337">
      <c r="B124" s="350" t="n"/>
      <c r="C124" s="338" t="n"/>
      <c r="D124" s="380" t="n"/>
      <c r="E124" s="381" t="n"/>
      <c r="F124" s="122" t="inlineStr">
        <is>
          <t>～</t>
        </is>
      </c>
      <c r="G124" s="22" t="n"/>
      <c r="H124" s="381" t="n"/>
      <c r="I124" s="122" t="inlineStr">
        <is>
          <t>～</t>
        </is>
      </c>
      <c r="J124" s="22" t="n"/>
      <c r="K124" s="381" t="n"/>
      <c r="L124" s="122" t="inlineStr">
        <is>
          <t>～</t>
        </is>
      </c>
      <c r="M124" s="22" t="n"/>
      <c r="N124" s="381" t="n"/>
      <c r="O124" s="122" t="inlineStr">
        <is>
          <t>～</t>
        </is>
      </c>
      <c r="P124" s="22" t="n"/>
      <c r="Q124" s="382" t="n"/>
      <c r="R124" s="338" t="n"/>
      <c r="S124" s="380" t="n"/>
      <c r="T124" s="382" t="n"/>
      <c r="U124" s="338" t="n"/>
      <c r="V124" s="380" t="n"/>
      <c r="W124" s="382" t="n"/>
      <c r="X124" s="338" t="n"/>
      <c r="Y124" s="338" t="n"/>
      <c r="Z124" s="338" t="n"/>
      <c r="AA124" s="338" t="n"/>
      <c r="AB124" s="338" t="n"/>
      <c r="AC124" s="338" t="n"/>
      <c r="AD124" s="338" t="n"/>
      <c r="AE124" s="338" t="n"/>
      <c r="AF124" s="338" t="n"/>
      <c r="AG124" s="338" t="n"/>
      <c r="AH124" s="338" t="n"/>
      <c r="AI124" s="338" t="n"/>
      <c r="AJ124" s="338" t="n"/>
      <c r="AK124" s="338" t="n"/>
      <c r="AL124" s="338" t="n"/>
      <c r="AM124" s="338" t="n"/>
      <c r="AN124" s="338" t="n"/>
      <c r="AO124" s="338" t="n"/>
      <c r="AP124" s="338" t="n"/>
      <c r="AQ124" s="338" t="n"/>
      <c r="AR124" s="338" t="n"/>
      <c r="AS124" s="338" t="n"/>
      <c r="AT124" s="338" t="n"/>
      <c r="AU124" s="338" t="n"/>
      <c r="AV124" s="338" t="n"/>
      <c r="AW124" s="338" t="n"/>
      <c r="AX124" s="338" t="n"/>
      <c r="AY124" s="338" t="n"/>
      <c r="AZ124" s="338" t="n"/>
      <c r="BA124" s="338" t="n"/>
      <c r="BB124" s="338" t="n"/>
      <c r="BC124" s="338" t="n"/>
      <c r="BD124" s="338" t="n"/>
      <c r="BE124" s="338" t="n"/>
      <c r="BF124" s="338" t="n"/>
      <c r="BG124" s="338" t="n"/>
      <c r="BH124" s="338" t="n"/>
      <c r="BI124" s="338" t="n"/>
      <c r="BJ124" s="338" t="n"/>
      <c r="BK124" s="338" t="n"/>
      <c r="BL124" s="338" t="n"/>
      <c r="BM124" s="338" t="n"/>
      <c r="BN124" s="338" t="n"/>
      <c r="BO124" s="338" t="n"/>
      <c r="BP124" s="338" t="n"/>
      <c r="BQ124" s="338" t="n"/>
      <c r="BR124" s="338" t="n"/>
      <c r="BS124" s="338" t="n"/>
      <c r="BT124" s="338" t="n"/>
      <c r="BU124" s="338" t="n"/>
      <c r="BV124" s="338" t="n"/>
      <c r="BW124" s="338" t="n"/>
      <c r="BX124" s="338" t="n"/>
      <c r="BY124" s="338" t="n"/>
      <c r="BZ124" s="338" t="n"/>
      <c r="CA124" s="338" t="n"/>
      <c r="CB124" s="338" t="n"/>
      <c r="CC124" s="383" t="n"/>
      <c r="CF124" s="253" t="inlineStr">
        <is>
          <t>時間内</t>
        </is>
      </c>
      <c r="CG124" s="384" t="n"/>
      <c r="CH124" s="384" t="n"/>
      <c r="CI124" s="385" t="n"/>
      <c r="CJ124" s="386">
        <f>IF(Q123="作業者1",H126-H123,0)</f>
        <v/>
      </c>
      <c r="CK124" s="387" t="n"/>
      <c r="CL124" s="387" t="n"/>
      <c r="CM124" s="387" t="n"/>
      <c r="CN124" s="388" t="n"/>
      <c r="CP124" s="253" t="inlineStr">
        <is>
          <t>時間内</t>
        </is>
      </c>
      <c r="CQ124" s="384" t="n"/>
      <c r="CR124" s="384" t="n"/>
      <c r="CS124" s="385" t="n"/>
      <c r="CT124" s="386">
        <f>IF(Q123="作業者2",H126-H123,0)</f>
        <v/>
      </c>
      <c r="CU124" s="387" t="n"/>
      <c r="CV124" s="387" t="n"/>
      <c r="CW124" s="387" t="n"/>
      <c r="CX124" s="388" t="n"/>
      <c r="CZ124" s="253" t="inlineStr">
        <is>
          <t>時間内</t>
        </is>
      </c>
      <c r="DA124" s="384" t="n"/>
      <c r="DB124" s="384" t="n"/>
      <c r="DC124" s="385" t="n"/>
      <c r="DD124" s="386">
        <f>IF(Q123="作業者3",H126-H123,0)</f>
        <v/>
      </c>
      <c r="DE124" s="387" t="n"/>
      <c r="DF124" s="387" t="n"/>
      <c r="DG124" s="387" t="n"/>
      <c r="DH124" s="388" t="n"/>
      <c r="DJ124" s="253" t="inlineStr">
        <is>
          <t>時間内</t>
        </is>
      </c>
      <c r="DK124" s="384" t="n"/>
      <c r="DL124" s="384" t="n"/>
      <c r="DM124" s="385" t="n"/>
      <c r="DN124" s="386">
        <f>IF(Q123="作業者4",H126-H123,0)</f>
        <v/>
      </c>
      <c r="DO124" s="387" t="n"/>
      <c r="DP124" s="387" t="n"/>
      <c r="DQ124" s="387" t="n"/>
      <c r="DR124" s="388" t="n"/>
      <c r="DT124" s="253" t="inlineStr">
        <is>
          <t>時間内</t>
        </is>
      </c>
      <c r="DU124" s="384" t="n"/>
      <c r="DV124" s="384" t="n"/>
      <c r="DW124" s="385" t="n"/>
      <c r="DX124" s="386">
        <f>IF(Q123="作業者5",H126-H123,0)</f>
        <v/>
      </c>
      <c r="DY124" s="387" t="n"/>
      <c r="DZ124" s="387" t="n"/>
      <c r="EA124" s="387" t="n"/>
      <c r="EB124" s="388" t="n"/>
    </row>
    <row r="125" ht="9" customHeight="1" s="337">
      <c r="B125" s="350" t="n"/>
      <c r="C125" s="338" t="n"/>
      <c r="D125" s="380" t="n"/>
      <c r="E125" s="23" t="n"/>
      <c r="F125" s="338" t="n"/>
      <c r="G125" s="24" t="n"/>
      <c r="H125" s="23" t="n"/>
      <c r="I125" s="338" t="n"/>
      <c r="J125" s="24" t="n"/>
      <c r="K125" s="23" t="n"/>
      <c r="L125" s="338" t="n"/>
      <c r="M125" s="24" t="n"/>
      <c r="N125" s="23" t="n"/>
      <c r="O125" s="338" t="n"/>
      <c r="P125" s="24" t="n"/>
      <c r="Q125" s="382" t="n"/>
      <c r="R125" s="338" t="n"/>
      <c r="S125" s="380" t="n"/>
      <c r="T125" s="382" t="n"/>
      <c r="U125" s="338" t="n"/>
      <c r="V125" s="380" t="n"/>
      <c r="W125" s="382" t="n"/>
      <c r="X125" s="338" t="n"/>
      <c r="Y125" s="338" t="n"/>
      <c r="Z125" s="338" t="n"/>
      <c r="AA125" s="338" t="n"/>
      <c r="AB125" s="338" t="n"/>
      <c r="AC125" s="338" t="n"/>
      <c r="AD125" s="338" t="n"/>
      <c r="AE125" s="338" t="n"/>
      <c r="AF125" s="338" t="n"/>
      <c r="AG125" s="338" t="n"/>
      <c r="AH125" s="338" t="n"/>
      <c r="AI125" s="338" t="n"/>
      <c r="AJ125" s="338" t="n"/>
      <c r="AK125" s="338" t="n"/>
      <c r="AL125" s="338" t="n"/>
      <c r="AM125" s="338" t="n"/>
      <c r="AN125" s="338" t="n"/>
      <c r="AO125" s="338" t="n"/>
      <c r="AP125" s="338" t="n"/>
      <c r="AQ125" s="338" t="n"/>
      <c r="AR125" s="338" t="n"/>
      <c r="AS125" s="338" t="n"/>
      <c r="AT125" s="338" t="n"/>
      <c r="AU125" s="338" t="n"/>
      <c r="AV125" s="338" t="n"/>
      <c r="AW125" s="338" t="n"/>
      <c r="AX125" s="338" t="n"/>
      <c r="AY125" s="338" t="n"/>
      <c r="AZ125" s="338" t="n"/>
      <c r="BA125" s="338" t="n"/>
      <c r="BB125" s="338" t="n"/>
      <c r="BC125" s="338" t="n"/>
      <c r="BD125" s="338" t="n"/>
      <c r="BE125" s="338" t="n"/>
      <c r="BF125" s="338" t="n"/>
      <c r="BG125" s="338" t="n"/>
      <c r="BH125" s="338" t="n"/>
      <c r="BI125" s="338" t="n"/>
      <c r="BJ125" s="338" t="n"/>
      <c r="BK125" s="338" t="n"/>
      <c r="BL125" s="338" t="n"/>
      <c r="BM125" s="338" t="n"/>
      <c r="BN125" s="338" t="n"/>
      <c r="BO125" s="338" t="n"/>
      <c r="BP125" s="338" t="n"/>
      <c r="BQ125" s="338" t="n"/>
      <c r="BR125" s="338" t="n"/>
      <c r="BS125" s="338" t="n"/>
      <c r="BT125" s="338" t="n"/>
      <c r="BU125" s="338" t="n"/>
      <c r="BV125" s="338" t="n"/>
      <c r="BW125" s="338" t="n"/>
      <c r="BX125" s="338" t="n"/>
      <c r="BY125" s="338" t="n"/>
      <c r="BZ125" s="338" t="n"/>
      <c r="CA125" s="338" t="n"/>
      <c r="CB125" s="338" t="n"/>
      <c r="CC125" s="383" t="n"/>
      <c r="CF125" s="253" t="inlineStr">
        <is>
          <t>時間外</t>
        </is>
      </c>
      <c r="CG125" s="384" t="n"/>
      <c r="CH125" s="384" t="n"/>
      <c r="CI125" s="385" t="n"/>
      <c r="CJ125" s="386">
        <f>IF(Q123="作業者1",K126-K123,0)</f>
        <v/>
      </c>
      <c r="CK125" s="387" t="n"/>
      <c r="CL125" s="387" t="n"/>
      <c r="CM125" s="387" t="n"/>
      <c r="CN125" s="388" t="n"/>
      <c r="CP125" s="253" t="inlineStr">
        <is>
          <t>時間外</t>
        </is>
      </c>
      <c r="CQ125" s="384" t="n"/>
      <c r="CR125" s="384" t="n"/>
      <c r="CS125" s="385" t="n"/>
      <c r="CT125" s="386">
        <f>IF(Q123="作業者2",K126-K123,0)</f>
        <v/>
      </c>
      <c r="CU125" s="387" t="n"/>
      <c r="CV125" s="387" t="n"/>
      <c r="CW125" s="387" t="n"/>
      <c r="CX125" s="388" t="n"/>
      <c r="CZ125" s="253" t="inlineStr">
        <is>
          <t>時間外</t>
        </is>
      </c>
      <c r="DA125" s="384" t="n"/>
      <c r="DB125" s="384" t="n"/>
      <c r="DC125" s="385" t="n"/>
      <c r="DD125" s="386">
        <f>IF(Q123="作業者3",K126-K123,0)</f>
        <v/>
      </c>
      <c r="DE125" s="387" t="n"/>
      <c r="DF125" s="387" t="n"/>
      <c r="DG125" s="387" t="n"/>
      <c r="DH125" s="388" t="n"/>
      <c r="DJ125" s="253" t="inlineStr">
        <is>
          <t>時間外</t>
        </is>
      </c>
      <c r="DK125" s="384" t="n"/>
      <c r="DL125" s="384" t="n"/>
      <c r="DM125" s="385" t="n"/>
      <c r="DN125" s="386">
        <f>IF(Q123="作業者4",K126-K123,0)</f>
        <v/>
      </c>
      <c r="DO125" s="387" t="n"/>
      <c r="DP125" s="387" t="n"/>
      <c r="DQ125" s="387" t="n"/>
      <c r="DR125" s="388" t="n"/>
      <c r="DT125" s="253" t="inlineStr">
        <is>
          <t>時間外</t>
        </is>
      </c>
      <c r="DU125" s="384" t="n"/>
      <c r="DV125" s="384" t="n"/>
      <c r="DW125" s="385" t="n"/>
      <c r="DX125" s="386">
        <f>IF(Q123="作業者5",K126-K123,0)</f>
        <v/>
      </c>
      <c r="DY125" s="387" t="n"/>
      <c r="DZ125" s="387" t="n"/>
      <c r="EA125" s="387" t="n"/>
      <c r="EB125" s="388" t="n"/>
    </row>
    <row r="126" ht="9" customHeight="1" s="337">
      <c r="B126" s="389" t="n"/>
      <c r="C126" s="390" t="n"/>
      <c r="D126" s="391" t="n"/>
      <c r="E126" s="392" t="n"/>
      <c r="F126" s="390" t="n"/>
      <c r="G126" s="391" t="n"/>
      <c r="H126" s="392" t="n"/>
      <c r="I126" s="390" t="n"/>
      <c r="J126" s="391" t="n"/>
      <c r="K126" s="392" t="n"/>
      <c r="L126" s="390" t="n"/>
      <c r="M126" s="391" t="n"/>
      <c r="N126" s="392" t="n"/>
      <c r="O126" s="390" t="n"/>
      <c r="P126" s="391" t="n"/>
      <c r="Q126" s="393" t="n"/>
      <c r="R126" s="390" t="n"/>
      <c r="S126" s="391" t="n"/>
      <c r="T126" s="393" t="n"/>
      <c r="U126" s="390" t="n"/>
      <c r="V126" s="391" t="n"/>
      <c r="W126" s="393" t="n"/>
      <c r="X126" s="390" t="n"/>
      <c r="Y126" s="390" t="n"/>
      <c r="Z126" s="390" t="n"/>
      <c r="AA126" s="390" t="n"/>
      <c r="AB126" s="390" t="n"/>
      <c r="AC126" s="390" t="n"/>
      <c r="AD126" s="390" t="n"/>
      <c r="AE126" s="390" t="n"/>
      <c r="AF126" s="390" t="n"/>
      <c r="AG126" s="390" t="n"/>
      <c r="AH126" s="390" t="n"/>
      <c r="AI126" s="390" t="n"/>
      <c r="AJ126" s="390" t="n"/>
      <c r="AK126" s="390" t="n"/>
      <c r="AL126" s="390" t="n"/>
      <c r="AM126" s="390" t="n"/>
      <c r="AN126" s="390" t="n"/>
      <c r="AO126" s="390" t="n"/>
      <c r="AP126" s="390" t="n"/>
      <c r="AQ126" s="390" t="n"/>
      <c r="AR126" s="390" t="n"/>
      <c r="AS126" s="390" t="n"/>
      <c r="AT126" s="390" t="n"/>
      <c r="AU126" s="390" t="n"/>
      <c r="AV126" s="390" t="n"/>
      <c r="AW126" s="390" t="n"/>
      <c r="AX126" s="390" t="n"/>
      <c r="AY126" s="390" t="n"/>
      <c r="AZ126" s="390" t="n"/>
      <c r="BA126" s="390" t="n"/>
      <c r="BB126" s="390" t="n"/>
      <c r="BC126" s="390" t="n"/>
      <c r="BD126" s="390" t="n"/>
      <c r="BE126" s="390" t="n"/>
      <c r="BF126" s="390" t="n"/>
      <c r="BG126" s="390" t="n"/>
      <c r="BH126" s="390" t="n"/>
      <c r="BI126" s="390" t="n"/>
      <c r="BJ126" s="390" t="n"/>
      <c r="BK126" s="390" t="n"/>
      <c r="BL126" s="390" t="n"/>
      <c r="BM126" s="390" t="n"/>
      <c r="BN126" s="390" t="n"/>
      <c r="BO126" s="390" t="n"/>
      <c r="BP126" s="390" t="n"/>
      <c r="BQ126" s="390" t="n"/>
      <c r="BR126" s="390" t="n"/>
      <c r="BS126" s="390" t="n"/>
      <c r="BT126" s="390" t="n"/>
      <c r="BU126" s="390" t="n"/>
      <c r="BV126" s="390" t="n"/>
      <c r="BW126" s="390" t="n"/>
      <c r="BX126" s="390" t="n"/>
      <c r="BY126" s="390" t="n"/>
      <c r="BZ126" s="390" t="n"/>
      <c r="CA126" s="390" t="n"/>
      <c r="CB126" s="390" t="n"/>
      <c r="CC126" s="394" t="n"/>
      <c r="CF126" s="254" t="inlineStr">
        <is>
          <t>休日</t>
        </is>
      </c>
      <c r="CG126" s="395" t="n"/>
      <c r="CH126" s="395" t="n"/>
      <c r="CI126" s="396" t="n"/>
      <c r="CJ126" s="397">
        <f>IF(Q123="作業者1",N126-N123,0)</f>
        <v/>
      </c>
      <c r="CK126" s="395" t="n"/>
      <c r="CL126" s="395" t="n"/>
      <c r="CM126" s="395" t="n"/>
      <c r="CN126" s="396" t="n"/>
      <c r="CP126" s="254" t="inlineStr">
        <is>
          <t>休日</t>
        </is>
      </c>
      <c r="CQ126" s="395" t="n"/>
      <c r="CR126" s="395" t="n"/>
      <c r="CS126" s="396" t="n"/>
      <c r="CT126" s="397">
        <f>IF(Q123="作業者2",N126-N123,0)</f>
        <v/>
      </c>
      <c r="CU126" s="395" t="n"/>
      <c r="CV126" s="395" t="n"/>
      <c r="CW126" s="395" t="n"/>
      <c r="CX126" s="396" t="n"/>
      <c r="CZ126" s="254" t="inlineStr">
        <is>
          <t>休日</t>
        </is>
      </c>
      <c r="DA126" s="395" t="n"/>
      <c r="DB126" s="395" t="n"/>
      <c r="DC126" s="396" t="n"/>
      <c r="DD126" s="397">
        <f>IF(Q123="作業者3",N126-N123,0)</f>
        <v/>
      </c>
      <c r="DE126" s="395" t="n"/>
      <c r="DF126" s="395" t="n"/>
      <c r="DG126" s="395" t="n"/>
      <c r="DH126" s="396" t="n"/>
      <c r="DJ126" s="254" t="inlineStr">
        <is>
          <t>休日</t>
        </is>
      </c>
      <c r="DK126" s="395" t="n"/>
      <c r="DL126" s="395" t="n"/>
      <c r="DM126" s="396" t="n"/>
      <c r="DN126" s="397">
        <f>IF(Q123="作業者4",N126-N123,0)</f>
        <v/>
      </c>
      <c r="DO126" s="395" t="n"/>
      <c r="DP126" s="395" t="n"/>
      <c r="DQ126" s="395" t="n"/>
      <c r="DR126" s="396" t="n"/>
      <c r="DT126" s="254" t="inlineStr">
        <is>
          <t>休日</t>
        </is>
      </c>
      <c r="DU126" s="395" t="n"/>
      <c r="DV126" s="395" t="n"/>
      <c r="DW126" s="396" t="n"/>
      <c r="DX126" s="397">
        <f>IF(Q123="作業者5",N126-N123,0)</f>
        <v/>
      </c>
      <c r="DY126" s="395" t="n"/>
      <c r="DZ126" s="395" t="n"/>
      <c r="EA126" s="395" t="n"/>
      <c r="EB126" s="396" t="n"/>
    </row>
    <row r="127" ht="9" customHeight="1" s="337">
      <c r="B127" s="398" t="n"/>
      <c r="C127" s="372" t="n"/>
      <c r="D127" s="373" t="n"/>
      <c r="E127" s="399" t="n"/>
      <c r="F127" s="372" t="n"/>
      <c r="G127" s="373" t="n"/>
      <c r="H127" s="399" t="n"/>
      <c r="I127" s="372" t="n"/>
      <c r="J127" s="373" t="n"/>
      <c r="K127" s="399" t="n"/>
      <c r="L127" s="372" t="n"/>
      <c r="M127" s="373" t="n"/>
      <c r="N127" s="399" t="n"/>
      <c r="O127" s="372" t="n"/>
      <c r="P127" s="373" t="n"/>
      <c r="Q127" s="371" t="n"/>
      <c r="R127" s="372" t="n"/>
      <c r="S127" s="373" t="n"/>
      <c r="T127" s="371" t="n"/>
      <c r="U127" s="372" t="n"/>
      <c r="V127" s="373" t="n"/>
      <c r="W127" s="443" t="n"/>
      <c r="X127" s="372" t="n"/>
      <c r="Y127" s="372" t="n"/>
      <c r="Z127" s="372" t="n"/>
      <c r="AA127" s="372" t="n"/>
      <c r="AB127" s="372" t="n"/>
      <c r="AC127" s="372" t="n"/>
      <c r="AD127" s="372" t="n"/>
      <c r="AE127" s="372" t="n"/>
      <c r="AF127" s="372" t="n"/>
      <c r="AG127" s="372" t="n"/>
      <c r="AH127" s="372" t="n"/>
      <c r="AI127" s="372" t="n"/>
      <c r="AJ127" s="372" t="n"/>
      <c r="AK127" s="372" t="n"/>
      <c r="AL127" s="372" t="n"/>
      <c r="AM127" s="372" t="n"/>
      <c r="AN127" s="372" t="n"/>
      <c r="AO127" s="372" t="n"/>
      <c r="AP127" s="372" t="n"/>
      <c r="AQ127" s="372" t="n"/>
      <c r="AR127" s="372" t="n"/>
      <c r="AS127" s="372" t="n"/>
      <c r="AT127" s="372" t="n"/>
      <c r="AU127" s="372" t="n"/>
      <c r="AV127" s="372" t="n"/>
      <c r="AW127" s="372" t="n"/>
      <c r="AX127" s="372" t="n"/>
      <c r="AY127" s="372" t="n"/>
      <c r="AZ127" s="372" t="n"/>
      <c r="BA127" s="372" t="n"/>
      <c r="BB127" s="372" t="n"/>
      <c r="BC127" s="372" t="n"/>
      <c r="BD127" s="372" t="n"/>
      <c r="BE127" s="372" t="n"/>
      <c r="BF127" s="372" t="n"/>
      <c r="BG127" s="372" t="n"/>
      <c r="BH127" s="372" t="n"/>
      <c r="BI127" s="372" t="n"/>
      <c r="BJ127" s="372" t="n"/>
      <c r="BK127" s="372" t="n"/>
      <c r="BL127" s="372" t="n"/>
      <c r="BM127" s="372" t="n"/>
      <c r="BN127" s="372" t="n"/>
      <c r="BO127" s="372" t="n"/>
      <c r="BP127" s="372" t="n"/>
      <c r="BQ127" s="372" t="n"/>
      <c r="BR127" s="372" t="n"/>
      <c r="BS127" s="372" t="n"/>
      <c r="BT127" s="372" t="n"/>
      <c r="BU127" s="372" t="n"/>
      <c r="BV127" s="372" t="n"/>
      <c r="BW127" s="372" t="n"/>
      <c r="BX127" s="372" t="n"/>
      <c r="BY127" s="372" t="n"/>
      <c r="BZ127" s="372" t="n"/>
      <c r="CA127" s="372" t="n"/>
      <c r="CB127" s="372" t="n"/>
      <c r="CC127" s="402" t="n"/>
      <c r="CF127" s="248" t="inlineStr">
        <is>
          <t>移動</t>
        </is>
      </c>
      <c r="CG127" s="377" t="n"/>
      <c r="CH127" s="377" t="n"/>
      <c r="CI127" s="378" t="n"/>
      <c r="CJ127" s="379">
        <f>IF(Q127="作業者1",E130-E127,0)</f>
        <v/>
      </c>
      <c r="CK127" s="377" t="n"/>
      <c r="CL127" s="377" t="n"/>
      <c r="CM127" s="377" t="n"/>
      <c r="CN127" s="378" t="n"/>
      <c r="CP127" s="248" t="inlineStr">
        <is>
          <t>移動</t>
        </is>
      </c>
      <c r="CQ127" s="377" t="n"/>
      <c r="CR127" s="377" t="n"/>
      <c r="CS127" s="378" t="n"/>
      <c r="CT127" s="379">
        <f>IF(Q127="作業者2",E130-E127,0)</f>
        <v/>
      </c>
      <c r="CU127" s="377" t="n"/>
      <c r="CV127" s="377" t="n"/>
      <c r="CW127" s="377" t="n"/>
      <c r="CX127" s="378" t="n"/>
      <c r="CZ127" s="248" t="inlineStr">
        <is>
          <t>移動</t>
        </is>
      </c>
      <c r="DA127" s="377" t="n"/>
      <c r="DB127" s="377" t="n"/>
      <c r="DC127" s="378" t="n"/>
      <c r="DD127" s="379">
        <f>IF(Q127="作業者3",E130-E127,0)</f>
        <v/>
      </c>
      <c r="DE127" s="377" t="n"/>
      <c r="DF127" s="377" t="n"/>
      <c r="DG127" s="377" t="n"/>
      <c r="DH127" s="378" t="n"/>
      <c r="DJ127" s="248" t="inlineStr">
        <is>
          <t>移動</t>
        </is>
      </c>
      <c r="DK127" s="377" t="n"/>
      <c r="DL127" s="377" t="n"/>
      <c r="DM127" s="378" t="n"/>
      <c r="DN127" s="379">
        <f>IF(Q127="作業者4",E130-E127,0)</f>
        <v/>
      </c>
      <c r="DO127" s="377" t="n"/>
      <c r="DP127" s="377" t="n"/>
      <c r="DQ127" s="377" t="n"/>
      <c r="DR127" s="378" t="n"/>
      <c r="DT127" s="259" t="inlineStr">
        <is>
          <t>移動</t>
        </is>
      </c>
      <c r="DU127" s="403" t="n"/>
      <c r="DV127" s="403" t="n"/>
      <c r="DW127" s="404" t="n"/>
      <c r="DX127" s="379">
        <f>IF(Q127="作業者5",E130-E127,0)</f>
        <v/>
      </c>
      <c r="DY127" s="377" t="n"/>
      <c r="DZ127" s="377" t="n"/>
      <c r="EA127" s="377" t="n"/>
      <c r="EB127" s="378" t="n"/>
    </row>
    <row r="128" ht="9" customHeight="1" s="337">
      <c r="B128" s="350" t="n"/>
      <c r="C128" s="338" t="n"/>
      <c r="D128" s="380" t="n"/>
      <c r="E128" s="381" t="n"/>
      <c r="F128" s="122" t="inlineStr">
        <is>
          <t>～</t>
        </is>
      </c>
      <c r="G128" s="22" t="n"/>
      <c r="H128" s="381" t="n"/>
      <c r="I128" s="122" t="inlineStr">
        <is>
          <t>～</t>
        </is>
      </c>
      <c r="J128" s="22" t="n"/>
      <c r="K128" s="381" t="n"/>
      <c r="L128" s="122" t="inlineStr">
        <is>
          <t>～</t>
        </is>
      </c>
      <c r="M128" s="22" t="n"/>
      <c r="N128" s="381" t="n"/>
      <c r="O128" s="122" t="inlineStr">
        <is>
          <t>～</t>
        </is>
      </c>
      <c r="P128" s="22" t="n"/>
      <c r="Q128" s="382" t="n"/>
      <c r="R128" s="338" t="n"/>
      <c r="S128" s="380" t="n"/>
      <c r="T128" s="382" t="n"/>
      <c r="U128" s="338" t="n"/>
      <c r="V128" s="380" t="n"/>
      <c r="W128" s="382" t="n"/>
      <c r="X128" s="338" t="n"/>
      <c r="Y128" s="338" t="n"/>
      <c r="Z128" s="338" t="n"/>
      <c r="AA128" s="338" t="n"/>
      <c r="AB128" s="338" t="n"/>
      <c r="AC128" s="338" t="n"/>
      <c r="AD128" s="338" t="n"/>
      <c r="AE128" s="338" t="n"/>
      <c r="AF128" s="338" t="n"/>
      <c r="AG128" s="338" t="n"/>
      <c r="AH128" s="338" t="n"/>
      <c r="AI128" s="338" t="n"/>
      <c r="AJ128" s="338" t="n"/>
      <c r="AK128" s="338" t="n"/>
      <c r="AL128" s="338" t="n"/>
      <c r="AM128" s="338" t="n"/>
      <c r="AN128" s="338" t="n"/>
      <c r="AO128" s="338" t="n"/>
      <c r="AP128" s="338" t="n"/>
      <c r="AQ128" s="338" t="n"/>
      <c r="AR128" s="338" t="n"/>
      <c r="AS128" s="338" t="n"/>
      <c r="AT128" s="338" t="n"/>
      <c r="AU128" s="338" t="n"/>
      <c r="AV128" s="338" t="n"/>
      <c r="AW128" s="338" t="n"/>
      <c r="AX128" s="338" t="n"/>
      <c r="AY128" s="338" t="n"/>
      <c r="AZ128" s="338" t="n"/>
      <c r="BA128" s="338" t="n"/>
      <c r="BB128" s="338" t="n"/>
      <c r="BC128" s="338" t="n"/>
      <c r="BD128" s="338" t="n"/>
      <c r="BE128" s="338" t="n"/>
      <c r="BF128" s="338" t="n"/>
      <c r="BG128" s="338" t="n"/>
      <c r="BH128" s="338" t="n"/>
      <c r="BI128" s="338" t="n"/>
      <c r="BJ128" s="338" t="n"/>
      <c r="BK128" s="338" t="n"/>
      <c r="BL128" s="338" t="n"/>
      <c r="BM128" s="338" t="n"/>
      <c r="BN128" s="338" t="n"/>
      <c r="BO128" s="338" t="n"/>
      <c r="BP128" s="338" t="n"/>
      <c r="BQ128" s="338" t="n"/>
      <c r="BR128" s="338" t="n"/>
      <c r="BS128" s="338" t="n"/>
      <c r="BT128" s="338" t="n"/>
      <c r="BU128" s="338" t="n"/>
      <c r="BV128" s="338" t="n"/>
      <c r="BW128" s="338" t="n"/>
      <c r="BX128" s="338" t="n"/>
      <c r="BY128" s="338" t="n"/>
      <c r="BZ128" s="338" t="n"/>
      <c r="CA128" s="338" t="n"/>
      <c r="CB128" s="338" t="n"/>
      <c r="CC128" s="383" t="n"/>
      <c r="CF128" s="253" t="inlineStr">
        <is>
          <t>時間内</t>
        </is>
      </c>
      <c r="CG128" s="384" t="n"/>
      <c r="CH128" s="384" t="n"/>
      <c r="CI128" s="385" t="n"/>
      <c r="CJ128" s="386">
        <f>IF(Q127="作業者1",H130-H127,0)</f>
        <v/>
      </c>
      <c r="CK128" s="387" t="n"/>
      <c r="CL128" s="387" t="n"/>
      <c r="CM128" s="387" t="n"/>
      <c r="CN128" s="388" t="n"/>
      <c r="CP128" s="253" t="inlineStr">
        <is>
          <t>時間内</t>
        </is>
      </c>
      <c r="CQ128" s="384" t="n"/>
      <c r="CR128" s="384" t="n"/>
      <c r="CS128" s="385" t="n"/>
      <c r="CT128" s="386">
        <f>IF(Q127="作業者2",H130-H127,0)</f>
        <v/>
      </c>
      <c r="CU128" s="387" t="n"/>
      <c r="CV128" s="387" t="n"/>
      <c r="CW128" s="387" t="n"/>
      <c r="CX128" s="388" t="n"/>
      <c r="CZ128" s="253" t="inlineStr">
        <is>
          <t>時間内</t>
        </is>
      </c>
      <c r="DA128" s="384" t="n"/>
      <c r="DB128" s="384" t="n"/>
      <c r="DC128" s="385" t="n"/>
      <c r="DD128" s="386">
        <f>IF(Q127="作業者3",H130-H127,0)</f>
        <v/>
      </c>
      <c r="DE128" s="387" t="n"/>
      <c r="DF128" s="387" t="n"/>
      <c r="DG128" s="387" t="n"/>
      <c r="DH128" s="388" t="n"/>
      <c r="DJ128" s="253" t="inlineStr">
        <is>
          <t>時間内</t>
        </is>
      </c>
      <c r="DK128" s="384" t="n"/>
      <c r="DL128" s="384" t="n"/>
      <c r="DM128" s="385" t="n"/>
      <c r="DN128" s="386">
        <f>IF(Q127="作業者4",H130-H127,0)</f>
        <v/>
      </c>
      <c r="DO128" s="387" t="n"/>
      <c r="DP128" s="387" t="n"/>
      <c r="DQ128" s="387" t="n"/>
      <c r="DR128" s="388" t="n"/>
      <c r="DT128" s="253" t="inlineStr">
        <is>
          <t>時間内</t>
        </is>
      </c>
      <c r="DU128" s="384" t="n"/>
      <c r="DV128" s="384" t="n"/>
      <c r="DW128" s="385" t="n"/>
      <c r="DX128" s="386">
        <f>IF(Q127="作業者5",H130-H127,0)</f>
        <v/>
      </c>
      <c r="DY128" s="387" t="n"/>
      <c r="DZ128" s="387" t="n"/>
      <c r="EA128" s="387" t="n"/>
      <c r="EB128" s="388" t="n"/>
    </row>
    <row r="129" ht="9" customHeight="1" s="337">
      <c r="B129" s="350" t="n"/>
      <c r="C129" s="338" t="n"/>
      <c r="D129" s="380" t="n"/>
      <c r="E129" s="23" t="n"/>
      <c r="F129" s="338" t="n"/>
      <c r="G129" s="24" t="n"/>
      <c r="H129" s="23" t="n"/>
      <c r="I129" s="338" t="n"/>
      <c r="J129" s="24" t="n"/>
      <c r="K129" s="23" t="n"/>
      <c r="L129" s="338" t="n"/>
      <c r="M129" s="24" t="n"/>
      <c r="N129" s="23" t="n"/>
      <c r="O129" s="338" t="n"/>
      <c r="P129" s="24" t="n"/>
      <c r="Q129" s="382" t="n"/>
      <c r="R129" s="338" t="n"/>
      <c r="S129" s="380" t="n"/>
      <c r="T129" s="382" t="n"/>
      <c r="U129" s="338" t="n"/>
      <c r="V129" s="380" t="n"/>
      <c r="W129" s="382" t="n"/>
      <c r="X129" s="338" t="n"/>
      <c r="Y129" s="338" t="n"/>
      <c r="Z129" s="338" t="n"/>
      <c r="AA129" s="338" t="n"/>
      <c r="AB129" s="338" t="n"/>
      <c r="AC129" s="338" t="n"/>
      <c r="AD129" s="338" t="n"/>
      <c r="AE129" s="338" t="n"/>
      <c r="AF129" s="338" t="n"/>
      <c r="AG129" s="338" t="n"/>
      <c r="AH129" s="338" t="n"/>
      <c r="AI129" s="338" t="n"/>
      <c r="AJ129" s="338" t="n"/>
      <c r="AK129" s="338" t="n"/>
      <c r="AL129" s="338" t="n"/>
      <c r="AM129" s="338" t="n"/>
      <c r="AN129" s="338" t="n"/>
      <c r="AO129" s="338" t="n"/>
      <c r="AP129" s="338" t="n"/>
      <c r="AQ129" s="338" t="n"/>
      <c r="AR129" s="338" t="n"/>
      <c r="AS129" s="338" t="n"/>
      <c r="AT129" s="338" t="n"/>
      <c r="AU129" s="338" t="n"/>
      <c r="AV129" s="338" t="n"/>
      <c r="AW129" s="338" t="n"/>
      <c r="AX129" s="338" t="n"/>
      <c r="AY129" s="338" t="n"/>
      <c r="AZ129" s="338" t="n"/>
      <c r="BA129" s="338" t="n"/>
      <c r="BB129" s="338" t="n"/>
      <c r="BC129" s="338" t="n"/>
      <c r="BD129" s="338" t="n"/>
      <c r="BE129" s="338" t="n"/>
      <c r="BF129" s="338" t="n"/>
      <c r="BG129" s="338" t="n"/>
      <c r="BH129" s="338" t="n"/>
      <c r="BI129" s="338" t="n"/>
      <c r="BJ129" s="338" t="n"/>
      <c r="BK129" s="338" t="n"/>
      <c r="BL129" s="338" t="n"/>
      <c r="BM129" s="338" t="n"/>
      <c r="BN129" s="338" t="n"/>
      <c r="BO129" s="338" t="n"/>
      <c r="BP129" s="338" t="n"/>
      <c r="BQ129" s="338" t="n"/>
      <c r="BR129" s="338" t="n"/>
      <c r="BS129" s="338" t="n"/>
      <c r="BT129" s="338" t="n"/>
      <c r="BU129" s="338" t="n"/>
      <c r="BV129" s="338" t="n"/>
      <c r="BW129" s="338" t="n"/>
      <c r="BX129" s="338" t="n"/>
      <c r="BY129" s="338" t="n"/>
      <c r="BZ129" s="338" t="n"/>
      <c r="CA129" s="338" t="n"/>
      <c r="CB129" s="338" t="n"/>
      <c r="CC129" s="383" t="n"/>
      <c r="CF129" s="253" t="inlineStr">
        <is>
          <t>時間外</t>
        </is>
      </c>
      <c r="CG129" s="384" t="n"/>
      <c r="CH129" s="384" t="n"/>
      <c r="CI129" s="385" t="n"/>
      <c r="CJ129" s="386">
        <f>IF(Q127="作業者1",K130-K127,0)</f>
        <v/>
      </c>
      <c r="CK129" s="387" t="n"/>
      <c r="CL129" s="387" t="n"/>
      <c r="CM129" s="387" t="n"/>
      <c r="CN129" s="388" t="n"/>
      <c r="CP129" s="253" t="inlineStr">
        <is>
          <t>時間外</t>
        </is>
      </c>
      <c r="CQ129" s="384" t="n"/>
      <c r="CR129" s="384" t="n"/>
      <c r="CS129" s="385" t="n"/>
      <c r="CT129" s="386">
        <f>IF(Q127="作業者2",K130-K127,0)</f>
        <v/>
      </c>
      <c r="CU129" s="387" t="n"/>
      <c r="CV129" s="387" t="n"/>
      <c r="CW129" s="387" t="n"/>
      <c r="CX129" s="388" t="n"/>
      <c r="CZ129" s="253" t="inlineStr">
        <is>
          <t>時間外</t>
        </is>
      </c>
      <c r="DA129" s="384" t="n"/>
      <c r="DB129" s="384" t="n"/>
      <c r="DC129" s="385" t="n"/>
      <c r="DD129" s="386">
        <f>IF(Q127="作業者3",K130-K127,0)</f>
        <v/>
      </c>
      <c r="DE129" s="387" t="n"/>
      <c r="DF129" s="387" t="n"/>
      <c r="DG129" s="387" t="n"/>
      <c r="DH129" s="388" t="n"/>
      <c r="DJ129" s="253" t="inlineStr">
        <is>
          <t>時間外</t>
        </is>
      </c>
      <c r="DK129" s="384" t="n"/>
      <c r="DL129" s="384" t="n"/>
      <c r="DM129" s="385" t="n"/>
      <c r="DN129" s="386">
        <f>IF(Q127="作業者4",K130-K127,0)</f>
        <v/>
      </c>
      <c r="DO129" s="387" t="n"/>
      <c r="DP129" s="387" t="n"/>
      <c r="DQ129" s="387" t="n"/>
      <c r="DR129" s="388" t="n"/>
      <c r="DT129" s="253" t="inlineStr">
        <is>
          <t>時間外</t>
        </is>
      </c>
      <c r="DU129" s="384" t="n"/>
      <c r="DV129" s="384" t="n"/>
      <c r="DW129" s="385" t="n"/>
      <c r="DX129" s="386">
        <f>IF(Q127="作業者5",K130-K127,0)</f>
        <v/>
      </c>
      <c r="DY129" s="387" t="n"/>
      <c r="DZ129" s="387" t="n"/>
      <c r="EA129" s="387" t="n"/>
      <c r="EB129" s="388" t="n"/>
    </row>
    <row r="130" ht="9" customHeight="1" s="337">
      <c r="B130" s="389" t="n"/>
      <c r="C130" s="390" t="n"/>
      <c r="D130" s="391" t="n"/>
      <c r="E130" s="392" t="n"/>
      <c r="F130" s="390" t="n"/>
      <c r="G130" s="391" t="n"/>
      <c r="H130" s="392" t="n"/>
      <c r="I130" s="390" t="n"/>
      <c r="J130" s="391" t="n"/>
      <c r="K130" s="392" t="n"/>
      <c r="L130" s="390" t="n"/>
      <c r="M130" s="391" t="n"/>
      <c r="N130" s="392" t="n"/>
      <c r="O130" s="390" t="n"/>
      <c r="P130" s="391" t="n"/>
      <c r="Q130" s="393" t="n"/>
      <c r="R130" s="390" t="n"/>
      <c r="S130" s="391" t="n"/>
      <c r="T130" s="393" t="n"/>
      <c r="U130" s="390" t="n"/>
      <c r="V130" s="391" t="n"/>
      <c r="W130" s="393" t="n"/>
      <c r="X130" s="390" t="n"/>
      <c r="Y130" s="390" t="n"/>
      <c r="Z130" s="390" t="n"/>
      <c r="AA130" s="390" t="n"/>
      <c r="AB130" s="390" t="n"/>
      <c r="AC130" s="390" t="n"/>
      <c r="AD130" s="390" t="n"/>
      <c r="AE130" s="390" t="n"/>
      <c r="AF130" s="390" t="n"/>
      <c r="AG130" s="390" t="n"/>
      <c r="AH130" s="390" t="n"/>
      <c r="AI130" s="390" t="n"/>
      <c r="AJ130" s="390" t="n"/>
      <c r="AK130" s="390" t="n"/>
      <c r="AL130" s="390" t="n"/>
      <c r="AM130" s="390" t="n"/>
      <c r="AN130" s="390" t="n"/>
      <c r="AO130" s="390" t="n"/>
      <c r="AP130" s="390" t="n"/>
      <c r="AQ130" s="390" t="n"/>
      <c r="AR130" s="390" t="n"/>
      <c r="AS130" s="390" t="n"/>
      <c r="AT130" s="390" t="n"/>
      <c r="AU130" s="390" t="n"/>
      <c r="AV130" s="390" t="n"/>
      <c r="AW130" s="390" t="n"/>
      <c r="AX130" s="390" t="n"/>
      <c r="AY130" s="390" t="n"/>
      <c r="AZ130" s="390" t="n"/>
      <c r="BA130" s="390" t="n"/>
      <c r="BB130" s="390" t="n"/>
      <c r="BC130" s="390" t="n"/>
      <c r="BD130" s="390" t="n"/>
      <c r="BE130" s="390" t="n"/>
      <c r="BF130" s="390" t="n"/>
      <c r="BG130" s="390" t="n"/>
      <c r="BH130" s="390" t="n"/>
      <c r="BI130" s="390" t="n"/>
      <c r="BJ130" s="390" t="n"/>
      <c r="BK130" s="390" t="n"/>
      <c r="BL130" s="390" t="n"/>
      <c r="BM130" s="390" t="n"/>
      <c r="BN130" s="390" t="n"/>
      <c r="BO130" s="390" t="n"/>
      <c r="BP130" s="390" t="n"/>
      <c r="BQ130" s="390" t="n"/>
      <c r="BR130" s="390" t="n"/>
      <c r="BS130" s="390" t="n"/>
      <c r="BT130" s="390" t="n"/>
      <c r="BU130" s="390" t="n"/>
      <c r="BV130" s="390" t="n"/>
      <c r="BW130" s="390" t="n"/>
      <c r="BX130" s="390" t="n"/>
      <c r="BY130" s="390" t="n"/>
      <c r="BZ130" s="390" t="n"/>
      <c r="CA130" s="390" t="n"/>
      <c r="CB130" s="390" t="n"/>
      <c r="CC130" s="394" t="n"/>
      <c r="CF130" s="254" t="inlineStr">
        <is>
          <t>休日</t>
        </is>
      </c>
      <c r="CG130" s="395" t="n"/>
      <c r="CH130" s="395" t="n"/>
      <c r="CI130" s="396" t="n"/>
      <c r="CJ130" s="386">
        <f>IF(Q127="作業者1",N130-N127,0)</f>
        <v/>
      </c>
      <c r="CK130" s="387" t="n"/>
      <c r="CL130" s="387" t="n"/>
      <c r="CM130" s="387" t="n"/>
      <c r="CN130" s="388" t="n"/>
      <c r="CP130" s="253" t="inlineStr">
        <is>
          <t>休日</t>
        </is>
      </c>
      <c r="CQ130" s="384" t="n"/>
      <c r="CR130" s="384" t="n"/>
      <c r="CS130" s="385" t="n"/>
      <c r="CT130" s="386">
        <f>IF(Q127="作業者2",N130-N127,0)</f>
        <v/>
      </c>
      <c r="CU130" s="387" t="n"/>
      <c r="CV130" s="387" t="n"/>
      <c r="CW130" s="387" t="n"/>
      <c r="CX130" s="388" t="n"/>
      <c r="CZ130" s="254" t="inlineStr">
        <is>
          <t>休日</t>
        </is>
      </c>
      <c r="DA130" s="395" t="n"/>
      <c r="DB130" s="395" t="n"/>
      <c r="DC130" s="396" t="n"/>
      <c r="DD130" s="397">
        <f>IF(Q127="作業者3",N130-N127,0)</f>
        <v/>
      </c>
      <c r="DE130" s="395" t="n"/>
      <c r="DF130" s="395" t="n"/>
      <c r="DG130" s="395" t="n"/>
      <c r="DH130" s="396" t="n"/>
      <c r="DJ130" s="254" t="inlineStr">
        <is>
          <t>休日</t>
        </is>
      </c>
      <c r="DK130" s="395" t="n"/>
      <c r="DL130" s="395" t="n"/>
      <c r="DM130" s="396" t="n"/>
      <c r="DN130" s="397">
        <f>IF(Q127="作業者4",N130-N127,0)</f>
        <v/>
      </c>
      <c r="DO130" s="395" t="n"/>
      <c r="DP130" s="395" t="n"/>
      <c r="DQ130" s="395" t="n"/>
      <c r="DR130" s="396" t="n"/>
      <c r="DT130" s="254" t="inlineStr">
        <is>
          <t>休日</t>
        </is>
      </c>
      <c r="DU130" s="395" t="n"/>
      <c r="DV130" s="395" t="n"/>
      <c r="DW130" s="396" t="n"/>
      <c r="DX130" s="397">
        <f>IF(Q127="作業者5",N130-N127,0)</f>
        <v/>
      </c>
      <c r="DY130" s="395" t="n"/>
      <c r="DZ130" s="395" t="n"/>
      <c r="EA130" s="395" t="n"/>
      <c r="EB130" s="396" t="n"/>
    </row>
    <row r="131" ht="9" customHeight="1" s="337">
      <c r="B131" s="410" t="n"/>
      <c r="C131" s="372" t="n"/>
      <c r="D131" s="373" t="n"/>
      <c r="E131" s="399" t="n"/>
      <c r="F131" s="372" t="n"/>
      <c r="G131" s="373" t="n"/>
      <c r="H131" s="399" t="n"/>
      <c r="I131" s="372" t="n"/>
      <c r="J131" s="373" t="n"/>
      <c r="K131" s="399" t="n"/>
      <c r="L131" s="372" t="n"/>
      <c r="M131" s="373" t="n"/>
      <c r="N131" s="399" t="n"/>
      <c r="O131" s="372" t="n"/>
      <c r="P131" s="373" t="n"/>
      <c r="Q131" s="444" t="n"/>
      <c r="R131" s="372" t="n"/>
      <c r="S131" s="445" t="n"/>
      <c r="T131" s="411" t="n"/>
      <c r="U131" s="372" t="n"/>
      <c r="V131" s="373" t="n"/>
      <c r="W131" s="443" t="n"/>
      <c r="X131" s="372" t="n"/>
      <c r="Y131" s="372" t="n"/>
      <c r="Z131" s="372" t="n"/>
      <c r="AA131" s="372" t="n"/>
      <c r="AB131" s="372" t="n"/>
      <c r="AC131" s="372" t="n"/>
      <c r="AD131" s="372" t="n"/>
      <c r="AE131" s="372" t="n"/>
      <c r="AF131" s="372" t="n"/>
      <c r="AG131" s="372" t="n"/>
      <c r="AH131" s="372" t="n"/>
      <c r="AI131" s="372" t="n"/>
      <c r="AJ131" s="372" t="n"/>
      <c r="AK131" s="372" t="n"/>
      <c r="AL131" s="372" t="n"/>
      <c r="AM131" s="372" t="n"/>
      <c r="AN131" s="372" t="n"/>
      <c r="AO131" s="372" t="n"/>
      <c r="AP131" s="372" t="n"/>
      <c r="AQ131" s="372" t="n"/>
      <c r="AR131" s="372" t="n"/>
      <c r="AS131" s="372" t="n"/>
      <c r="AT131" s="372" t="n"/>
      <c r="AU131" s="372" t="n"/>
      <c r="AV131" s="372" t="n"/>
      <c r="AW131" s="372" t="n"/>
      <c r="AX131" s="372" t="n"/>
      <c r="AY131" s="372" t="n"/>
      <c r="AZ131" s="372" t="n"/>
      <c r="BA131" s="372" t="n"/>
      <c r="BB131" s="372" t="n"/>
      <c r="BC131" s="372" t="n"/>
      <c r="BD131" s="372" t="n"/>
      <c r="BE131" s="372" t="n"/>
      <c r="BF131" s="372" t="n"/>
      <c r="BG131" s="372" t="n"/>
      <c r="BH131" s="372" t="n"/>
      <c r="BI131" s="372" t="n"/>
      <c r="BJ131" s="372" t="n"/>
      <c r="BK131" s="372" t="n"/>
      <c r="BL131" s="372" t="n"/>
      <c r="BM131" s="372" t="n"/>
      <c r="BN131" s="372" t="n"/>
      <c r="BO131" s="372" t="n"/>
      <c r="BP131" s="372" t="n"/>
      <c r="BQ131" s="372" t="n"/>
      <c r="BR131" s="372" t="n"/>
      <c r="BS131" s="372" t="n"/>
      <c r="BT131" s="372" t="n"/>
      <c r="BU131" s="372" t="n"/>
      <c r="BV131" s="372" t="n"/>
      <c r="BW131" s="372" t="n"/>
      <c r="BX131" s="372" t="n"/>
      <c r="BY131" s="372" t="n"/>
      <c r="BZ131" s="372" t="n"/>
      <c r="CA131" s="372" t="n"/>
      <c r="CB131" s="372" t="n"/>
      <c r="CC131" s="402" t="n"/>
      <c r="CF131" s="259" t="inlineStr">
        <is>
          <t>移動</t>
        </is>
      </c>
      <c r="CG131" s="403" t="n"/>
      <c r="CH131" s="403" t="n"/>
      <c r="CI131" s="404" t="n"/>
      <c r="CJ131" s="379">
        <f>IF(Q131="作業者1",E134-E131,0)</f>
        <v/>
      </c>
      <c r="CK131" s="377" t="n"/>
      <c r="CL131" s="377" t="n"/>
      <c r="CM131" s="377" t="n"/>
      <c r="CN131" s="378" t="n"/>
      <c r="CP131" s="248" t="inlineStr">
        <is>
          <t>移動</t>
        </is>
      </c>
      <c r="CQ131" s="377" t="n"/>
      <c r="CR131" s="377" t="n"/>
      <c r="CS131" s="378" t="n"/>
      <c r="CT131" s="379">
        <f>IF(Q131="作業者2",E134-E131,0)</f>
        <v/>
      </c>
      <c r="CU131" s="377" t="n"/>
      <c r="CV131" s="377" t="n"/>
      <c r="CW131" s="377" t="n"/>
      <c r="CX131" s="378" t="n"/>
      <c r="CZ131" s="259" t="inlineStr">
        <is>
          <t>移動</t>
        </is>
      </c>
      <c r="DA131" s="403" t="n"/>
      <c r="DB131" s="403" t="n"/>
      <c r="DC131" s="404" t="n"/>
      <c r="DD131" s="405">
        <f>IF(Q131="作業者3",E134-E131,0)</f>
        <v/>
      </c>
      <c r="DE131" s="406" t="n"/>
      <c r="DF131" s="406" t="n"/>
      <c r="DG131" s="406" t="n"/>
      <c r="DH131" s="407" t="n"/>
      <c r="DJ131" s="259" t="inlineStr">
        <is>
          <t>移動</t>
        </is>
      </c>
      <c r="DK131" s="403" t="n"/>
      <c r="DL131" s="403" t="n"/>
      <c r="DM131" s="404" t="n"/>
      <c r="DN131" s="379">
        <f>IF(Q131="作業者4",E134-E131,0)</f>
        <v/>
      </c>
      <c r="DO131" s="377" t="n"/>
      <c r="DP131" s="377" t="n"/>
      <c r="DQ131" s="377" t="n"/>
      <c r="DR131" s="378" t="n"/>
      <c r="DT131" s="259" t="inlineStr">
        <is>
          <t>移動</t>
        </is>
      </c>
      <c r="DU131" s="403" t="n"/>
      <c r="DV131" s="403" t="n"/>
      <c r="DW131" s="404" t="n"/>
      <c r="DX131" s="379">
        <f>IF(Q131="作業者5",E134-E131,0)</f>
        <v/>
      </c>
      <c r="DY131" s="377" t="n"/>
      <c r="DZ131" s="377" t="n"/>
      <c r="EA131" s="377" t="n"/>
      <c r="EB131" s="378" t="n"/>
    </row>
    <row r="132" ht="9" customHeight="1" s="337">
      <c r="B132" s="350" t="n"/>
      <c r="C132" s="338" t="n"/>
      <c r="D132" s="380" t="n"/>
      <c r="E132" s="381" t="n"/>
      <c r="F132" s="122" t="inlineStr">
        <is>
          <t>～</t>
        </is>
      </c>
      <c r="G132" s="22" t="n"/>
      <c r="H132" s="381" t="n"/>
      <c r="I132" s="122" t="inlineStr">
        <is>
          <t>～</t>
        </is>
      </c>
      <c r="J132" s="22" t="n"/>
      <c r="K132" s="381" t="n"/>
      <c r="L132" s="122" t="inlineStr">
        <is>
          <t>～</t>
        </is>
      </c>
      <c r="M132" s="22" t="n"/>
      <c r="N132" s="381" t="n"/>
      <c r="O132" s="122" t="inlineStr">
        <is>
          <t>～</t>
        </is>
      </c>
      <c r="P132" s="22" t="n"/>
      <c r="Q132" s="382" t="n"/>
      <c r="R132" s="338" t="n"/>
      <c r="S132" s="446" t="n"/>
      <c r="T132" s="382" t="n"/>
      <c r="U132" s="338" t="n"/>
      <c r="V132" s="380" t="n"/>
      <c r="W132" s="382" t="n"/>
      <c r="X132" s="338" t="n"/>
      <c r="Y132" s="338" t="n"/>
      <c r="Z132" s="338" t="n"/>
      <c r="AA132" s="338" t="n"/>
      <c r="AB132" s="338" t="n"/>
      <c r="AC132" s="338" t="n"/>
      <c r="AD132" s="338" t="n"/>
      <c r="AE132" s="338" t="n"/>
      <c r="AF132" s="338" t="n"/>
      <c r="AG132" s="338" t="n"/>
      <c r="AH132" s="338" t="n"/>
      <c r="AI132" s="338" t="n"/>
      <c r="AJ132" s="338" t="n"/>
      <c r="AK132" s="338" t="n"/>
      <c r="AL132" s="338" t="n"/>
      <c r="AM132" s="338" t="n"/>
      <c r="AN132" s="338" t="n"/>
      <c r="AO132" s="338" t="n"/>
      <c r="AP132" s="338" t="n"/>
      <c r="AQ132" s="338" t="n"/>
      <c r="AR132" s="338" t="n"/>
      <c r="AS132" s="338" t="n"/>
      <c r="AT132" s="338" t="n"/>
      <c r="AU132" s="338" t="n"/>
      <c r="AV132" s="338" t="n"/>
      <c r="AW132" s="338" t="n"/>
      <c r="AX132" s="338" t="n"/>
      <c r="AY132" s="338" t="n"/>
      <c r="AZ132" s="338" t="n"/>
      <c r="BA132" s="338" t="n"/>
      <c r="BB132" s="338" t="n"/>
      <c r="BC132" s="338" t="n"/>
      <c r="BD132" s="338" t="n"/>
      <c r="BE132" s="338" t="n"/>
      <c r="BF132" s="338" t="n"/>
      <c r="BG132" s="338" t="n"/>
      <c r="BH132" s="338" t="n"/>
      <c r="BI132" s="338" t="n"/>
      <c r="BJ132" s="338" t="n"/>
      <c r="BK132" s="338" t="n"/>
      <c r="BL132" s="338" t="n"/>
      <c r="BM132" s="338" t="n"/>
      <c r="BN132" s="338" t="n"/>
      <c r="BO132" s="338" t="n"/>
      <c r="BP132" s="338" t="n"/>
      <c r="BQ132" s="338" t="n"/>
      <c r="BR132" s="338" t="n"/>
      <c r="BS132" s="338" t="n"/>
      <c r="BT132" s="338" t="n"/>
      <c r="BU132" s="338" t="n"/>
      <c r="BV132" s="338" t="n"/>
      <c r="BW132" s="338" t="n"/>
      <c r="BX132" s="338" t="n"/>
      <c r="BY132" s="338" t="n"/>
      <c r="BZ132" s="338" t="n"/>
      <c r="CA132" s="338" t="n"/>
      <c r="CB132" s="338" t="n"/>
      <c r="CC132" s="383" t="n"/>
      <c r="CF132" s="253" t="inlineStr">
        <is>
          <t>時間内</t>
        </is>
      </c>
      <c r="CG132" s="384" t="n"/>
      <c r="CH132" s="384" t="n"/>
      <c r="CI132" s="385" t="n"/>
      <c r="CJ132" s="386">
        <f>IF(Q131="作業者1",H134-H131,0)</f>
        <v/>
      </c>
      <c r="CK132" s="387" t="n"/>
      <c r="CL132" s="387" t="n"/>
      <c r="CM132" s="387" t="n"/>
      <c r="CN132" s="388" t="n"/>
      <c r="CP132" s="253" t="inlineStr">
        <is>
          <t>時間内</t>
        </is>
      </c>
      <c r="CQ132" s="384" t="n"/>
      <c r="CR132" s="384" t="n"/>
      <c r="CS132" s="385" t="n"/>
      <c r="CT132" s="386">
        <f>IF(Q131="作業者2",H134-H131,0)</f>
        <v/>
      </c>
      <c r="CU132" s="387" t="n"/>
      <c r="CV132" s="387" t="n"/>
      <c r="CW132" s="387" t="n"/>
      <c r="CX132" s="388" t="n"/>
      <c r="CZ132" s="253" t="inlineStr">
        <is>
          <t>時間内</t>
        </is>
      </c>
      <c r="DA132" s="384" t="n"/>
      <c r="DB132" s="384" t="n"/>
      <c r="DC132" s="385" t="n"/>
      <c r="DD132" s="386">
        <f>IF(Q131="作業者3",H134-H131,0)</f>
        <v/>
      </c>
      <c r="DE132" s="387" t="n"/>
      <c r="DF132" s="387" t="n"/>
      <c r="DG132" s="387" t="n"/>
      <c r="DH132" s="388" t="n"/>
      <c r="DJ132" s="253" t="inlineStr">
        <is>
          <t>時間内</t>
        </is>
      </c>
      <c r="DK132" s="384" t="n"/>
      <c r="DL132" s="384" t="n"/>
      <c r="DM132" s="385" t="n"/>
      <c r="DN132" s="386">
        <f>IF(Q131="作業者4",H134-H131,0)</f>
        <v/>
      </c>
      <c r="DO132" s="387" t="n"/>
      <c r="DP132" s="387" t="n"/>
      <c r="DQ132" s="387" t="n"/>
      <c r="DR132" s="388" t="n"/>
      <c r="DT132" s="253" t="inlineStr">
        <is>
          <t>時間内</t>
        </is>
      </c>
      <c r="DU132" s="384" t="n"/>
      <c r="DV132" s="384" t="n"/>
      <c r="DW132" s="385" t="n"/>
      <c r="DX132" s="386">
        <f>IF(Q131="作業者5",H134-H131,0)</f>
        <v/>
      </c>
      <c r="DY132" s="387" t="n"/>
      <c r="DZ132" s="387" t="n"/>
      <c r="EA132" s="387" t="n"/>
      <c r="EB132" s="388" t="n"/>
    </row>
    <row r="133" ht="9" customHeight="1" s="337">
      <c r="B133" s="350" t="n"/>
      <c r="C133" s="338" t="n"/>
      <c r="D133" s="380" t="n"/>
      <c r="E133" s="23" t="n"/>
      <c r="F133" s="338" t="n"/>
      <c r="G133" s="24" t="n"/>
      <c r="H133" s="23" t="n"/>
      <c r="I133" s="338" t="n"/>
      <c r="J133" s="24" t="n"/>
      <c r="K133" s="23" t="n"/>
      <c r="L133" s="338" t="n"/>
      <c r="M133" s="24" t="n"/>
      <c r="N133" s="23" t="n"/>
      <c r="O133" s="338" t="n"/>
      <c r="P133" s="24" t="n"/>
      <c r="Q133" s="382" t="n"/>
      <c r="R133" s="338" t="n"/>
      <c r="S133" s="446" t="n"/>
      <c r="T133" s="382" t="n"/>
      <c r="U133" s="338" t="n"/>
      <c r="V133" s="380" t="n"/>
      <c r="W133" s="382" t="n"/>
      <c r="X133" s="338" t="n"/>
      <c r="Y133" s="338" t="n"/>
      <c r="Z133" s="338" t="n"/>
      <c r="AA133" s="338" t="n"/>
      <c r="AB133" s="338" t="n"/>
      <c r="AC133" s="338" t="n"/>
      <c r="AD133" s="338" t="n"/>
      <c r="AE133" s="338" t="n"/>
      <c r="AF133" s="338" t="n"/>
      <c r="AG133" s="338" t="n"/>
      <c r="AH133" s="338" t="n"/>
      <c r="AI133" s="338" t="n"/>
      <c r="AJ133" s="338" t="n"/>
      <c r="AK133" s="338" t="n"/>
      <c r="AL133" s="338" t="n"/>
      <c r="AM133" s="338" t="n"/>
      <c r="AN133" s="338" t="n"/>
      <c r="AO133" s="338" t="n"/>
      <c r="AP133" s="338" t="n"/>
      <c r="AQ133" s="338" t="n"/>
      <c r="AR133" s="338" t="n"/>
      <c r="AS133" s="338" t="n"/>
      <c r="AT133" s="338" t="n"/>
      <c r="AU133" s="338" t="n"/>
      <c r="AV133" s="338" t="n"/>
      <c r="AW133" s="338" t="n"/>
      <c r="AX133" s="338" t="n"/>
      <c r="AY133" s="338" t="n"/>
      <c r="AZ133" s="338" t="n"/>
      <c r="BA133" s="338" t="n"/>
      <c r="BB133" s="338" t="n"/>
      <c r="BC133" s="338" t="n"/>
      <c r="BD133" s="338" t="n"/>
      <c r="BE133" s="338" t="n"/>
      <c r="BF133" s="338" t="n"/>
      <c r="BG133" s="338" t="n"/>
      <c r="BH133" s="338" t="n"/>
      <c r="BI133" s="338" t="n"/>
      <c r="BJ133" s="338" t="n"/>
      <c r="BK133" s="338" t="n"/>
      <c r="BL133" s="338" t="n"/>
      <c r="BM133" s="338" t="n"/>
      <c r="BN133" s="338" t="n"/>
      <c r="BO133" s="338" t="n"/>
      <c r="BP133" s="338" t="n"/>
      <c r="BQ133" s="338" t="n"/>
      <c r="BR133" s="338" t="n"/>
      <c r="BS133" s="338" t="n"/>
      <c r="BT133" s="338" t="n"/>
      <c r="BU133" s="338" t="n"/>
      <c r="BV133" s="338" t="n"/>
      <c r="BW133" s="338" t="n"/>
      <c r="BX133" s="338" t="n"/>
      <c r="BY133" s="338" t="n"/>
      <c r="BZ133" s="338" t="n"/>
      <c r="CA133" s="338" t="n"/>
      <c r="CB133" s="338" t="n"/>
      <c r="CC133" s="383" t="n"/>
      <c r="CF133" s="253" t="inlineStr">
        <is>
          <t>時間外</t>
        </is>
      </c>
      <c r="CG133" s="384" t="n"/>
      <c r="CH133" s="384" t="n"/>
      <c r="CI133" s="385" t="n"/>
      <c r="CJ133" s="386">
        <f>IF(Q131="作業者1",K134-K131,0)</f>
        <v/>
      </c>
      <c r="CK133" s="387" t="n"/>
      <c r="CL133" s="387" t="n"/>
      <c r="CM133" s="387" t="n"/>
      <c r="CN133" s="388" t="n"/>
      <c r="CP133" s="253" t="inlineStr">
        <is>
          <t>時間外</t>
        </is>
      </c>
      <c r="CQ133" s="384" t="n"/>
      <c r="CR133" s="384" t="n"/>
      <c r="CS133" s="385" t="n"/>
      <c r="CT133" s="386">
        <f>IF(Q131="作業者2",K134-K131,0)</f>
        <v/>
      </c>
      <c r="CU133" s="387" t="n"/>
      <c r="CV133" s="387" t="n"/>
      <c r="CW133" s="387" t="n"/>
      <c r="CX133" s="388" t="n"/>
      <c r="CZ133" s="253" t="inlineStr">
        <is>
          <t>時間外</t>
        </is>
      </c>
      <c r="DA133" s="384" t="n"/>
      <c r="DB133" s="384" t="n"/>
      <c r="DC133" s="385" t="n"/>
      <c r="DD133" s="386">
        <f>IF(Q131="作業者3",K134-K131,0)</f>
        <v/>
      </c>
      <c r="DE133" s="387" t="n"/>
      <c r="DF133" s="387" t="n"/>
      <c r="DG133" s="387" t="n"/>
      <c r="DH133" s="388" t="n"/>
      <c r="DJ133" s="253" t="inlineStr">
        <is>
          <t>時間外</t>
        </is>
      </c>
      <c r="DK133" s="384" t="n"/>
      <c r="DL133" s="384" t="n"/>
      <c r="DM133" s="385" t="n"/>
      <c r="DN133" s="386">
        <f>IF(Q131="作業者4",K134-K131,0)</f>
        <v/>
      </c>
      <c r="DO133" s="387" t="n"/>
      <c r="DP133" s="387" t="n"/>
      <c r="DQ133" s="387" t="n"/>
      <c r="DR133" s="388" t="n"/>
      <c r="DT133" s="253" t="inlineStr">
        <is>
          <t>時間外</t>
        </is>
      </c>
      <c r="DU133" s="384" t="n"/>
      <c r="DV133" s="384" t="n"/>
      <c r="DW133" s="385" t="n"/>
      <c r="DX133" s="386">
        <f>IF(Q131="作業者5",K134-K131,0)</f>
        <v/>
      </c>
      <c r="DY133" s="387" t="n"/>
      <c r="DZ133" s="387" t="n"/>
      <c r="EA133" s="387" t="n"/>
      <c r="EB133" s="388" t="n"/>
    </row>
    <row r="134" ht="9" customHeight="1" s="337">
      <c r="B134" s="353" t="n"/>
      <c r="C134" s="339" t="n"/>
      <c r="D134" s="364" t="n"/>
      <c r="E134" s="412" t="n"/>
      <c r="F134" s="339" t="n"/>
      <c r="G134" s="364" t="n"/>
      <c r="H134" s="412" t="n"/>
      <c r="I134" s="339" t="n"/>
      <c r="J134" s="364" t="n"/>
      <c r="K134" s="412" t="n"/>
      <c r="L134" s="339" t="n"/>
      <c r="M134" s="364" t="n"/>
      <c r="N134" s="412" t="n"/>
      <c r="O134" s="339" t="n"/>
      <c r="P134" s="364" t="n"/>
      <c r="Q134" s="393" t="n"/>
      <c r="R134" s="390" t="n"/>
      <c r="S134" s="447" t="n"/>
      <c r="T134" s="365" t="n"/>
      <c r="U134" s="339" t="n"/>
      <c r="V134" s="364" t="n"/>
      <c r="W134" s="393" t="n"/>
      <c r="X134" s="390" t="n"/>
      <c r="Y134" s="390" t="n"/>
      <c r="Z134" s="390" t="n"/>
      <c r="AA134" s="390" t="n"/>
      <c r="AB134" s="390" t="n"/>
      <c r="AC134" s="390" t="n"/>
      <c r="AD134" s="390" t="n"/>
      <c r="AE134" s="390" t="n"/>
      <c r="AF134" s="390" t="n"/>
      <c r="AG134" s="390" t="n"/>
      <c r="AH134" s="390" t="n"/>
      <c r="AI134" s="390" t="n"/>
      <c r="AJ134" s="390" t="n"/>
      <c r="AK134" s="390" t="n"/>
      <c r="AL134" s="390" t="n"/>
      <c r="AM134" s="390" t="n"/>
      <c r="AN134" s="390" t="n"/>
      <c r="AO134" s="390" t="n"/>
      <c r="AP134" s="390" t="n"/>
      <c r="AQ134" s="390" t="n"/>
      <c r="AR134" s="390" t="n"/>
      <c r="AS134" s="390" t="n"/>
      <c r="AT134" s="390" t="n"/>
      <c r="AU134" s="390" t="n"/>
      <c r="AV134" s="390" t="n"/>
      <c r="AW134" s="390" t="n"/>
      <c r="AX134" s="390" t="n"/>
      <c r="AY134" s="390" t="n"/>
      <c r="AZ134" s="390" t="n"/>
      <c r="BA134" s="390" t="n"/>
      <c r="BB134" s="390" t="n"/>
      <c r="BC134" s="390" t="n"/>
      <c r="BD134" s="390" t="n"/>
      <c r="BE134" s="390" t="n"/>
      <c r="BF134" s="390" t="n"/>
      <c r="BG134" s="390" t="n"/>
      <c r="BH134" s="390" t="n"/>
      <c r="BI134" s="390" t="n"/>
      <c r="BJ134" s="390" t="n"/>
      <c r="BK134" s="390" t="n"/>
      <c r="BL134" s="390" t="n"/>
      <c r="BM134" s="390" t="n"/>
      <c r="BN134" s="390" t="n"/>
      <c r="BO134" s="390" t="n"/>
      <c r="BP134" s="390" t="n"/>
      <c r="BQ134" s="390" t="n"/>
      <c r="BR134" s="390" t="n"/>
      <c r="BS134" s="390" t="n"/>
      <c r="BT134" s="390" t="n"/>
      <c r="BU134" s="390" t="n"/>
      <c r="BV134" s="390" t="n"/>
      <c r="BW134" s="390" t="n"/>
      <c r="BX134" s="390" t="n"/>
      <c r="BY134" s="390" t="n"/>
      <c r="BZ134" s="390" t="n"/>
      <c r="CA134" s="390" t="n"/>
      <c r="CB134" s="390" t="n"/>
      <c r="CC134" s="394" t="n"/>
      <c r="CF134" s="254" t="inlineStr">
        <is>
          <t>休日</t>
        </is>
      </c>
      <c r="CG134" s="395" t="n"/>
      <c r="CH134" s="395" t="n"/>
      <c r="CI134" s="396" t="n"/>
      <c r="CJ134" s="397">
        <f>IF(Q131="作業者1",N134-N131,0)</f>
        <v/>
      </c>
      <c r="CK134" s="395" t="n"/>
      <c r="CL134" s="395" t="n"/>
      <c r="CM134" s="395" t="n"/>
      <c r="CN134" s="396" t="n"/>
      <c r="CP134" s="254" t="inlineStr">
        <is>
          <t>休日</t>
        </is>
      </c>
      <c r="CQ134" s="395" t="n"/>
      <c r="CR134" s="395" t="n"/>
      <c r="CS134" s="396" t="n"/>
      <c r="CT134" s="397">
        <f>IF(Q131="作業者2",N134-N131,0)</f>
        <v/>
      </c>
      <c r="CU134" s="395" t="n"/>
      <c r="CV134" s="395" t="n"/>
      <c r="CW134" s="395" t="n"/>
      <c r="CX134" s="396" t="n"/>
      <c r="CZ134" s="254" t="inlineStr">
        <is>
          <t>休日</t>
        </is>
      </c>
      <c r="DA134" s="395" t="n"/>
      <c r="DB134" s="395" t="n"/>
      <c r="DC134" s="396" t="n"/>
      <c r="DD134" s="397">
        <f>IF(Q131="作業者3",N134-N131,0)</f>
        <v/>
      </c>
      <c r="DE134" s="395" t="n"/>
      <c r="DF134" s="395" t="n"/>
      <c r="DG134" s="395" t="n"/>
      <c r="DH134" s="396" t="n"/>
      <c r="DJ134" s="254" t="inlineStr">
        <is>
          <t>休日</t>
        </is>
      </c>
      <c r="DK134" s="395" t="n"/>
      <c r="DL134" s="395" t="n"/>
      <c r="DM134" s="396" t="n"/>
      <c r="DN134" s="397">
        <f>IF(Q131="作業者4",N134-N131,0)</f>
        <v/>
      </c>
      <c r="DO134" s="395" t="n"/>
      <c r="DP134" s="395" t="n"/>
      <c r="DQ134" s="395" t="n"/>
      <c r="DR134" s="396" t="n"/>
      <c r="DT134" s="254" t="inlineStr">
        <is>
          <t>休日</t>
        </is>
      </c>
      <c r="DU134" s="395" t="n"/>
      <c r="DV134" s="395" t="n"/>
      <c r="DW134" s="396" t="n"/>
      <c r="DX134" s="397">
        <f>IF(Q131="作業者5",N134-N131,0)</f>
        <v/>
      </c>
      <c r="DY134" s="395" t="n"/>
      <c r="DZ134" s="395" t="n"/>
      <c r="EA134" s="395" t="n"/>
      <c r="EB134" s="396" t="n"/>
    </row>
    <row r="135" ht="9" customHeight="1" s="337">
      <c r="B135" s="424" t="n"/>
      <c r="C135" s="424" t="n"/>
      <c r="D135" s="424" t="n"/>
      <c r="E135" s="425" t="n"/>
      <c r="F135" s="11" t="n"/>
      <c r="G135" s="11" t="n"/>
      <c r="H135" s="425" t="n"/>
      <c r="I135" s="11" t="n"/>
      <c r="J135" s="11" t="n"/>
      <c r="K135" s="425" t="n"/>
      <c r="L135" s="11" t="n"/>
      <c r="M135" s="11" t="n"/>
      <c r="N135" s="425" t="n"/>
      <c r="O135" s="11" t="n"/>
      <c r="P135" s="11" t="n"/>
      <c r="Q135" s="8" t="n"/>
      <c r="R135" s="8" t="n"/>
      <c r="S135" s="8" t="n"/>
      <c r="T135" s="12" t="n"/>
      <c r="U135" s="12" t="n"/>
      <c r="V135" s="12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  <c r="BP135" s="14" t="n"/>
      <c r="BQ135" s="14" t="n"/>
      <c r="BR135" s="14" t="n"/>
      <c r="BS135" s="14" t="n"/>
      <c r="BT135" s="14" t="n"/>
      <c r="BU135" s="14" t="n"/>
      <c r="BV135" s="14" t="n"/>
      <c r="BW135" s="14" t="n"/>
      <c r="BX135" s="14" t="n"/>
      <c r="BY135" s="14" t="n"/>
      <c r="BZ135" s="14" t="n"/>
      <c r="CA135" s="415" t="n"/>
      <c r="CB135" s="87" t="n"/>
      <c r="CC135" s="87" t="n"/>
      <c r="CD135" s="87" t="n"/>
      <c r="CE135" s="416" t="n"/>
      <c r="CF135" s="34" t="n"/>
      <c r="CG135" s="34" t="n"/>
    </row>
    <row r="136" ht="14.45" customHeight="1" s="337">
      <c r="G136" s="312" t="inlineStr">
        <is>
          <t>早出(始)</t>
        </is>
      </c>
      <c r="H136" s="377" t="n"/>
      <c r="I136" s="377" t="n"/>
      <c r="J136" s="378" t="n"/>
      <c r="K136" s="303" t="n">
        <v>0.0006944444444444445</v>
      </c>
      <c r="L136" s="377" t="n"/>
      <c r="M136" s="378" t="n"/>
      <c r="Q136" s="426" t="inlineStr">
        <is>
          <t>作業者</t>
        </is>
      </c>
      <c r="R136" s="427" t="n"/>
      <c r="S136" s="428" t="n"/>
      <c r="BP136" s="16" t="n"/>
      <c r="BQ136" s="87" t="n"/>
      <c r="BR136" s="87" t="n"/>
      <c r="BS136" s="87" t="n"/>
      <c r="BT136" s="87" t="n"/>
      <c r="BU136" s="87" t="n"/>
      <c r="BV136" s="87" t="n"/>
      <c r="BW136" s="449" t="inlineStr">
        <is>
          <t>合計</t>
        </is>
      </c>
      <c r="BX136" s="362" t="n"/>
      <c r="BY136" s="362" t="n"/>
      <c r="BZ136" s="362" t="n"/>
      <c r="CA136" s="362" t="n"/>
      <c r="CB136" s="362" t="n"/>
      <c r="CC136" s="363" t="n"/>
      <c r="CD136" s="450" t="n"/>
      <c r="CE136" s="451" t="n"/>
      <c r="CF136" s="431" t="inlineStr">
        <is>
          <t>合計（作業者1）</t>
        </is>
      </c>
      <c r="CG136" s="362" t="n"/>
      <c r="CH136" s="362" t="n"/>
      <c r="CI136" s="362" t="n"/>
      <c r="CJ136" s="362" t="n"/>
      <c r="CK136" s="362" t="n"/>
      <c r="CL136" s="362" t="n"/>
      <c r="CM136" s="362" t="n"/>
      <c r="CN136" s="363" t="n"/>
      <c r="CP136" s="431" t="inlineStr">
        <is>
          <t>合計（作業者2）</t>
        </is>
      </c>
      <c r="CQ136" s="362" t="n"/>
      <c r="CR136" s="362" t="n"/>
      <c r="CS136" s="362" t="n"/>
      <c r="CT136" s="362" t="n"/>
      <c r="CU136" s="362" t="n"/>
      <c r="CV136" s="362" t="n"/>
      <c r="CW136" s="362" t="n"/>
      <c r="CX136" s="363" t="n"/>
      <c r="CZ136" s="431" t="inlineStr">
        <is>
          <t>合計（作業者3）</t>
        </is>
      </c>
      <c r="DA136" s="362" t="n"/>
      <c r="DB136" s="362" t="n"/>
      <c r="DC136" s="362" t="n"/>
      <c r="DD136" s="362" t="n"/>
      <c r="DE136" s="362" t="n"/>
      <c r="DF136" s="362" t="n"/>
      <c r="DG136" s="362" t="n"/>
      <c r="DH136" s="363" t="n"/>
      <c r="DJ136" s="431" t="inlineStr">
        <is>
          <t>合計（作業者4）</t>
        </is>
      </c>
      <c r="DK136" s="362" t="n"/>
      <c r="DL136" s="362" t="n"/>
      <c r="DM136" s="362" t="n"/>
      <c r="DN136" s="362" t="n"/>
      <c r="DO136" s="362" t="n"/>
      <c r="DP136" s="362" t="n"/>
      <c r="DQ136" s="362" t="n"/>
      <c r="DR136" s="363" t="n"/>
      <c r="DT136" s="431" t="inlineStr">
        <is>
          <t>合計（作業者5）</t>
        </is>
      </c>
      <c r="DU136" s="362" t="n"/>
      <c r="DV136" s="362" t="n"/>
      <c r="DW136" s="362" t="n"/>
      <c r="DX136" s="362" t="n"/>
      <c r="DY136" s="362" t="n"/>
      <c r="DZ136" s="362" t="n"/>
      <c r="EA136" s="362" t="n"/>
      <c r="EB136" s="363" t="n"/>
    </row>
    <row r="137" ht="13.5" customHeight="1" s="337">
      <c r="C137" s="13" t="n"/>
      <c r="G137" s="313" t="inlineStr">
        <is>
          <t>早出(終)</t>
        </is>
      </c>
      <c r="H137" s="384" t="n"/>
      <c r="I137" s="384" t="n"/>
      <c r="J137" s="385" t="n"/>
      <c r="K137" s="306" t="n">
        <v>0.3333333333333333</v>
      </c>
      <c r="L137" s="387" t="n"/>
      <c r="M137" s="388" t="n"/>
      <c r="Q137" s="36" t="inlineStr">
        <is>
          <t>作業者1</t>
        </is>
      </c>
      <c r="R137" s="99" t="n"/>
      <c r="S137" s="100" t="n"/>
      <c r="BP137" s="16" t="n"/>
      <c r="BQ137" s="87" t="n"/>
      <c r="BR137" s="87" t="n"/>
      <c r="BS137" s="87" t="n"/>
      <c r="BT137" s="87" t="n"/>
      <c r="BU137" s="87" t="n"/>
      <c r="BV137" s="87" t="n"/>
      <c r="BW137" s="366" t="n"/>
      <c r="BX137" s="367" t="n"/>
      <c r="BY137" s="367" t="n"/>
      <c r="BZ137" s="367" t="n"/>
      <c r="CA137" s="367" t="n"/>
      <c r="CB137" s="367" t="n"/>
      <c r="CC137" s="368" t="n"/>
      <c r="CD137" s="450" t="n"/>
      <c r="CE137" s="451" t="n"/>
      <c r="CF137" s="366" t="n"/>
      <c r="CG137" s="367" t="n"/>
      <c r="CH137" s="367" t="n"/>
      <c r="CI137" s="367" t="n"/>
      <c r="CJ137" s="367" t="n"/>
      <c r="CK137" s="367" t="n"/>
      <c r="CL137" s="367" t="n"/>
      <c r="CM137" s="367" t="n"/>
      <c r="CN137" s="368" t="n"/>
      <c r="CP137" s="366" t="n"/>
      <c r="CQ137" s="367" t="n"/>
      <c r="CR137" s="367" t="n"/>
      <c r="CS137" s="367" t="n"/>
      <c r="CT137" s="367" t="n"/>
      <c r="CU137" s="367" t="n"/>
      <c r="CV137" s="367" t="n"/>
      <c r="CW137" s="367" t="n"/>
      <c r="CX137" s="368" t="n"/>
      <c r="CZ137" s="366" t="n"/>
      <c r="DA137" s="367" t="n"/>
      <c r="DB137" s="367" t="n"/>
      <c r="DC137" s="367" t="n"/>
      <c r="DD137" s="367" t="n"/>
      <c r="DE137" s="367" t="n"/>
      <c r="DF137" s="367" t="n"/>
      <c r="DG137" s="367" t="n"/>
      <c r="DH137" s="368" t="n"/>
      <c r="DJ137" s="366" t="n"/>
      <c r="DK137" s="367" t="n"/>
      <c r="DL137" s="367" t="n"/>
      <c r="DM137" s="367" t="n"/>
      <c r="DN137" s="367" t="n"/>
      <c r="DO137" s="367" t="n"/>
      <c r="DP137" s="367" t="n"/>
      <c r="DQ137" s="367" t="n"/>
      <c r="DR137" s="368" t="n"/>
      <c r="DT137" s="366" t="n"/>
      <c r="DU137" s="367" t="n"/>
      <c r="DV137" s="367" t="n"/>
      <c r="DW137" s="367" t="n"/>
      <c r="DX137" s="367" t="n"/>
      <c r="DY137" s="367" t="n"/>
      <c r="DZ137" s="367" t="n"/>
      <c r="EA137" s="367" t="n"/>
      <c r="EB137" s="368" t="n"/>
    </row>
    <row r="138" ht="12" customHeight="1" s="337">
      <c r="C138" s="13" t="n"/>
      <c r="G138" s="313" t="inlineStr">
        <is>
          <t>時間外(始)</t>
        </is>
      </c>
      <c r="H138" s="384" t="n"/>
      <c r="I138" s="384" t="n"/>
      <c r="J138" s="385" t="n"/>
      <c r="K138" s="306" t="n">
        <v>0.7083333333333334</v>
      </c>
      <c r="L138" s="387" t="n"/>
      <c r="M138" s="388" t="n"/>
      <c r="Q138" s="38" t="inlineStr">
        <is>
          <t>作業者2</t>
        </is>
      </c>
      <c r="R138" s="78" t="n"/>
      <c r="S138" s="79" t="n"/>
      <c r="BP138" s="16" t="n"/>
      <c r="BQ138" s="87" t="n"/>
      <c r="BR138" s="87" t="n"/>
      <c r="BS138" s="87" t="n"/>
      <c r="BT138" s="87" t="n"/>
      <c r="BU138" s="87" t="n"/>
      <c r="BV138" s="87" t="n"/>
      <c r="BW138" s="452" t="inlineStr">
        <is>
          <t>移動</t>
        </is>
      </c>
      <c r="BX138" s="453" t="n"/>
      <c r="BY138" s="453" t="n"/>
      <c r="BZ138" s="454">
        <f>CJ138+CT138+DD138+DN138+DX138</f>
        <v/>
      </c>
      <c r="CA138" s="453" t="n"/>
      <c r="CB138" s="453" t="n"/>
      <c r="CC138" s="455" t="n"/>
      <c r="CD138" s="456" t="n"/>
      <c r="CE138" s="451" t="n"/>
      <c r="CF138" s="259" t="inlineStr">
        <is>
          <t>移動</t>
        </is>
      </c>
      <c r="CG138" s="403" t="n"/>
      <c r="CH138" s="403" t="n"/>
      <c r="CI138" s="404" t="n"/>
      <c r="CJ138" s="405">
        <f>CJ4+CJ8+CJ12+CJ16+CJ20+CJ24+CJ28+CJ32+CJ36+CJ40+CJ44+CJ48+CJ52+CJ56+CJ60+CJ64+CJ71+CJ75+CJ79+CJ83+CJ87+CJ91+CJ95+CJ99+CJ103+CJ107+CJ111+CJ115+CJ119+CJ123+CJ127+CJ131</f>
        <v/>
      </c>
      <c r="CK138" s="406" t="n"/>
      <c r="CL138" s="406" t="n"/>
      <c r="CM138" s="406" t="n"/>
      <c r="CN138" s="407" t="n"/>
      <c r="CP138" s="259" t="inlineStr">
        <is>
          <t>移動</t>
        </is>
      </c>
      <c r="CQ138" s="403" t="n"/>
      <c r="CR138" s="403" t="n"/>
      <c r="CS138" s="404" t="n"/>
      <c r="CT138" s="405">
        <f>CT4+CT8+CT12+CT16+CT20+CT24+CT28+CT32+CT36+CT40+CT44+CT48+CT52+CT56+CT60+CT64+CT71+CT75+CT79+CT83+CT87+CT91+CT95+CT99+CT103+CT107+CT111+CT115+CT119+CT123+CT127+CT131</f>
        <v/>
      </c>
      <c r="CU138" s="406" t="n"/>
      <c r="CV138" s="406" t="n"/>
      <c r="CW138" s="406" t="n"/>
      <c r="CX138" s="407" t="n"/>
      <c r="CZ138" s="259" t="inlineStr">
        <is>
          <t>移動</t>
        </is>
      </c>
      <c r="DA138" s="403" t="n"/>
      <c r="DB138" s="403" t="n"/>
      <c r="DC138" s="404" t="n"/>
      <c r="DD138" s="405">
        <f>DD4+DD8+DD12+DD16+DD20+DD24+DD28+DD32+DD36+DD40+DD44+DD48+DD52+DD56+DD60+DD64+DD71+DD75+DD79+DD83+DD87+DD91+DD95+DD99+DD103+DD107+DD111+DD115+DD119+DD123+DD127+DD131</f>
        <v/>
      </c>
      <c r="DE138" s="406" t="n"/>
      <c r="DF138" s="406" t="n"/>
      <c r="DG138" s="406" t="n"/>
      <c r="DH138" s="407" t="n"/>
      <c r="DJ138" s="259" t="inlineStr">
        <is>
          <t>移動</t>
        </is>
      </c>
      <c r="DK138" s="403" t="n"/>
      <c r="DL138" s="403" t="n"/>
      <c r="DM138" s="404" t="n"/>
      <c r="DN138" s="405">
        <f>DN4+DN8+DN12+DN16+DN20+DN24+DN28+DN32+DN36+DN40+DN44+DN48+DN52+DN56+DN60+DN64+DN71+DN75+DN79+DN83+DN87+DN91+DN95+DN99+DN103+DN107+DN111+DN115+DN119+DN123+DN127+DN131</f>
        <v/>
      </c>
      <c r="DO138" s="406" t="n"/>
      <c r="DP138" s="406" t="n"/>
      <c r="DQ138" s="406" t="n"/>
      <c r="DR138" s="407" t="n"/>
      <c r="DT138" s="259" t="inlineStr">
        <is>
          <t>移動</t>
        </is>
      </c>
      <c r="DU138" s="403" t="n"/>
      <c r="DV138" s="403" t="n"/>
      <c r="DW138" s="404" t="n"/>
      <c r="DX138" s="405">
        <f>DX4+DX8+DX12+DX16+DX20+DX24+DX28+DX32+DX36+DX40+DX44+DX48+DX52+DX56+DX60+DX64+DX71+DX75+DX79+DX83+DX87+DX91+DX95+DX99+DX103+DX107+DX111+DX115+DX119+DX123+DX127+DX131</f>
        <v/>
      </c>
      <c r="DY138" s="406" t="n"/>
      <c r="DZ138" s="406" t="n"/>
      <c r="EA138" s="406" t="n"/>
      <c r="EB138" s="407" t="n"/>
    </row>
    <row r="139" ht="12" customHeight="1" s="337">
      <c r="C139" s="13" t="n"/>
      <c r="G139" s="42" t="inlineStr">
        <is>
          <t>時間外(終)</t>
        </is>
      </c>
      <c r="H139" s="43" t="n"/>
      <c r="I139" s="43" t="n"/>
      <c r="J139" s="43" t="n"/>
      <c r="K139" s="309" t="n">
        <v>0.9993055555555556</v>
      </c>
      <c r="L139" s="395" t="n"/>
      <c r="M139" s="396" t="n"/>
      <c r="Q139" s="52" t="inlineStr">
        <is>
          <t>作業者3</t>
        </is>
      </c>
      <c r="R139" s="53" t="n"/>
      <c r="S139" s="54" t="n"/>
      <c r="BP139" s="16" t="n"/>
      <c r="BQ139" s="87" t="n"/>
      <c r="BR139" s="87" t="n"/>
      <c r="BS139" s="87" t="n"/>
      <c r="BT139" s="87" t="n"/>
      <c r="BU139" s="87" t="n"/>
      <c r="BV139" s="87" t="n"/>
      <c r="BW139" s="457" t="inlineStr">
        <is>
          <t>時間内</t>
        </is>
      </c>
      <c r="BX139" s="384" t="n"/>
      <c r="BY139" s="384" t="n"/>
      <c r="BZ139" s="458">
        <f>CJ139+CT139+DD139+DN139+DX139</f>
        <v/>
      </c>
      <c r="CA139" s="384" t="n"/>
      <c r="CB139" s="384" t="n"/>
      <c r="CC139" s="459" t="n"/>
      <c r="CD139" s="456" t="n"/>
      <c r="CE139" s="451" t="n"/>
      <c r="CF139" s="253" t="inlineStr">
        <is>
          <t>時間内</t>
        </is>
      </c>
      <c r="CG139" s="384" t="n"/>
      <c r="CH139" s="384" t="n"/>
      <c r="CI139" s="385" t="n"/>
      <c r="CJ139" s="386">
        <f>CJ5+CJ9+CJ13+CJ17+CJ21+CJ25+CJ29+CJ33+CJ37+CJ41+CJ45+CJ49+CJ53+CJ57+CJ61+CJ65+CJ72+CJ76+CJ80+CJ84+CJ88+CJ92+CJ96+CJ100+CJ104+CJ108+CJ112+CJ116+CJ120+CJ124+CJ128+CJ132</f>
        <v/>
      </c>
      <c r="CK139" s="387" t="n"/>
      <c r="CL139" s="387" t="n"/>
      <c r="CM139" s="387" t="n"/>
      <c r="CN139" s="388" t="n"/>
      <c r="CP139" s="253" t="inlineStr">
        <is>
          <t>時間内</t>
        </is>
      </c>
      <c r="CQ139" s="384" t="n"/>
      <c r="CR139" s="384" t="n"/>
      <c r="CS139" s="385" t="n"/>
      <c r="CT139" s="386">
        <f>CT5+CT9+CT13+CT17+CT21+CT25+CT29+CT33+CT37+CT41+CT45+CT49+CT53+CT57+CT61+CT65+CT72+CT76+CT80+CT84+CT88+CT92+CT96+CT100+CT104+CT108+CT112+CT116+CT120+CT124+CT128+CT132</f>
        <v/>
      </c>
      <c r="CU139" s="387" t="n"/>
      <c r="CV139" s="387" t="n"/>
      <c r="CW139" s="387" t="n"/>
      <c r="CX139" s="388" t="n"/>
      <c r="CZ139" s="253" t="inlineStr">
        <is>
          <t>時間内</t>
        </is>
      </c>
      <c r="DA139" s="384" t="n"/>
      <c r="DB139" s="384" t="n"/>
      <c r="DC139" s="385" t="n"/>
      <c r="DD139" s="386">
        <f>DD5+DD9+DD13+DD17+DD21+DD25+DD29+DD33+DD37+DD41+DD45+DD49+DD53+DD57+DD61+DD65+DD72+DD76+DD80+DD84+DD88+DD92+DD96+DD100+DD104+DD108+DD112+DD116+DD120+DD124+DD128+DD132</f>
        <v/>
      </c>
      <c r="DE139" s="387" t="n"/>
      <c r="DF139" s="387" t="n"/>
      <c r="DG139" s="387" t="n"/>
      <c r="DH139" s="388" t="n"/>
      <c r="DJ139" s="253" t="inlineStr">
        <is>
          <t>時間内</t>
        </is>
      </c>
      <c r="DK139" s="384" t="n"/>
      <c r="DL139" s="384" t="n"/>
      <c r="DM139" s="385" t="n"/>
      <c r="DN139" s="386">
        <f>DN5+DN9+DN13+DN17+DN21+DN25+DN29+DN33+DN37+DN41+DN45+DN49+DN53+DN57+DN61+DN65+DN72+DN76+DN80+DN84+DN88+DN92+DN96+DN100+DN104+DN108+DN112+DN116+DN120+DN124+DN128+DN132</f>
        <v/>
      </c>
      <c r="DO139" s="387" t="n"/>
      <c r="DP139" s="387" t="n"/>
      <c r="DQ139" s="387" t="n"/>
      <c r="DR139" s="388" t="n"/>
      <c r="DT139" s="253" t="inlineStr">
        <is>
          <t>時間内</t>
        </is>
      </c>
      <c r="DU139" s="384" t="n"/>
      <c r="DV139" s="384" t="n"/>
      <c r="DW139" s="385" t="n"/>
      <c r="DX139" s="386">
        <f>DX5+DX9+DX13+DX17+DX21+DX25+DX29+DX33+DX37+DX41+DX45+DX49+DX53+DX57+DX61+DX65+DX72+DX76+DX80+DX84+DX88+DX92+DX96+DX100+DX104+DX108+DX112+DX116+DX120+DX124+DX128+DX132</f>
        <v/>
      </c>
      <c r="DY139" s="387" t="n"/>
      <c r="DZ139" s="387" t="n"/>
      <c r="EA139" s="387" t="n"/>
      <c r="EB139" s="388" t="n"/>
    </row>
    <row r="140" ht="12" customHeight="1" s="337">
      <c r="C140" s="13" t="n"/>
      <c r="Q140" s="38" t="inlineStr">
        <is>
          <t>作業者4</t>
        </is>
      </c>
      <c r="R140" s="78" t="n"/>
      <c r="S140" s="79" t="n"/>
      <c r="BP140" s="19" t="n"/>
      <c r="BW140" s="457" t="inlineStr">
        <is>
          <t>時間外</t>
        </is>
      </c>
      <c r="BX140" s="384" t="n"/>
      <c r="BY140" s="384" t="n"/>
      <c r="BZ140" s="458">
        <f>CJ140+CT140+DD140+DN140+DX140</f>
        <v/>
      </c>
      <c r="CA140" s="384" t="n"/>
      <c r="CB140" s="384" t="n"/>
      <c r="CC140" s="459" t="n"/>
      <c r="CD140" s="456" t="n"/>
      <c r="CE140" s="31" t="n"/>
      <c r="CF140" s="253" t="inlineStr">
        <is>
          <t>時間外</t>
        </is>
      </c>
      <c r="CG140" s="384" t="n"/>
      <c r="CH140" s="384" t="n"/>
      <c r="CI140" s="385" t="n"/>
      <c r="CJ140" s="386">
        <f>CJ6+CJ10+CJ14+CJ18+CJ22+CJ26+CJ30+CJ34+CJ38+CJ42+CJ46+CJ50+CJ54+CJ58+CJ62+CJ66+CJ73+CJ77+CJ81+CJ85+CJ89+CJ93+CJ97+CJ101+CJ105+CJ109+CJ113+CJ117+CJ121+CJ125+CJ129+CJ133</f>
        <v/>
      </c>
      <c r="CK140" s="387" t="n"/>
      <c r="CL140" s="387" t="n"/>
      <c r="CM140" s="387" t="n"/>
      <c r="CN140" s="388" t="n"/>
      <c r="CP140" s="253" t="inlineStr">
        <is>
          <t>時間外</t>
        </is>
      </c>
      <c r="CQ140" s="384" t="n"/>
      <c r="CR140" s="384" t="n"/>
      <c r="CS140" s="385" t="n"/>
      <c r="CT140" s="386">
        <f>CT6+CT10+CT14+CT18+CT22+CT26+CT30+CT34+CT38+CT42+CT46+CT50+CT54+CT58+CT62+CT66+CT73+CT77+CT81+CT85+CT89+CT93+CT97+CT101+CT105+CT109+CT113+CT117+CT121+CT125+CT129+CT133</f>
        <v/>
      </c>
      <c r="CU140" s="387" t="n"/>
      <c r="CV140" s="387" t="n"/>
      <c r="CW140" s="387" t="n"/>
      <c r="CX140" s="388" t="n"/>
      <c r="CZ140" s="253" t="inlineStr">
        <is>
          <t>時間外</t>
        </is>
      </c>
      <c r="DA140" s="384" t="n"/>
      <c r="DB140" s="384" t="n"/>
      <c r="DC140" s="385" t="n"/>
      <c r="DD140" s="386">
        <f>DD6+DD10+DD14+DD18+DD22+DD26+DD30+DD34+DD38+DD42+DD46+DD50+DD54+DD58+DD62+DD66+DD73+DD77+DD81+DD85+DD89+DD93+DD97+DD101+DD105+DD109+DD113+DD117+DD121+DD125+DD129+DD133</f>
        <v/>
      </c>
      <c r="DE140" s="387" t="n"/>
      <c r="DF140" s="387" t="n"/>
      <c r="DG140" s="387" t="n"/>
      <c r="DH140" s="388" t="n"/>
      <c r="DJ140" s="253" t="inlineStr">
        <is>
          <t>時間外</t>
        </is>
      </c>
      <c r="DK140" s="384" t="n"/>
      <c r="DL140" s="384" t="n"/>
      <c r="DM140" s="385" t="n"/>
      <c r="DN140" s="386">
        <f>DN6+DN10+DN14+DN18+DN22+DN26+DN30+DN34+DN38+DN42+DN46+DN50+DN54+DN58+DN62+DN66+DN73+DN77+DN81+DN85+DN89+DN93+DN97+DN101+DN105+DN109+DN113+DN117+DN121+DN125+DN129+DN133</f>
        <v/>
      </c>
      <c r="DO140" s="387" t="n"/>
      <c r="DP140" s="387" t="n"/>
      <c r="DQ140" s="387" t="n"/>
      <c r="DR140" s="388" t="n"/>
      <c r="DT140" s="253" t="inlineStr">
        <is>
          <t>時間外</t>
        </is>
      </c>
      <c r="DU140" s="384" t="n"/>
      <c r="DV140" s="384" t="n"/>
      <c r="DW140" s="385" t="n"/>
      <c r="DX140" s="386">
        <f>DX6+DX10+DX14+DX18+DX22+DX26+DX30+DX34+DX38+DX42+DX46+DX50+DX54+DX58+DX62+DX66+DX73+DX77+DX81+DX85+DX89+DX93+DX97+DX101+DX105+DX109+DX113+DX117+DX121+DX125+DX129+DX133</f>
        <v/>
      </c>
      <c r="DY140" s="387" t="n"/>
      <c r="DZ140" s="387" t="n"/>
      <c r="EA140" s="387" t="n"/>
      <c r="EB140" s="388" t="n"/>
    </row>
    <row r="141" ht="12" customHeight="1" s="337">
      <c r="C141" s="13" t="n"/>
      <c r="Q141" s="40" t="inlineStr">
        <is>
          <t>作業者5</t>
        </is>
      </c>
      <c r="R141" s="82" t="n"/>
      <c r="S141" s="83" t="n"/>
      <c r="BW141" s="460" t="inlineStr">
        <is>
          <t>休日</t>
        </is>
      </c>
      <c r="BX141" s="395" t="n"/>
      <c r="BY141" s="395" t="n"/>
      <c r="BZ141" s="461">
        <f>CJ141+CT141+DD141+DN141+DX141</f>
        <v/>
      </c>
      <c r="CA141" s="395" t="n"/>
      <c r="CB141" s="395" t="n"/>
      <c r="CC141" s="462" t="n"/>
      <c r="CD141" s="456" t="n"/>
      <c r="CE141" s="31" t="n"/>
      <c r="CF141" s="254" t="inlineStr">
        <is>
          <t>休日</t>
        </is>
      </c>
      <c r="CG141" s="395" t="n"/>
      <c r="CH141" s="395" t="n"/>
      <c r="CI141" s="396" t="n"/>
      <c r="CJ141" s="397">
        <f>CJ7+CJ11+CJ15+CJ19+CJ23+CJ27+CJ31+CJ35+CJ39+CJ43+CJ47+CJ51+CJ55+CJ59+CJ63+CJ67+CJ74+CJ78+CJ82+CJ86+CJ90+CJ94+CJ98+CJ102+CJ106+CJ110+CJ114+CJ118+CJ122+CJ126+CJ130+CJ134</f>
        <v/>
      </c>
      <c r="CK141" s="395" t="n"/>
      <c r="CL141" s="395" t="n"/>
      <c r="CM141" s="395" t="n"/>
      <c r="CN141" s="396" t="n"/>
      <c r="CP141" s="254" t="inlineStr">
        <is>
          <t>休日</t>
        </is>
      </c>
      <c r="CQ141" s="395" t="n"/>
      <c r="CR141" s="395" t="n"/>
      <c r="CS141" s="396" t="n"/>
      <c r="CT141" s="397">
        <f>CT7+CT11+CT15+CT19+CT23+CT27+CT31+CT35+CT39+CT43+CT47+CT51+CT55+CT59+CT63+CT67+CT74+CT78+CT82+CT86+CT90+CT94+CT98+CT102+CT106+CT110+CT114+CT118+CT122+CT126+CT130+CT134</f>
        <v/>
      </c>
      <c r="CU141" s="395" t="n"/>
      <c r="CV141" s="395" t="n"/>
      <c r="CW141" s="395" t="n"/>
      <c r="CX141" s="396" t="n"/>
      <c r="CZ141" s="254" t="inlineStr">
        <is>
          <t>休日</t>
        </is>
      </c>
      <c r="DA141" s="395" t="n"/>
      <c r="DB141" s="395" t="n"/>
      <c r="DC141" s="396" t="n"/>
      <c r="DD141" s="397">
        <f>DD7+DD11+DD15+DD19+DD23+DD27+DD31+DD35+DD39+DD43+DD47+DD51+DD55+DD59+DD63+DD67+DD74+DD78+DD82+DD86+DD90+DD94+DD98+DD102+DD106+DD110+DD114+DD118+DD122+DD126+DD130+DD134</f>
        <v/>
      </c>
      <c r="DE141" s="395" t="n"/>
      <c r="DF141" s="395" t="n"/>
      <c r="DG141" s="395" t="n"/>
      <c r="DH141" s="396" t="n"/>
      <c r="DJ141" s="254" t="inlineStr">
        <is>
          <t>休日</t>
        </is>
      </c>
      <c r="DK141" s="395" t="n"/>
      <c r="DL141" s="395" t="n"/>
      <c r="DM141" s="396" t="n"/>
      <c r="DN141" s="397">
        <f>DN7+DN11+DN15+DN19+DN23+DN27+DN31+DN35+DN39+DN43+DN47+DN51+DN55+DN59+DN63+DN67+DN74+DN78+DN82+DN86+DN90+DN94+DN98+DN102+DN106+DN110+DN114+DN118+DN122+DN126+DN130+DN134</f>
        <v/>
      </c>
      <c r="DO141" s="395" t="n"/>
      <c r="DP141" s="395" t="n"/>
      <c r="DQ141" s="395" t="n"/>
      <c r="DR141" s="396" t="n"/>
      <c r="DT141" s="254" t="inlineStr">
        <is>
          <t>休日</t>
        </is>
      </c>
      <c r="DU141" s="395" t="n"/>
      <c r="DV141" s="395" t="n"/>
      <c r="DW141" s="396" t="n"/>
      <c r="DX141" s="397">
        <f>DX7+DX11+DX15+DX19+DX23+DX27+DX31+DX35+DX39+DX43+DX47+DX51+DX55+DX59+DX63+DX67+DX74+DX78+DX82+DX86+DX90+DX94+DX98+DX102+DX106+DX110+DX114+DX118+DX122+DX126+DX130+DX134</f>
        <v/>
      </c>
      <c r="DY141" s="395" t="n"/>
      <c r="DZ141" s="395" t="n"/>
      <c r="EA141" s="395" t="n"/>
      <c r="EB141" s="396" t="n"/>
    </row>
    <row r="142" ht="12" customHeight="1" s="337"/>
    <row r="143" ht="12" customHeight="1" s="337"/>
    <row r="144" ht="12" customHeight="1" s="337"/>
    <row r="145" ht="12" customHeight="1" s="337"/>
  </sheetData>
  <mergeCells count="1880">
    <mergeCell ref="DJ78:DM78"/>
    <mergeCell ref="CJ47:CN47"/>
    <mergeCell ref="DD95:DH95"/>
    <mergeCell ref="CT96:CX96"/>
    <mergeCell ref="DD87:DH87"/>
    <mergeCell ref="CF91:CI91"/>
    <mergeCell ref="CP88:CS88"/>
    <mergeCell ref="CT37:CX37"/>
    <mergeCell ref="CP82:CS82"/>
    <mergeCell ref="I57:I58"/>
    <mergeCell ref="DD97:DH97"/>
    <mergeCell ref="DN119:DR119"/>
    <mergeCell ref="CT98:CX98"/>
    <mergeCell ref="DD89:DH89"/>
    <mergeCell ref="CZ114:DC114"/>
    <mergeCell ref="CF93:CI93"/>
    <mergeCell ref="H75:J75"/>
    <mergeCell ref="DX109:EB109"/>
    <mergeCell ref="H111:J111"/>
    <mergeCell ref="CJ63:CN63"/>
    <mergeCell ref="DJ104:DM104"/>
    <mergeCell ref="CP83:CS83"/>
    <mergeCell ref="F13:F14"/>
    <mergeCell ref="DN114:DR114"/>
    <mergeCell ref="B52:D55"/>
    <mergeCell ref="DD113:DH113"/>
    <mergeCell ref="DJ106:DM106"/>
    <mergeCell ref="CP85:CS85"/>
    <mergeCell ref="T127:V130"/>
    <mergeCell ref="CF109:CI109"/>
    <mergeCell ref="CT124:CX124"/>
    <mergeCell ref="DD115:DH115"/>
    <mergeCell ref="W8:CC11"/>
    <mergeCell ref="N32:P32"/>
    <mergeCell ref="CP141:CS141"/>
    <mergeCell ref="CF75:CI75"/>
    <mergeCell ref="CT126:CX126"/>
    <mergeCell ref="DD108:DH108"/>
    <mergeCell ref="DN130:DR130"/>
    <mergeCell ref="CP12:CS12"/>
    <mergeCell ref="CZ125:DC125"/>
    <mergeCell ref="DD141:DH141"/>
    <mergeCell ref="K44:M44"/>
    <mergeCell ref="DN132:DR132"/>
    <mergeCell ref="CP14:CS14"/>
    <mergeCell ref="CZ133:DC133"/>
    <mergeCell ref="CZ127:DC127"/>
    <mergeCell ref="DJ28:DM28"/>
    <mergeCell ref="CP7:CS7"/>
    <mergeCell ref="H7:J7"/>
    <mergeCell ref="DT25:DW25"/>
    <mergeCell ref="T28:V31"/>
    <mergeCell ref="CZ39:DC39"/>
    <mergeCell ref="CJ117:CN117"/>
    <mergeCell ref="DJ30:DM30"/>
    <mergeCell ref="CT108:CX108"/>
    <mergeCell ref="CZ128:DC128"/>
    <mergeCell ref="Q12:S15"/>
    <mergeCell ref="DD38:DH38"/>
    <mergeCell ref="CT139:CX139"/>
    <mergeCell ref="E24:G24"/>
    <mergeCell ref="DD40:DH40"/>
    <mergeCell ref="N47:P47"/>
    <mergeCell ref="F88:F89"/>
    <mergeCell ref="CP35:CS35"/>
    <mergeCell ref="CZ57:DC57"/>
    <mergeCell ref="CF36:CI36"/>
    <mergeCell ref="CT51:CX51"/>
    <mergeCell ref="DT105:DW105"/>
    <mergeCell ref="I124:I125"/>
    <mergeCell ref="BZ138:CC138"/>
    <mergeCell ref="DT107:DW107"/>
    <mergeCell ref="E19:G19"/>
    <mergeCell ref="Q40:S43"/>
    <mergeCell ref="DJ69:DR70"/>
    <mergeCell ref="DT73:DW73"/>
    <mergeCell ref="CJ130:CN130"/>
    <mergeCell ref="CJ132:CN132"/>
    <mergeCell ref="CF35:CI35"/>
    <mergeCell ref="CF62:CI62"/>
    <mergeCell ref="CT33:CX33"/>
    <mergeCell ref="CF64:CI64"/>
    <mergeCell ref="H71:J71"/>
    <mergeCell ref="CT35:CX35"/>
    <mergeCell ref="H107:J107"/>
    <mergeCell ref="CF69:CN70"/>
    <mergeCell ref="CF30:CI30"/>
    <mergeCell ref="DJ100:DM100"/>
    <mergeCell ref="CP79:CS79"/>
    <mergeCell ref="K118:M118"/>
    <mergeCell ref="DN85:DR85"/>
    <mergeCell ref="CT64:CX64"/>
    <mergeCell ref="CZ80:DC80"/>
    <mergeCell ref="DJ102:DM102"/>
    <mergeCell ref="CP81:CS81"/>
    <mergeCell ref="DJ129:DM129"/>
    <mergeCell ref="H102:J102"/>
    <mergeCell ref="T123:V126"/>
    <mergeCell ref="DT120:DW120"/>
    <mergeCell ref="DJ131:DM131"/>
    <mergeCell ref="CJ62:CN62"/>
    <mergeCell ref="K134:M134"/>
    <mergeCell ref="CJ56:CN56"/>
    <mergeCell ref="CP105:CS105"/>
    <mergeCell ref="DD112:DH112"/>
    <mergeCell ref="W95:CC98"/>
    <mergeCell ref="E90:G90"/>
    <mergeCell ref="DD106:DH106"/>
    <mergeCell ref="CP107:CS107"/>
    <mergeCell ref="CP99:CS99"/>
    <mergeCell ref="E119:G119"/>
    <mergeCell ref="DJ113:DM113"/>
    <mergeCell ref="E91:G91"/>
    <mergeCell ref="CJ82:CN82"/>
    <mergeCell ref="CJ118:CN118"/>
    <mergeCell ref="CZ124:DC124"/>
    <mergeCell ref="DJ115:DM115"/>
    <mergeCell ref="CZ126:DC126"/>
    <mergeCell ref="N16:P16"/>
    <mergeCell ref="CP125:CS125"/>
    <mergeCell ref="CJ119:CN119"/>
    <mergeCell ref="N51:P51"/>
    <mergeCell ref="N43:P43"/>
    <mergeCell ref="F84:F85"/>
    <mergeCell ref="DD125:DH125"/>
    <mergeCell ref="DX6:EB6"/>
    <mergeCell ref="CF129:CI129"/>
    <mergeCell ref="CP120:CS120"/>
    <mergeCell ref="W20:CC23"/>
    <mergeCell ref="CF131:CI131"/>
    <mergeCell ref="E15:G15"/>
    <mergeCell ref="Q36:S39"/>
    <mergeCell ref="N67:P67"/>
    <mergeCell ref="CZ23:DC23"/>
    <mergeCell ref="Q127:S130"/>
    <mergeCell ref="DN27:DR27"/>
    <mergeCell ref="L96:L97"/>
    <mergeCell ref="CF60:CI60"/>
    <mergeCell ref="DX17:EB17"/>
    <mergeCell ref="H78:J78"/>
    <mergeCell ref="DT34:DW34"/>
    <mergeCell ref="CP50:CS50"/>
    <mergeCell ref="W48:CC51"/>
    <mergeCell ref="DN22:DR22"/>
    <mergeCell ref="H44:J44"/>
    <mergeCell ref="W4:CC7"/>
    <mergeCell ref="DX19:EB19"/>
    <mergeCell ref="E35:G35"/>
    <mergeCell ref="I108:I109"/>
    <mergeCell ref="O5:O6"/>
    <mergeCell ref="E28:G28"/>
    <mergeCell ref="CJ25:CN25"/>
    <mergeCell ref="DD23:DH23"/>
    <mergeCell ref="F5:F6"/>
    <mergeCell ref="E59:G59"/>
    <mergeCell ref="N82:P82"/>
    <mergeCell ref="O29:O30"/>
    <mergeCell ref="CF71:CI71"/>
    <mergeCell ref="O65:O66"/>
    <mergeCell ref="CP103:CS103"/>
    <mergeCell ref="Q52:S55"/>
    <mergeCell ref="DX72:EB72"/>
    <mergeCell ref="CZ94:DC94"/>
    <mergeCell ref="CF73:CI73"/>
    <mergeCell ref="H126:J126"/>
    <mergeCell ref="E56:G56"/>
    <mergeCell ref="CT16:CX16"/>
    <mergeCell ref="CJ27:CN27"/>
    <mergeCell ref="CT18:CX18"/>
    <mergeCell ref="CT104:CX104"/>
    <mergeCell ref="N12:P12"/>
    <mergeCell ref="W119:CC122"/>
    <mergeCell ref="O49:O50"/>
    <mergeCell ref="CT106:CX106"/>
    <mergeCell ref="CF101:CI101"/>
    <mergeCell ref="DX83:EB83"/>
    <mergeCell ref="CP116:CS116"/>
    <mergeCell ref="F21:F22"/>
    <mergeCell ref="B32:D35"/>
    <mergeCell ref="CT101:CX101"/>
    <mergeCell ref="DX84:EB84"/>
    <mergeCell ref="CP118:CS118"/>
    <mergeCell ref="E102:G102"/>
    <mergeCell ref="CJ99:CN99"/>
    <mergeCell ref="K24:M24"/>
    <mergeCell ref="CJ128:CN128"/>
    <mergeCell ref="E127:G127"/>
    <mergeCell ref="L61:L62"/>
    <mergeCell ref="DX13:EB13"/>
    <mergeCell ref="E4:G4"/>
    <mergeCell ref="DJ8:DM8"/>
    <mergeCell ref="T8:V11"/>
    <mergeCell ref="K51:M51"/>
    <mergeCell ref="DX15:EB15"/>
    <mergeCell ref="W127:CC130"/>
    <mergeCell ref="DJ10:DM10"/>
    <mergeCell ref="DN138:DR138"/>
    <mergeCell ref="DN9:DR9"/>
    <mergeCell ref="N78:P78"/>
    <mergeCell ref="DX41:EB41"/>
    <mergeCell ref="DD20:DH20"/>
    <mergeCell ref="DN11:DR11"/>
    <mergeCell ref="DX43:EB43"/>
    <mergeCell ref="DD22:DH22"/>
    <mergeCell ref="N79:P79"/>
    <mergeCell ref="DJ21:DM21"/>
    <mergeCell ref="E52:G52"/>
    <mergeCell ref="CZ32:DC32"/>
    <mergeCell ref="CF13:CI13"/>
    <mergeCell ref="F116:F117"/>
    <mergeCell ref="CT14:CX14"/>
    <mergeCell ref="T16:V19"/>
    <mergeCell ref="CT13:CX13"/>
    <mergeCell ref="DD4:DH4"/>
    <mergeCell ref="DN64:DR64"/>
    <mergeCell ref="CT43:CX43"/>
    <mergeCell ref="CT15:CX15"/>
    <mergeCell ref="DX54:EB54"/>
    <mergeCell ref="DD33:DH33"/>
    <mergeCell ref="K98:M98"/>
    <mergeCell ref="BZ140:CC140"/>
    <mergeCell ref="DT71:DW71"/>
    <mergeCell ref="DN65:DR65"/>
    <mergeCell ref="DX81:EB81"/>
    <mergeCell ref="DX56:EB56"/>
    <mergeCell ref="O76:O77"/>
    <mergeCell ref="T103:V106"/>
    <mergeCell ref="CJ51:CN51"/>
    <mergeCell ref="DT100:DW100"/>
    <mergeCell ref="DT66:DW66"/>
    <mergeCell ref="G137:J137"/>
    <mergeCell ref="DJ77:DM77"/>
    <mergeCell ref="CF28:CI28"/>
    <mergeCell ref="DX107:EB107"/>
    <mergeCell ref="DD86:DH86"/>
    <mergeCell ref="CF108:CI108"/>
    <mergeCell ref="K20:M20"/>
    <mergeCell ref="Q123:S126"/>
    <mergeCell ref="L57:L58"/>
    <mergeCell ref="CZ103:DC103"/>
    <mergeCell ref="K111:M111"/>
    <mergeCell ref="DN78:DR78"/>
    <mergeCell ref="W123:CC126"/>
    <mergeCell ref="DJ6:DM6"/>
    <mergeCell ref="B16:D19"/>
    <mergeCell ref="DX110:EB110"/>
    <mergeCell ref="CJ64:CN64"/>
    <mergeCell ref="K4:M4"/>
    <mergeCell ref="F61:F62"/>
    <mergeCell ref="CZ131:DC131"/>
    <mergeCell ref="CF110:CI110"/>
    <mergeCell ref="DN7:DR7"/>
    <mergeCell ref="DN129:DR129"/>
    <mergeCell ref="DD105:DH105"/>
    <mergeCell ref="DX120:EB120"/>
    <mergeCell ref="DT23:DW23"/>
    <mergeCell ref="T69:V70"/>
    <mergeCell ref="DX39:EB39"/>
    <mergeCell ref="DN131:DR131"/>
    <mergeCell ref="DJ17:DM17"/>
    <mergeCell ref="K35:M35"/>
    <mergeCell ref="DX121:EB121"/>
    <mergeCell ref="DT18:DW18"/>
    <mergeCell ref="CJ75:CN75"/>
    <mergeCell ref="CT141:CX141"/>
    <mergeCell ref="DJ19:DM19"/>
    <mergeCell ref="DX123:EB123"/>
    <mergeCell ref="DT26:DW26"/>
    <mergeCell ref="B64:D67"/>
    <mergeCell ref="DT9:DW9"/>
    <mergeCell ref="K59:M59"/>
    <mergeCell ref="CP29:CS29"/>
    <mergeCell ref="DN35:DR35"/>
    <mergeCell ref="DJ20:DM20"/>
    <mergeCell ref="L104:L105"/>
    <mergeCell ref="DN28:DR28"/>
    <mergeCell ref="DX50:EB50"/>
    <mergeCell ref="DD29:DH29"/>
    <mergeCell ref="DJ45:DM45"/>
    <mergeCell ref="H24:J24"/>
    <mergeCell ref="CP24:CS24"/>
    <mergeCell ref="DD39:DH39"/>
    <mergeCell ref="CZ21:DC21"/>
    <mergeCell ref="DN30:DR30"/>
    <mergeCell ref="DX52:EB52"/>
    <mergeCell ref="DD31:DH31"/>
    <mergeCell ref="I88:I89"/>
    <mergeCell ref="DJ53:DM53"/>
    <mergeCell ref="DJ47:DM47"/>
    <mergeCell ref="CP26:CS26"/>
    <mergeCell ref="L124:L125"/>
    <mergeCell ref="DT96:DW96"/>
    <mergeCell ref="DJ46:DM46"/>
    <mergeCell ref="T40:V43"/>
    <mergeCell ref="DT62:DW62"/>
    <mergeCell ref="DT37:DW37"/>
    <mergeCell ref="CZ16:DC16"/>
    <mergeCell ref="H55:J55"/>
    <mergeCell ref="DT98:DW98"/>
    <mergeCell ref="CJ7:CN7"/>
    <mergeCell ref="DJ48:DM48"/>
    <mergeCell ref="N69:P70"/>
    <mergeCell ref="B83:D86"/>
    <mergeCell ref="N115:P115"/>
    <mergeCell ref="CF24:CI24"/>
    <mergeCell ref="DJ63:DM63"/>
    <mergeCell ref="CP42:CS42"/>
    <mergeCell ref="DD57:DH57"/>
    <mergeCell ref="W40:CC43"/>
    <mergeCell ref="CF17:CI17"/>
    <mergeCell ref="Q32:S35"/>
    <mergeCell ref="CZ74:DC74"/>
    <mergeCell ref="CF53:CI53"/>
    <mergeCell ref="CT24:CX24"/>
    <mergeCell ref="DX63:EB63"/>
    <mergeCell ref="CF19:CI19"/>
    <mergeCell ref="CZ67:DC67"/>
    <mergeCell ref="DT88:DW88"/>
    <mergeCell ref="K107:M107"/>
    <mergeCell ref="DT124:DW124"/>
    <mergeCell ref="DN74:DR74"/>
    <mergeCell ref="B12:D15"/>
    <mergeCell ref="DT117:DW117"/>
    <mergeCell ref="CF50:CI50"/>
    <mergeCell ref="T87:V90"/>
    <mergeCell ref="CJ60:CN60"/>
    <mergeCell ref="DN76:DR76"/>
    <mergeCell ref="CT84:CX84"/>
    <mergeCell ref="I13:I14"/>
    <mergeCell ref="DT119:DW119"/>
    <mergeCell ref="CF79:CI79"/>
    <mergeCell ref="CT50:CX50"/>
    <mergeCell ref="DN101:DR101"/>
    <mergeCell ref="CT80:CX80"/>
    <mergeCell ref="N134:P134"/>
    <mergeCell ref="CF81:CI81"/>
    <mergeCell ref="CT52:CX52"/>
    <mergeCell ref="CP97:CS97"/>
    <mergeCell ref="CT79:CX79"/>
    <mergeCell ref="DN100:DR100"/>
    <mergeCell ref="DJ117:DM117"/>
    <mergeCell ref="CP96:CS96"/>
    <mergeCell ref="DT108:DW108"/>
    <mergeCell ref="CZ87:DC87"/>
    <mergeCell ref="DN102:DR102"/>
    <mergeCell ref="CT81:CX81"/>
    <mergeCell ref="DD103:DH103"/>
    <mergeCell ref="CP98:CS98"/>
    <mergeCell ref="H119:J119"/>
    <mergeCell ref="CF63:CI63"/>
    <mergeCell ref="DX119:EB119"/>
    <mergeCell ref="DT139:DW139"/>
    <mergeCell ref="CJ79:CN79"/>
    <mergeCell ref="CJ73:CN73"/>
    <mergeCell ref="DT2:EB3"/>
    <mergeCell ref="CZ113:DC113"/>
    <mergeCell ref="CF92:CI92"/>
    <mergeCell ref="DT51:DW51"/>
    <mergeCell ref="CT63:CX63"/>
    <mergeCell ref="DD129:DH129"/>
    <mergeCell ref="DD123:DH123"/>
    <mergeCell ref="DN120:DR120"/>
    <mergeCell ref="CF5:CI5"/>
    <mergeCell ref="CT99:CX99"/>
    <mergeCell ref="L100:L101"/>
    <mergeCell ref="CJ74:CN74"/>
    <mergeCell ref="CZ115:DC115"/>
    <mergeCell ref="DD131:DH131"/>
    <mergeCell ref="DN113:DR113"/>
    <mergeCell ref="CZ17:DC17"/>
    <mergeCell ref="DN26:DR26"/>
    <mergeCell ref="DJ130:DM130"/>
    <mergeCell ref="I84:I85"/>
    <mergeCell ref="DD124:DH124"/>
    <mergeCell ref="CF6:CI6"/>
    <mergeCell ref="DN140:DR140"/>
    <mergeCell ref="DN115:DR115"/>
    <mergeCell ref="CP22:CS22"/>
    <mergeCell ref="CZ19:DC19"/>
    <mergeCell ref="CZ141:DC141"/>
    <mergeCell ref="DJ132:DM132"/>
    <mergeCell ref="CP2:CX3"/>
    <mergeCell ref="DD126:DH126"/>
    <mergeCell ref="K60:M60"/>
    <mergeCell ref="CJ107:CN107"/>
    <mergeCell ref="CJ101:CN101"/>
    <mergeCell ref="DT33:DW33"/>
    <mergeCell ref="CZ12:DC12"/>
    <mergeCell ref="H51:J51"/>
    <mergeCell ref="DX18:EB18"/>
    <mergeCell ref="DT35:DW35"/>
    <mergeCell ref="CZ14:DC14"/>
    <mergeCell ref="B79:D82"/>
    <mergeCell ref="CJ92:CN92"/>
    <mergeCell ref="DD53:DH53"/>
    <mergeCell ref="W36:CC39"/>
    <mergeCell ref="CP48:CS48"/>
    <mergeCell ref="DT64:DW64"/>
    <mergeCell ref="DD55:DH55"/>
    <mergeCell ref="I112:I113"/>
    <mergeCell ref="CF2:CN3"/>
    <mergeCell ref="CZ38:DC38"/>
    <mergeCell ref="E32:G32"/>
    <mergeCell ref="CP33:CS33"/>
    <mergeCell ref="F96:F97"/>
    <mergeCell ref="CZ65:DC65"/>
    <mergeCell ref="CZ40:DC40"/>
    <mergeCell ref="DJ62:DM62"/>
    <mergeCell ref="DJ56:DM56"/>
    <mergeCell ref="H35:J35"/>
    <mergeCell ref="L108:L109"/>
    <mergeCell ref="T83:V86"/>
    <mergeCell ref="N86:P86"/>
    <mergeCell ref="CP51:CS51"/>
    <mergeCell ref="B107:D110"/>
    <mergeCell ref="CJ120:CN120"/>
    <mergeCell ref="CP66:CS66"/>
    <mergeCell ref="CF77:CI77"/>
    <mergeCell ref="H59:J59"/>
    <mergeCell ref="DX87:EB87"/>
    <mergeCell ref="DD66:DH66"/>
    <mergeCell ref="K131:M131"/>
    <mergeCell ref="CP67:CS67"/>
    <mergeCell ref="DJ82:DM82"/>
    <mergeCell ref="CP61:CS61"/>
    <mergeCell ref="DN98:DR98"/>
    <mergeCell ref="CT77:CX77"/>
    <mergeCell ref="DX89:EB89"/>
    <mergeCell ref="CZ93:DC93"/>
    <mergeCell ref="CF72:CI72"/>
    <mergeCell ref="H90:J90"/>
    <mergeCell ref="DX88:EB88"/>
    <mergeCell ref="T111:V114"/>
    <mergeCell ref="CJ42:CN42"/>
    <mergeCell ref="CZ84:DC84"/>
    <mergeCell ref="DJ119:DM119"/>
    <mergeCell ref="CF59:CI59"/>
    <mergeCell ref="CJ44:CN44"/>
    <mergeCell ref="DJ85:DM85"/>
    <mergeCell ref="CP64:CS64"/>
    <mergeCell ref="CZ109:DC109"/>
    <mergeCell ref="CF88:CI88"/>
    <mergeCell ref="Q103:S106"/>
    <mergeCell ref="DD94:DH94"/>
    <mergeCell ref="CF54:CI54"/>
    <mergeCell ref="CZ111:DC111"/>
    <mergeCell ref="CF90:CI90"/>
    <mergeCell ref="CT61:CX61"/>
    <mergeCell ref="DN109:DR109"/>
    <mergeCell ref="CP122:CS122"/>
    <mergeCell ref="CJ72:CN72"/>
    <mergeCell ref="I49:I50"/>
    <mergeCell ref="DN111:DR111"/>
    <mergeCell ref="CT90:CX90"/>
    <mergeCell ref="CZ112:DC112"/>
    <mergeCell ref="CZ106:DC106"/>
    <mergeCell ref="CF85:CI85"/>
    <mergeCell ref="DD122:DH122"/>
    <mergeCell ref="CT121:CX121"/>
    <mergeCell ref="CF116:CI116"/>
    <mergeCell ref="CT87:CX87"/>
    <mergeCell ref="Q87:S90"/>
    <mergeCell ref="CJ126:CN126"/>
    <mergeCell ref="CT123:CX123"/>
    <mergeCell ref="CF118:CI118"/>
    <mergeCell ref="N31:P31"/>
    <mergeCell ref="CT116:CX116"/>
    <mergeCell ref="N24:P24"/>
    <mergeCell ref="CP133:CS133"/>
    <mergeCell ref="W131:CC134"/>
    <mergeCell ref="O61:O62"/>
    <mergeCell ref="CT118:CX118"/>
    <mergeCell ref="DD140:DH140"/>
    <mergeCell ref="DJ25:DM25"/>
    <mergeCell ref="CZ36:DC36"/>
    <mergeCell ref="CJ116:CN116"/>
    <mergeCell ref="CT134:CX134"/>
    <mergeCell ref="T56:V59"/>
    <mergeCell ref="CJ139:CN139"/>
    <mergeCell ref="CJ111:CN111"/>
    <mergeCell ref="N44:P44"/>
    <mergeCell ref="DT16:DW16"/>
    <mergeCell ref="DX32:EB32"/>
    <mergeCell ref="CT48:CX48"/>
    <mergeCell ref="DJ27:DM27"/>
    <mergeCell ref="CF43:CI43"/>
    <mergeCell ref="CP65:CS65"/>
    <mergeCell ref="H86:J86"/>
    <mergeCell ref="T107:V110"/>
    <mergeCell ref="CZ69:DH70"/>
    <mergeCell ref="DT104:DW104"/>
    <mergeCell ref="E16:G16"/>
    <mergeCell ref="DX27:EB27"/>
    <mergeCell ref="CZ49:DC49"/>
    <mergeCell ref="DT106:DW106"/>
    <mergeCell ref="N95:P95"/>
    <mergeCell ref="CP60:CS60"/>
    <mergeCell ref="DT99:DW99"/>
    <mergeCell ref="DX58:EB58"/>
    <mergeCell ref="O9:O10"/>
    <mergeCell ref="CF25:CI25"/>
    <mergeCell ref="DT101:DW101"/>
    <mergeCell ref="CJ41:CN41"/>
    <mergeCell ref="CF61:CI61"/>
    <mergeCell ref="K69:M70"/>
    <mergeCell ref="N98:P98"/>
    <mergeCell ref="CF56:CI56"/>
    <mergeCell ref="DJ99:DM99"/>
    <mergeCell ref="CP78:CS78"/>
    <mergeCell ref="H99:J99"/>
    <mergeCell ref="N123:P123"/>
    <mergeCell ref="CF112:CI112"/>
    <mergeCell ref="DD21:DH21"/>
    <mergeCell ref="Q83:S86"/>
    <mergeCell ref="CT32:CX32"/>
    <mergeCell ref="CF114:CI114"/>
    <mergeCell ref="CT112:CX112"/>
    <mergeCell ref="L21:L22"/>
    <mergeCell ref="CF107:CI107"/>
    <mergeCell ref="N20:P20"/>
    <mergeCell ref="CP104:CS104"/>
    <mergeCell ref="O57:O58"/>
    <mergeCell ref="CT114:CX114"/>
    <mergeCell ref="CP106:CS106"/>
    <mergeCell ref="H127:J127"/>
    <mergeCell ref="W87:CC90"/>
    <mergeCell ref="E82:G82"/>
    <mergeCell ref="Q2:S3"/>
    <mergeCell ref="CF100:CI100"/>
    <mergeCell ref="CZ121:DC121"/>
    <mergeCell ref="F65:F66"/>
    <mergeCell ref="CP101:CS101"/>
    <mergeCell ref="CF125:CI125"/>
    <mergeCell ref="CF127:CI127"/>
    <mergeCell ref="K39:M39"/>
    <mergeCell ref="N40:P40"/>
    <mergeCell ref="DN6:DR6"/>
    <mergeCell ref="L76:L77"/>
    <mergeCell ref="CT127:CX127"/>
    <mergeCell ref="CP30:CS30"/>
    <mergeCell ref="CF128:CI128"/>
    <mergeCell ref="E12:G12"/>
    <mergeCell ref="N35:P35"/>
    <mergeCell ref="DT13:DW13"/>
    <mergeCell ref="F49:F50"/>
    <mergeCell ref="CZ134:DC134"/>
    <mergeCell ref="DT15:DW15"/>
    <mergeCell ref="W44:CC47"/>
    <mergeCell ref="F80:F81"/>
    <mergeCell ref="O132:O133"/>
    <mergeCell ref="DN17:DR17"/>
    <mergeCell ref="DX139:EB139"/>
    <mergeCell ref="K52:M52"/>
    <mergeCell ref="DN19:DR19"/>
    <mergeCell ref="DX16:EB16"/>
    <mergeCell ref="F104:F105"/>
    <mergeCell ref="DX51:EB51"/>
    <mergeCell ref="L88:L89"/>
    <mergeCell ref="CF52:CI52"/>
    <mergeCell ref="DX9:EB9"/>
    <mergeCell ref="DX11:EB11"/>
    <mergeCell ref="DD17:DH17"/>
    <mergeCell ref="Q69:S70"/>
    <mergeCell ref="DX67:EB67"/>
    <mergeCell ref="DD46:DH46"/>
    <mergeCell ref="DT136:EB137"/>
    <mergeCell ref="L17:L18"/>
    <mergeCell ref="CP41:CS41"/>
    <mergeCell ref="DD12:DH12"/>
    <mergeCell ref="N122:P122"/>
    <mergeCell ref="DJ64:DM64"/>
    <mergeCell ref="DX62:EB62"/>
    <mergeCell ref="B99:D102"/>
    <mergeCell ref="H123:J123"/>
    <mergeCell ref="N107:P107"/>
    <mergeCell ref="DX64:EB64"/>
    <mergeCell ref="CJ24:CN24"/>
    <mergeCell ref="DN63:DR63"/>
    <mergeCell ref="CJ26:CN26"/>
    <mergeCell ref="DD74:DH74"/>
    <mergeCell ref="CF34:CI34"/>
    <mergeCell ref="L45:L46"/>
    <mergeCell ref="DD76:DH76"/>
    <mergeCell ref="DJ75:DM75"/>
    <mergeCell ref="I29:I30"/>
    <mergeCell ref="Q131:S134"/>
    <mergeCell ref="N4:P4"/>
    <mergeCell ref="DN91:DR91"/>
    <mergeCell ref="W111:CC114"/>
    <mergeCell ref="E106:G106"/>
    <mergeCell ref="DX82:EB82"/>
    <mergeCell ref="H134:J134"/>
    <mergeCell ref="CZ86:DC86"/>
    <mergeCell ref="CF124:CI124"/>
    <mergeCell ref="DN93:DR93"/>
    <mergeCell ref="CP115:CS115"/>
    <mergeCell ref="E107:G107"/>
    <mergeCell ref="CT67:CX67"/>
    <mergeCell ref="CP136:CX137"/>
    <mergeCell ref="B24:D27"/>
    <mergeCell ref="DN117:DR117"/>
    <mergeCell ref="DX108:EB108"/>
    <mergeCell ref="O92:O93"/>
    <mergeCell ref="O128:O129"/>
    <mergeCell ref="Q115:S118"/>
    <mergeCell ref="K23:M23"/>
    <mergeCell ref="DX12:EB12"/>
    <mergeCell ref="F100:F101"/>
    <mergeCell ref="DJ7:DM7"/>
    <mergeCell ref="L84:L85"/>
    <mergeCell ref="DX7:EB7"/>
    <mergeCell ref="DT24:DW24"/>
    <mergeCell ref="H4:J4"/>
    <mergeCell ref="DX38:EB38"/>
    <mergeCell ref="CJ91:CN91"/>
    <mergeCell ref="CT82:CX82"/>
    <mergeCell ref="DN43:DR43"/>
    <mergeCell ref="CT22:CX22"/>
    <mergeCell ref="DD19:DH19"/>
    <mergeCell ref="DJ35:DM35"/>
    <mergeCell ref="CP39:CS39"/>
    <mergeCell ref="K67:M67"/>
    <mergeCell ref="L112:L113"/>
    <mergeCell ref="DN51:DR51"/>
    <mergeCell ref="CZ30:DC30"/>
    <mergeCell ref="DX33:EB33"/>
    <mergeCell ref="DN34:DR34"/>
    <mergeCell ref="CT9:CX9"/>
    <mergeCell ref="DX25:EB25"/>
    <mergeCell ref="H32:J32"/>
    <mergeCell ref="DT50:DW50"/>
    <mergeCell ref="CZ29:DC29"/>
    <mergeCell ref="DX60:EB60"/>
    <mergeCell ref="DX35:EB35"/>
    <mergeCell ref="DD14:DH14"/>
    <mergeCell ref="DT80:DW80"/>
    <mergeCell ref="CJ20:CN20"/>
    <mergeCell ref="DT52:DW52"/>
    <mergeCell ref="CZ31:DC31"/>
    <mergeCell ref="DT79:DW79"/>
    <mergeCell ref="CJ22:CN22"/>
    <mergeCell ref="CT4:CX4"/>
    <mergeCell ref="L41:L42"/>
    <mergeCell ref="DT81:DW81"/>
    <mergeCell ref="CJ15:CN15"/>
    <mergeCell ref="K87:M87"/>
    <mergeCell ref="CT12:CX12"/>
    <mergeCell ref="DD72:DH72"/>
    <mergeCell ref="CF7:CI7"/>
    <mergeCell ref="K95:M95"/>
    <mergeCell ref="T71:V74"/>
    <mergeCell ref="DD65:DH65"/>
    <mergeCell ref="DX86:EB86"/>
    <mergeCell ref="DN62:DR62"/>
    <mergeCell ref="DX122:EB122"/>
    <mergeCell ref="DN56:DR56"/>
    <mergeCell ref="N131:P131"/>
    <mergeCell ref="DJ79:DM79"/>
    <mergeCell ref="DJ73:DM73"/>
    <mergeCell ref="E51:G51"/>
    <mergeCell ref="BZ139:CC139"/>
    <mergeCell ref="CF89:CI89"/>
    <mergeCell ref="CJ48:CN48"/>
    <mergeCell ref="K90:M90"/>
    <mergeCell ref="DT63:DW63"/>
    <mergeCell ref="CT38:CX38"/>
    <mergeCell ref="B20:D23"/>
    <mergeCell ref="CJ33:CN33"/>
    <mergeCell ref="DJ74:DM74"/>
    <mergeCell ref="T95:V98"/>
    <mergeCell ref="DJ110:DM110"/>
    <mergeCell ref="CJ43:CN43"/>
    <mergeCell ref="K115:M115"/>
    <mergeCell ref="CT40:CX40"/>
    <mergeCell ref="DX104:EB104"/>
    <mergeCell ref="DD83:DH83"/>
    <mergeCell ref="DJ76:DM76"/>
    <mergeCell ref="CP84:CS84"/>
    <mergeCell ref="CJ34:CN34"/>
    <mergeCell ref="CZ100:DC100"/>
    <mergeCell ref="DX106:EB106"/>
    <mergeCell ref="DD85:DH85"/>
    <mergeCell ref="K19:M19"/>
    <mergeCell ref="CZ110:DC110"/>
    <mergeCell ref="DJ101:DM101"/>
    <mergeCell ref="CP80:CS80"/>
    <mergeCell ref="DX105:EB105"/>
    <mergeCell ref="DD84:DH84"/>
    <mergeCell ref="DX99:EB99"/>
    <mergeCell ref="CJ59:CN59"/>
    <mergeCell ref="DN75:DR75"/>
    <mergeCell ref="L49:L50"/>
    <mergeCell ref="DJ92:DM92"/>
    <mergeCell ref="DX101:EB101"/>
    <mergeCell ref="DD80:DH80"/>
    <mergeCell ref="B48:D51"/>
    <mergeCell ref="CJ61:CN61"/>
    <mergeCell ref="DD109:DH109"/>
    <mergeCell ref="CF105:CI105"/>
    <mergeCell ref="DD111:DH111"/>
    <mergeCell ref="CT122:CX122"/>
    <mergeCell ref="E118:G118"/>
    <mergeCell ref="CT105:CX105"/>
    <mergeCell ref="CP8:CS8"/>
    <mergeCell ref="DN128:DR128"/>
    <mergeCell ref="CP10:CS10"/>
    <mergeCell ref="CZ129:DC129"/>
    <mergeCell ref="DX29:EB29"/>
    <mergeCell ref="DD8:DH8"/>
    <mergeCell ref="CZ123:DC123"/>
    <mergeCell ref="DX31:EB31"/>
    <mergeCell ref="DD10:DH10"/>
    <mergeCell ref="DJ26:DM26"/>
    <mergeCell ref="CP5:CS5"/>
    <mergeCell ref="CJ105:CN105"/>
    <mergeCell ref="Q8:S11"/>
    <mergeCell ref="CT133:CX133"/>
    <mergeCell ref="DT77:DW77"/>
    <mergeCell ref="F112:F113"/>
    <mergeCell ref="DJ42:DM42"/>
    <mergeCell ref="E20:G20"/>
    <mergeCell ref="CP21:CS21"/>
    <mergeCell ref="DD36:DH36"/>
    <mergeCell ref="DD28:DH28"/>
    <mergeCell ref="CZ53:DC53"/>
    <mergeCell ref="CF32:CI32"/>
    <mergeCell ref="DJ44:DM44"/>
    <mergeCell ref="CP23:CS23"/>
    <mergeCell ref="DN60:DR60"/>
    <mergeCell ref="K86:M86"/>
    <mergeCell ref="CZ55:DC55"/>
    <mergeCell ref="H16:J16"/>
    <mergeCell ref="CT5:CX5"/>
    <mergeCell ref="Q28:S31"/>
    <mergeCell ref="DX44:EB44"/>
    <mergeCell ref="CJ4:CN4"/>
    <mergeCell ref="N59:P59"/>
    <mergeCell ref="T91:V94"/>
    <mergeCell ref="CJ39:CN39"/>
    <mergeCell ref="DN55:DR55"/>
    <mergeCell ref="CT36:CX36"/>
    <mergeCell ref="CT30:CX30"/>
    <mergeCell ref="DD54:DH54"/>
    <mergeCell ref="DJ72:DM72"/>
    <mergeCell ref="CF58:CI58"/>
    <mergeCell ref="DT90:DW90"/>
    <mergeCell ref="CP49:CS49"/>
    <mergeCell ref="CT65:CX65"/>
    <mergeCell ref="DD56:DH56"/>
    <mergeCell ref="H67:J67"/>
    <mergeCell ref="CF16:CI16"/>
    <mergeCell ref="CT31:CX31"/>
    <mergeCell ref="CP76:CS76"/>
    <mergeCell ref="H103:J103"/>
    <mergeCell ref="I9:I10"/>
    <mergeCell ref="DD49:DH49"/>
    <mergeCell ref="DN71:DR71"/>
    <mergeCell ref="DJ96:DM96"/>
    <mergeCell ref="K114:M114"/>
    <mergeCell ref="CF18:CI18"/>
    <mergeCell ref="CZ66:DC66"/>
    <mergeCell ref="DT87:DW87"/>
    <mergeCell ref="DX103:EB103"/>
    <mergeCell ref="DX97:EB97"/>
    <mergeCell ref="CJ57:CN57"/>
    <mergeCell ref="DJ98:DM98"/>
    <mergeCell ref="CP77:CS77"/>
    <mergeCell ref="H98:J98"/>
    <mergeCell ref="K99:M99"/>
    <mergeCell ref="DT116:DW116"/>
    <mergeCell ref="T119:V122"/>
    <mergeCell ref="DD107:DH107"/>
    <mergeCell ref="B4:D7"/>
    <mergeCell ref="DJ83:DM83"/>
    <mergeCell ref="CF42:CI42"/>
    <mergeCell ref="DT118:DW118"/>
    <mergeCell ref="CJ58:CN58"/>
    <mergeCell ref="CF103:CI103"/>
    <mergeCell ref="K130:M130"/>
    <mergeCell ref="CJ52:CN52"/>
    <mergeCell ref="CT49:CX49"/>
    <mergeCell ref="CF44:CI44"/>
    <mergeCell ref="H131:J131"/>
    <mergeCell ref="W91:CC94"/>
    <mergeCell ref="H87:J87"/>
    <mergeCell ref="I37:I38"/>
    <mergeCell ref="DD102:DH102"/>
    <mergeCell ref="O21:O22"/>
    <mergeCell ref="CT78:CX78"/>
    <mergeCell ref="DN99:DR99"/>
    <mergeCell ref="CF98:CI98"/>
    <mergeCell ref="DJ116:DM116"/>
    <mergeCell ref="CP95:CS95"/>
    <mergeCell ref="DD110:DH110"/>
    <mergeCell ref="DT134:DW134"/>
    <mergeCell ref="DJ109:DM109"/>
    <mergeCell ref="K127:M127"/>
    <mergeCell ref="H82:J82"/>
    <mergeCell ref="DJ139:DM139"/>
    <mergeCell ref="DX116:EB116"/>
    <mergeCell ref="N11:P11"/>
    <mergeCell ref="F29:F30"/>
    <mergeCell ref="T2:V3"/>
    <mergeCell ref="CJ114:CN114"/>
    <mergeCell ref="DJ111:DM111"/>
    <mergeCell ref="DJ2:DR3"/>
    <mergeCell ref="I65:I66"/>
    <mergeCell ref="CP90:CS90"/>
    <mergeCell ref="CT129:CX129"/>
    <mergeCell ref="CZ122:DC122"/>
    <mergeCell ref="DT48:DW48"/>
    <mergeCell ref="DD120:DH120"/>
    <mergeCell ref="DJ140:DM140"/>
    <mergeCell ref="CP121:CS121"/>
    <mergeCell ref="DT14:DW14"/>
    <mergeCell ref="CJ71:CN71"/>
    <mergeCell ref="CT131:CX131"/>
    <mergeCell ref="CF126:CI126"/>
    <mergeCell ref="N39:P39"/>
    <mergeCell ref="DD121:DH121"/>
    <mergeCell ref="E99:G99"/>
    <mergeCell ref="L92:L93"/>
    <mergeCell ref="CZ138:DC138"/>
    <mergeCell ref="CZ132:DC132"/>
    <mergeCell ref="H12:J12"/>
    <mergeCell ref="CZ9:DC9"/>
    <mergeCell ref="H48:J48"/>
    <mergeCell ref="CZ140:DC140"/>
    <mergeCell ref="DJ41:DM41"/>
    <mergeCell ref="CT113:CX113"/>
    <mergeCell ref="H43:J43"/>
    <mergeCell ref="T64:V67"/>
    <mergeCell ref="CP45:CS45"/>
    <mergeCell ref="CP134:CS134"/>
    <mergeCell ref="CP47:CS47"/>
    <mergeCell ref="H74:J74"/>
    <mergeCell ref="W28:CC31"/>
    <mergeCell ref="CF139:CI139"/>
    <mergeCell ref="CP46:CS46"/>
    <mergeCell ref="DD134:DH134"/>
    <mergeCell ref="CZ37:DC37"/>
    <mergeCell ref="E31:G31"/>
    <mergeCell ref="DD47:DH47"/>
    <mergeCell ref="I104:I105"/>
    <mergeCell ref="DT32:DW32"/>
    <mergeCell ref="DT112:DW112"/>
    <mergeCell ref="CF38:CI38"/>
    <mergeCell ref="DT114:DW114"/>
    <mergeCell ref="CF40:CI40"/>
    <mergeCell ref="CF67:CI67"/>
    <mergeCell ref="DN36:DR36"/>
    <mergeCell ref="W56:CC59"/>
    <mergeCell ref="O17:O18"/>
    <mergeCell ref="CT76:CX76"/>
    <mergeCell ref="H122:J122"/>
    <mergeCell ref="CP59:CS59"/>
    <mergeCell ref="K123:M123"/>
    <mergeCell ref="E44:G44"/>
    <mergeCell ref="CP86:CS86"/>
    <mergeCell ref="DT125:DW125"/>
    <mergeCell ref="N8:P8"/>
    <mergeCell ref="CP117:CS117"/>
    <mergeCell ref="DT127:DW127"/>
    <mergeCell ref="O45:O46"/>
    <mergeCell ref="CF87:CI87"/>
    <mergeCell ref="CP119:CS119"/>
    <mergeCell ref="DX79:EB79"/>
    <mergeCell ref="DD117:DH117"/>
    <mergeCell ref="W75:CC78"/>
    <mergeCell ref="L29:L30"/>
    <mergeCell ref="CP112:CS112"/>
    <mergeCell ref="CF82:CI82"/>
    <mergeCell ref="DD119:DH119"/>
    <mergeCell ref="F9:F10"/>
    <mergeCell ref="CJ94:CN94"/>
    <mergeCell ref="CP114:CS114"/>
    <mergeCell ref="CF113:CI113"/>
    <mergeCell ref="B69:D70"/>
    <mergeCell ref="CJ129:CN129"/>
    <mergeCell ref="CJ123:CN123"/>
    <mergeCell ref="DJ120:DM120"/>
    <mergeCell ref="E98:G98"/>
    <mergeCell ref="CJ95:CN95"/>
    <mergeCell ref="CJ89:CN89"/>
    <mergeCell ref="CJ97:CN97"/>
    <mergeCell ref="CP130:CS130"/>
    <mergeCell ref="CJ124:CN124"/>
    <mergeCell ref="CT115:CX115"/>
    <mergeCell ref="CF141:CI141"/>
    <mergeCell ref="N23:P23"/>
    <mergeCell ref="CP132:CS132"/>
    <mergeCell ref="DD130:DH130"/>
    <mergeCell ref="I100:I101"/>
    <mergeCell ref="CZ35:DC35"/>
    <mergeCell ref="CJ113:CN113"/>
    <mergeCell ref="CP127:CS127"/>
    <mergeCell ref="N74:P74"/>
    <mergeCell ref="CJ108:CN108"/>
    <mergeCell ref="W52:CC55"/>
    <mergeCell ref="W60:CC63"/>
    <mergeCell ref="I120:I121"/>
    <mergeCell ref="DX24:EB24"/>
    <mergeCell ref="CP57:CS57"/>
    <mergeCell ref="CT10:CX10"/>
    <mergeCell ref="T99:V102"/>
    <mergeCell ref="CT39:CX39"/>
    <mergeCell ref="Q56:S59"/>
    <mergeCell ref="O41:O42"/>
    <mergeCell ref="DD30:DH30"/>
    <mergeCell ref="N87:P87"/>
    <mergeCell ref="W71:CC74"/>
    <mergeCell ref="DT67:DW67"/>
    <mergeCell ref="DX77:EB77"/>
    <mergeCell ref="O72:O73"/>
    <mergeCell ref="F132:F133"/>
    <mergeCell ref="E67:G67"/>
    <mergeCell ref="CJ32:CN32"/>
    <mergeCell ref="CT29:CX29"/>
    <mergeCell ref="CT23:CX23"/>
    <mergeCell ref="K106:M106"/>
    <mergeCell ref="CF104:CI104"/>
    <mergeCell ref="Q119:S122"/>
    <mergeCell ref="DN79:DR79"/>
    <mergeCell ref="Q75:S78"/>
    <mergeCell ref="DN73:DR73"/>
    <mergeCell ref="DX95:EB95"/>
    <mergeCell ref="L53:L54"/>
    <mergeCell ref="CF106:CI106"/>
    <mergeCell ref="N19:P19"/>
    <mergeCell ref="CJ122:CN122"/>
    <mergeCell ref="DX96:EB96"/>
    <mergeCell ref="DJ91:DM91"/>
    <mergeCell ref="DD100:DH100"/>
    <mergeCell ref="F57:F58"/>
    <mergeCell ref="K36:M36"/>
    <mergeCell ref="DN92:DR92"/>
    <mergeCell ref="DN5:DR5"/>
    <mergeCell ref="DX124:EB124"/>
    <mergeCell ref="DX118:EB118"/>
    <mergeCell ref="K31:M31"/>
    <mergeCell ref="DJ15:DM15"/>
    <mergeCell ref="DT12:DW12"/>
    <mergeCell ref="DX22:EB22"/>
    <mergeCell ref="DX134:EB134"/>
    <mergeCell ref="DT7:DW7"/>
    <mergeCell ref="DX46:EB46"/>
    <mergeCell ref="DN16:DR16"/>
    <mergeCell ref="H20:J20"/>
    <mergeCell ref="CP20:CS20"/>
    <mergeCell ref="DT38:DW38"/>
    <mergeCell ref="CZ11:DC11"/>
    <mergeCell ref="DJ33:DM33"/>
    <mergeCell ref="DX48:EB48"/>
    <mergeCell ref="DD27:DH27"/>
    <mergeCell ref="DN18:DR18"/>
    <mergeCell ref="DJ43:DM43"/>
    <mergeCell ref="DJ34:DM34"/>
    <mergeCell ref="CP9:CS9"/>
    <mergeCell ref="K75:M75"/>
    <mergeCell ref="W64:CC67"/>
    <mergeCell ref="DJ136:DR137"/>
    <mergeCell ref="DN42:DR42"/>
    <mergeCell ref="N111:P111"/>
    <mergeCell ref="CF20:CI20"/>
    <mergeCell ref="DJ59:DM59"/>
    <mergeCell ref="CJ5:CN5"/>
    <mergeCell ref="CP38:CS38"/>
    <mergeCell ref="DD9:DH9"/>
    <mergeCell ref="DN44:DR44"/>
    <mergeCell ref="N119:P119"/>
    <mergeCell ref="DD45:DH45"/>
    <mergeCell ref="O25:O26"/>
    <mergeCell ref="CP4:CS4"/>
    <mergeCell ref="CT20:CX20"/>
    <mergeCell ref="CP40:CS40"/>
    <mergeCell ref="DD11:DH11"/>
    <mergeCell ref="DX59:EB59"/>
    <mergeCell ref="CF15:CI15"/>
    <mergeCell ref="K103:M103"/>
    <mergeCell ref="CZ72:DC72"/>
    <mergeCell ref="CF51:CI51"/>
    <mergeCell ref="DJ54:DM54"/>
    <mergeCell ref="L9:L10"/>
    <mergeCell ref="CP92:CS92"/>
    <mergeCell ref="N114:P114"/>
    <mergeCell ref="DX61:EB61"/>
    <mergeCell ref="B8:D11"/>
    <mergeCell ref="DT122:DW122"/>
    <mergeCell ref="DT78:DW78"/>
    <mergeCell ref="H69:J70"/>
    <mergeCell ref="DN72:DR72"/>
    <mergeCell ref="CP94:CS94"/>
    <mergeCell ref="CT46:CX46"/>
    <mergeCell ref="DD37:DH37"/>
    <mergeCell ref="CJ16:CN16"/>
    <mergeCell ref="Q99:S102"/>
    <mergeCell ref="DD98:DH98"/>
    <mergeCell ref="N130:P130"/>
    <mergeCell ref="CF33:CI33"/>
    <mergeCell ref="CJ18:CN18"/>
    <mergeCell ref="DN88:DR88"/>
    <mergeCell ref="L37:L38"/>
    <mergeCell ref="CZ83:DC83"/>
    <mergeCell ref="DX114:EB114"/>
    <mergeCell ref="DD93:DH93"/>
    <mergeCell ref="DN90:DR90"/>
    <mergeCell ref="CZ85:DC85"/>
    <mergeCell ref="DT133:DW133"/>
    <mergeCell ref="I21:I22"/>
    <mergeCell ref="DN83:DR83"/>
    <mergeCell ref="CJ103:CN103"/>
    <mergeCell ref="W2:CC3"/>
    <mergeCell ref="CT66:CX66"/>
    <mergeCell ref="L65:L66"/>
    <mergeCell ref="CJ77:CN77"/>
    <mergeCell ref="CT59:CX59"/>
    <mergeCell ref="CJ98:CN98"/>
    <mergeCell ref="DN141:DR141"/>
    <mergeCell ref="DN116:DR116"/>
    <mergeCell ref="CT95:CX95"/>
    <mergeCell ref="DT39:DW39"/>
    <mergeCell ref="CT89:CX89"/>
    <mergeCell ref="DX132:EB132"/>
    <mergeCell ref="DT5:DW5"/>
    <mergeCell ref="K55:M55"/>
    <mergeCell ref="N56:P56"/>
    <mergeCell ref="CT97:CX97"/>
    <mergeCell ref="CZ13:DC13"/>
    <mergeCell ref="DJ4:DM4"/>
    <mergeCell ref="O120:O121"/>
    <mergeCell ref="DJ39:DM39"/>
    <mergeCell ref="DX133:EB133"/>
    <mergeCell ref="DX127:EB127"/>
    <mergeCell ref="CZ15:DC15"/>
    <mergeCell ref="DT30:DW30"/>
    <mergeCell ref="K40:M40"/>
    <mergeCell ref="CJ87:CN87"/>
    <mergeCell ref="DN13:DR13"/>
    <mergeCell ref="DJ128:DM128"/>
    <mergeCell ref="DX4:EB4"/>
    <mergeCell ref="DT29:DW29"/>
    <mergeCell ref="CZ8:DC8"/>
    <mergeCell ref="DT65:DW65"/>
    <mergeCell ref="K71:M71"/>
    <mergeCell ref="DN38:DR38"/>
    <mergeCell ref="DT31:DW31"/>
    <mergeCell ref="CZ10:DC10"/>
    <mergeCell ref="DT58:DW58"/>
    <mergeCell ref="CJ88:CN88"/>
    <mergeCell ref="CZ25:DC25"/>
    <mergeCell ref="DN40:DR40"/>
    <mergeCell ref="CJ90:CN90"/>
    <mergeCell ref="DT60:DW60"/>
    <mergeCell ref="DD138:DH138"/>
    <mergeCell ref="DD132:DH132"/>
    <mergeCell ref="DJ57:DM57"/>
    <mergeCell ref="CP36:CS36"/>
    <mergeCell ref="DD51:DH51"/>
    <mergeCell ref="K74:M74"/>
    <mergeCell ref="CF22:CI22"/>
    <mergeCell ref="DN41:DR41"/>
    <mergeCell ref="N110:P110"/>
    <mergeCell ref="E2:G3"/>
    <mergeCell ref="DJ58:DM58"/>
    <mergeCell ref="DJ52:DM52"/>
    <mergeCell ref="CP31:CS31"/>
    <mergeCell ref="H31:J31"/>
    <mergeCell ref="DT49:DW49"/>
    <mergeCell ref="CZ28:DC28"/>
    <mergeCell ref="T79:V82"/>
    <mergeCell ref="B87:D90"/>
    <mergeCell ref="DD67:DH67"/>
    <mergeCell ref="DJ60:DM60"/>
    <mergeCell ref="DT42:DW42"/>
    <mergeCell ref="H60:J60"/>
    <mergeCell ref="B95:D98"/>
    <mergeCell ref="CJ12:CN12"/>
    <mergeCell ref="DT44:DW44"/>
    <mergeCell ref="CF29:CI29"/>
    <mergeCell ref="CF4:CI4"/>
    <mergeCell ref="CJ14:CN14"/>
    <mergeCell ref="DD62:DH62"/>
    <mergeCell ref="DJ55:DM55"/>
    <mergeCell ref="DN59:DR59"/>
    <mergeCell ref="L33:L34"/>
    <mergeCell ref="CZ79:DC79"/>
    <mergeCell ref="CZ54:DC54"/>
    <mergeCell ref="DX85:EB85"/>
    <mergeCell ref="DD64:DH64"/>
    <mergeCell ref="DJ80:DM80"/>
    <mergeCell ref="CZ81:DC81"/>
    <mergeCell ref="CZ56:DC56"/>
    <mergeCell ref="DT129:DW129"/>
    <mergeCell ref="B115:D118"/>
    <mergeCell ref="CJ38:CN38"/>
    <mergeCell ref="DN54:DR54"/>
    <mergeCell ref="DJ71:DM71"/>
    <mergeCell ref="DT131:DW131"/>
    <mergeCell ref="E43:G43"/>
    <mergeCell ref="Q64:S67"/>
    <mergeCell ref="DN81:DR81"/>
    <mergeCell ref="CJ40:CN40"/>
    <mergeCell ref="CT62:CX62"/>
    <mergeCell ref="CZ76:DC76"/>
    <mergeCell ref="CF84:CI84"/>
    <mergeCell ref="CP75:CS75"/>
    <mergeCell ref="E131:G131"/>
    <mergeCell ref="DN112:DR112"/>
    <mergeCell ref="CT91:CX91"/>
    <mergeCell ref="DD82:DH82"/>
    <mergeCell ref="DT126:DW126"/>
    <mergeCell ref="K138:M138"/>
    <mergeCell ref="CZ107:DC107"/>
    <mergeCell ref="CF86:CI86"/>
    <mergeCell ref="CT57:CX57"/>
    <mergeCell ref="CT93:CX93"/>
    <mergeCell ref="DD75:DH75"/>
    <mergeCell ref="DT113:DW113"/>
    <mergeCell ref="CZ92:DC92"/>
    <mergeCell ref="DN107:DR107"/>
    <mergeCell ref="CT86:CX86"/>
    <mergeCell ref="CZ102:DC102"/>
    <mergeCell ref="I53:I54"/>
    <mergeCell ref="CT117:CX117"/>
    <mergeCell ref="E69:G70"/>
    <mergeCell ref="CZ6:DC6"/>
    <mergeCell ref="CJ84:CN84"/>
    <mergeCell ref="CT119:CX119"/>
    <mergeCell ref="E115:G115"/>
    <mergeCell ref="CT75:CX75"/>
    <mergeCell ref="N27:P27"/>
    <mergeCell ref="CJ86:CN86"/>
    <mergeCell ref="CJ80:CN80"/>
    <mergeCell ref="DN125:DR125"/>
    <mergeCell ref="CP129:CS129"/>
    <mergeCell ref="CZ120:DC120"/>
    <mergeCell ref="CF99:CI99"/>
    <mergeCell ref="DN127:DR127"/>
    <mergeCell ref="CP131:CS131"/>
    <mergeCell ref="DX28:EB28"/>
    <mergeCell ref="DJ23:DM23"/>
    <mergeCell ref="DN39:DR39"/>
    <mergeCell ref="CJ112:CN112"/>
    <mergeCell ref="CT130:CX130"/>
    <mergeCell ref="T52:V55"/>
    <mergeCell ref="CJ141:CN141"/>
    <mergeCell ref="DT40:DW40"/>
    <mergeCell ref="CT132:CX132"/>
    <mergeCell ref="DT76:DW76"/>
    <mergeCell ref="W16:CC19"/>
    <mergeCell ref="DJ51:DM51"/>
    <mergeCell ref="CZ50:DC50"/>
    <mergeCell ref="DD35:DH35"/>
    <mergeCell ref="CP55:CS55"/>
    <mergeCell ref="K83:M83"/>
    <mergeCell ref="CZ52:DC52"/>
    <mergeCell ref="CF31:CI31"/>
    <mergeCell ref="DN50:DR50"/>
    <mergeCell ref="L120:L121"/>
    <mergeCell ref="CT25:CX25"/>
    <mergeCell ref="CZ45:DC45"/>
    <mergeCell ref="B119:D122"/>
    <mergeCell ref="DT102:DW102"/>
    <mergeCell ref="E39:G39"/>
    <mergeCell ref="CJ36:CN36"/>
    <mergeCell ref="Q136:S136"/>
    <mergeCell ref="CZ47:DC47"/>
    <mergeCell ref="CF26:CI26"/>
    <mergeCell ref="DT95:DW95"/>
    <mergeCell ref="CJ125:CN125"/>
    <mergeCell ref="CJ127:CN127"/>
    <mergeCell ref="DT97:DW97"/>
    <mergeCell ref="CF57:CI57"/>
    <mergeCell ref="CT28:CX28"/>
    <mergeCell ref="CP73:CS73"/>
    <mergeCell ref="CF23:CI23"/>
    <mergeCell ref="CZ63:DC63"/>
    <mergeCell ref="DJ95:DM95"/>
    <mergeCell ref="CP74:CS74"/>
    <mergeCell ref="DJ89:DM89"/>
    <mergeCell ref="H95:J95"/>
    <mergeCell ref="I132:I133"/>
    <mergeCell ref="DD104:DH104"/>
    <mergeCell ref="DJ97:DM97"/>
    <mergeCell ref="DJ124:DM124"/>
    <mergeCell ref="Q79:S82"/>
    <mergeCell ref="DT115:DW115"/>
    <mergeCell ref="CJ49:CN49"/>
    <mergeCell ref="CZ91:DC91"/>
    <mergeCell ref="DJ126:DM126"/>
    <mergeCell ref="BW139:BY139"/>
    <mergeCell ref="E83:G83"/>
    <mergeCell ref="DD99:DH99"/>
    <mergeCell ref="N106:P106"/>
    <mergeCell ref="DT141:DW141"/>
    <mergeCell ref="B127:D130"/>
    <mergeCell ref="CZ116:DC116"/>
    <mergeCell ref="O53:O54"/>
    <mergeCell ref="CF95:CI95"/>
    <mergeCell ref="CT110:CX110"/>
    <mergeCell ref="DD101:DH101"/>
    <mergeCell ref="CP102:CS102"/>
    <mergeCell ref="CZ118:DC118"/>
    <mergeCell ref="CF97:CI97"/>
    <mergeCell ref="W83:CC86"/>
    <mergeCell ref="E78:G78"/>
    <mergeCell ref="E114:G114"/>
    <mergeCell ref="H115:J115"/>
    <mergeCell ref="CZ117:DC117"/>
    <mergeCell ref="CF96:CI96"/>
    <mergeCell ref="DJ108:DM108"/>
    <mergeCell ref="E86:G86"/>
    <mergeCell ref="CP87:CS87"/>
    <mergeCell ref="Q107:S110"/>
    <mergeCell ref="H27:J27"/>
    <mergeCell ref="T48:V51"/>
    <mergeCell ref="CZ119:DC119"/>
    <mergeCell ref="CT128:CX128"/>
    <mergeCell ref="W12:CC15"/>
    <mergeCell ref="CF123:CI123"/>
    <mergeCell ref="N36:P36"/>
    <mergeCell ref="L72:L73"/>
    <mergeCell ref="O100:O101"/>
    <mergeCell ref="CP138:CS138"/>
    <mergeCell ref="CP113:CS113"/>
    <mergeCell ref="K2:M3"/>
    <mergeCell ref="CF136:CN137"/>
    <mergeCell ref="E8:G8"/>
    <mergeCell ref="CZ139:DC139"/>
    <mergeCell ref="CP140:CS140"/>
    <mergeCell ref="CZ130:DC130"/>
    <mergeCell ref="CJ121:CN121"/>
    <mergeCell ref="DN20:DR20"/>
    <mergeCell ref="N64:P64"/>
    <mergeCell ref="F76:F77"/>
    <mergeCell ref="CF134:CI134"/>
    <mergeCell ref="DT93:DW93"/>
    <mergeCell ref="CP44:CS44"/>
    <mergeCell ref="K48:M48"/>
    <mergeCell ref="CF55:CI55"/>
    <mergeCell ref="DN15:DR15"/>
    <mergeCell ref="CP37:CS37"/>
    <mergeCell ref="CT53:CX53"/>
    <mergeCell ref="DD44:DH44"/>
    <mergeCell ref="CF48:CI48"/>
    <mergeCell ref="F92:F93"/>
    <mergeCell ref="CT55:CX55"/>
    <mergeCell ref="I128:I129"/>
    <mergeCell ref="E23:G23"/>
    <mergeCell ref="Q44:S47"/>
    <mergeCell ref="N75:P75"/>
    <mergeCell ref="CJ134:CN134"/>
    <mergeCell ref="CF37:CI37"/>
    <mergeCell ref="DN33:DR33"/>
    <mergeCell ref="N102:P102"/>
    <mergeCell ref="L13:L14"/>
    <mergeCell ref="B123:D126"/>
    <mergeCell ref="DX65:EB65"/>
    <mergeCell ref="CF66:CI66"/>
    <mergeCell ref="CZ89:DC89"/>
    <mergeCell ref="W79:CC82"/>
    <mergeCell ref="N103:P103"/>
    <mergeCell ref="I25:I26"/>
    <mergeCell ref="DN87:DR87"/>
    <mergeCell ref="E110:G110"/>
    <mergeCell ref="CZ82:DC82"/>
    <mergeCell ref="DN89:DR89"/>
    <mergeCell ref="H106:J106"/>
    <mergeCell ref="CF119:CI119"/>
    <mergeCell ref="N7:P7"/>
    <mergeCell ref="O96:O97"/>
    <mergeCell ref="CP109:CS109"/>
    <mergeCell ref="W107:CC110"/>
    <mergeCell ref="DX78:EB78"/>
    <mergeCell ref="H130:J130"/>
    <mergeCell ref="O37:O38"/>
    <mergeCell ref="CT94:CX94"/>
    <mergeCell ref="W99:CC102"/>
    <mergeCell ref="E94:G94"/>
    <mergeCell ref="K122:M122"/>
    <mergeCell ref="CP111:CS111"/>
    <mergeCell ref="DX80:EB80"/>
    <mergeCell ref="CF122:CI122"/>
    <mergeCell ref="E95:G95"/>
    <mergeCell ref="F45:F46"/>
    <mergeCell ref="N60:P60"/>
    <mergeCell ref="F72:F73"/>
    <mergeCell ref="DN105:DR105"/>
    <mergeCell ref="O124:O125"/>
    <mergeCell ref="Q111:S114"/>
    <mergeCell ref="CF138:CI138"/>
    <mergeCell ref="CF132:CI132"/>
    <mergeCell ref="DX8:EB8"/>
    <mergeCell ref="N55:P55"/>
    <mergeCell ref="DX10:EB10"/>
    <mergeCell ref="CF133:CI133"/>
    <mergeCell ref="E123:G123"/>
    <mergeCell ref="DJ5:DM5"/>
    <mergeCell ref="B40:D43"/>
    <mergeCell ref="H64:J64"/>
    <mergeCell ref="DT20:DW20"/>
    <mergeCell ref="N71:P71"/>
    <mergeCell ref="DX5:EB5"/>
    <mergeCell ref="O108:O109"/>
    <mergeCell ref="DD13:DH13"/>
    <mergeCell ref="DN29:DR29"/>
    <mergeCell ref="DN4:DR4"/>
    <mergeCell ref="DT22:DW22"/>
    <mergeCell ref="DD15:DH15"/>
    <mergeCell ref="DX30:EB30"/>
    <mergeCell ref="DN31:DR31"/>
    <mergeCell ref="DN24:DR24"/>
    <mergeCell ref="DX21:EB21"/>
    <mergeCell ref="DT46:DW46"/>
    <mergeCell ref="E134:G134"/>
    <mergeCell ref="DJ16:DM16"/>
    <mergeCell ref="H2:J3"/>
    <mergeCell ref="DN32:DR32"/>
    <mergeCell ref="E47:G47"/>
    <mergeCell ref="CT7:CX7"/>
    <mergeCell ref="DX23:EB23"/>
    <mergeCell ref="CZ27:DC27"/>
    <mergeCell ref="DJ18:DM18"/>
    <mergeCell ref="DN57:DR57"/>
    <mergeCell ref="CT8:CX8"/>
    <mergeCell ref="E63:G63"/>
    <mergeCell ref="K91:M91"/>
    <mergeCell ref="DN58:DR58"/>
    <mergeCell ref="W103:CC106"/>
    <mergeCell ref="DN52:DR52"/>
    <mergeCell ref="DX74:EB74"/>
    <mergeCell ref="DX49:EB49"/>
    <mergeCell ref="O33:O34"/>
    <mergeCell ref="BW136:CC137"/>
    <mergeCell ref="DX76:EB76"/>
    <mergeCell ref="DT59:DW59"/>
    <mergeCell ref="DT89:DW89"/>
    <mergeCell ref="CJ29:CN29"/>
    <mergeCell ref="F41:F42"/>
    <mergeCell ref="DT61:DW61"/>
    <mergeCell ref="CJ31:CN31"/>
    <mergeCell ref="DD79:DH79"/>
    <mergeCell ref="DX100:EB100"/>
    <mergeCell ref="CT21:CX21"/>
    <mergeCell ref="DX102:EB102"/>
    <mergeCell ref="DD81:DH81"/>
    <mergeCell ref="E122:G122"/>
    <mergeCell ref="K15:M15"/>
    <mergeCell ref="DN96:DR96"/>
    <mergeCell ref="DX131:EB131"/>
    <mergeCell ref="DJ88:DM88"/>
    <mergeCell ref="F25:F26"/>
    <mergeCell ref="B36:D39"/>
    <mergeCell ref="T75:V78"/>
    <mergeCell ref="DJ90:DM90"/>
    <mergeCell ref="DX113:EB113"/>
    <mergeCell ref="DD92:DH92"/>
    <mergeCell ref="DN124:DR124"/>
    <mergeCell ref="CT103:CX103"/>
    <mergeCell ref="CP6:CS6"/>
    <mergeCell ref="DX115:EB115"/>
    <mergeCell ref="K28:M28"/>
    <mergeCell ref="DN126:DR126"/>
    <mergeCell ref="E130:G130"/>
    <mergeCell ref="DJ12:DM12"/>
    <mergeCell ref="T12:V15"/>
    <mergeCell ref="DD6:DH6"/>
    <mergeCell ref="DJ14:DM14"/>
    <mergeCell ref="CT92:CX92"/>
    <mergeCell ref="DJ13:DM13"/>
    <mergeCell ref="DT4:DW4"/>
    <mergeCell ref="DX14:EB14"/>
    <mergeCell ref="CJ96:CN96"/>
    <mergeCell ref="T36:V39"/>
    <mergeCell ref="DJ38:DM38"/>
    <mergeCell ref="CP17:CS17"/>
    <mergeCell ref="K56:M56"/>
    <mergeCell ref="CT6:CX6"/>
    <mergeCell ref="H11:J11"/>
    <mergeCell ref="DX45:EB45"/>
    <mergeCell ref="DD24:DH24"/>
    <mergeCell ref="DD18:DH18"/>
    <mergeCell ref="DJ40:DM40"/>
    <mergeCell ref="CP19:CS19"/>
    <mergeCell ref="H19:J19"/>
    <mergeCell ref="CZ41:DC41"/>
    <mergeCell ref="B75:D78"/>
    <mergeCell ref="DX47:EB47"/>
    <mergeCell ref="DD26:DH26"/>
    <mergeCell ref="CZ51:DC51"/>
    <mergeCell ref="DN139:DR139"/>
    <mergeCell ref="CZ34:DC34"/>
    <mergeCell ref="DT91:DW91"/>
    <mergeCell ref="Q24:S27"/>
    <mergeCell ref="DX40:EB40"/>
    <mergeCell ref="CT60:CX60"/>
    <mergeCell ref="DT57:DW57"/>
    <mergeCell ref="DT84:DW84"/>
    <mergeCell ref="F120:F121"/>
    <mergeCell ref="DD50:DH50"/>
    <mergeCell ref="DN66:DR66"/>
    <mergeCell ref="B103:D106"/>
    <mergeCell ref="DT86:DW86"/>
    <mergeCell ref="CF46:CI46"/>
    <mergeCell ref="DD16:DH16"/>
    <mergeCell ref="CT17:CX17"/>
    <mergeCell ref="DX98:EB98"/>
    <mergeCell ref="DD77:DH77"/>
    <mergeCell ref="CT11:CX11"/>
    <mergeCell ref="DD52:DH52"/>
    <mergeCell ref="CF12:CI12"/>
    <mergeCell ref="K94:M94"/>
    <mergeCell ref="CT19:CX19"/>
    <mergeCell ref="DN67:DR67"/>
    <mergeCell ref="CF14:CI14"/>
    <mergeCell ref="CZ62:DC62"/>
    <mergeCell ref="CF41:CI41"/>
    <mergeCell ref="DJ84:DM84"/>
    <mergeCell ref="K102:M102"/>
    <mergeCell ref="DX93:EB93"/>
    <mergeCell ref="BW141:BY141"/>
    <mergeCell ref="DT75:DW75"/>
    <mergeCell ref="CJ53:CN53"/>
    <mergeCell ref="CT44:CX44"/>
    <mergeCell ref="CZ64:DC64"/>
    <mergeCell ref="DJ86:DM86"/>
    <mergeCell ref="L132:L133"/>
    <mergeCell ref="CJ55:CN55"/>
    <mergeCell ref="DN94:DR94"/>
    <mergeCell ref="CT73:CX73"/>
    <mergeCell ref="B131:D134"/>
    <mergeCell ref="CT45:CX45"/>
    <mergeCell ref="DD88:DH88"/>
    <mergeCell ref="DD63:DH63"/>
    <mergeCell ref="DJ81:DM81"/>
    <mergeCell ref="O104:O105"/>
    <mergeCell ref="CT47:CX47"/>
    <mergeCell ref="DN95:DR95"/>
    <mergeCell ref="CT74:CX74"/>
    <mergeCell ref="DX117:EB117"/>
    <mergeCell ref="DD96:DH96"/>
    <mergeCell ref="DX111:EB111"/>
    <mergeCell ref="DD90:DH90"/>
    <mergeCell ref="DJ112:DM112"/>
    <mergeCell ref="CP91:CS91"/>
    <mergeCell ref="DN122:DR122"/>
    <mergeCell ref="DN97:DR97"/>
    <mergeCell ref="DT130:DW130"/>
    <mergeCell ref="B60:D63"/>
    <mergeCell ref="DJ105:DM105"/>
    <mergeCell ref="DT43:DW43"/>
    <mergeCell ref="CP93:CS93"/>
    <mergeCell ref="DJ141:DM141"/>
    <mergeCell ref="CZ75:DC75"/>
    <mergeCell ref="H114:J114"/>
    <mergeCell ref="DD91:DH91"/>
    <mergeCell ref="DX112:EB112"/>
    <mergeCell ref="DT132:DW132"/>
    <mergeCell ref="CJ66:CN66"/>
    <mergeCell ref="DN82:DR82"/>
    <mergeCell ref="DJ107:DM107"/>
    <mergeCell ref="DX141:EB141"/>
    <mergeCell ref="DD116:DH116"/>
    <mergeCell ref="Q91:S94"/>
    <mergeCell ref="CJ67:CN67"/>
    <mergeCell ref="T32:V35"/>
    <mergeCell ref="DD118:DH118"/>
    <mergeCell ref="CP13:CS13"/>
    <mergeCell ref="CZ4:DC4"/>
    <mergeCell ref="DN133:DR133"/>
    <mergeCell ref="DN108:DR108"/>
    <mergeCell ref="DJ36:DM36"/>
    <mergeCell ref="CP15:CS15"/>
    <mergeCell ref="H15:J15"/>
    <mergeCell ref="DX130:EB130"/>
    <mergeCell ref="B71:D74"/>
    <mergeCell ref="N2:P3"/>
    <mergeCell ref="DJ125:DM125"/>
    <mergeCell ref="H8:J8"/>
    <mergeCell ref="Q20:S23"/>
    <mergeCell ref="DJ127:DM127"/>
    <mergeCell ref="DX125:EB125"/>
    <mergeCell ref="DT28:DW28"/>
    <mergeCell ref="CZ7:DC7"/>
    <mergeCell ref="CF140:CI140"/>
    <mergeCell ref="DT69:EB70"/>
    <mergeCell ref="DN37:DR37"/>
    <mergeCell ref="CT138:CX138"/>
    <mergeCell ref="H39:J39"/>
    <mergeCell ref="T60:V63"/>
    <mergeCell ref="K63:M63"/>
    <mergeCell ref="I76:I77"/>
    <mergeCell ref="DD48:DH48"/>
    <mergeCell ref="CF8:CI8"/>
    <mergeCell ref="CT140:CX140"/>
    <mergeCell ref="CP43:CS43"/>
    <mergeCell ref="W24:CC27"/>
    <mergeCell ref="N48:P48"/>
    <mergeCell ref="CZ58:DC58"/>
    <mergeCell ref="CP34:CS34"/>
    <mergeCell ref="W32:CC35"/>
    <mergeCell ref="DJ49:DM49"/>
    <mergeCell ref="E27:G27"/>
    <mergeCell ref="CP28:CS28"/>
    <mergeCell ref="H28:J28"/>
    <mergeCell ref="DD43:DH43"/>
    <mergeCell ref="Q48:S51"/>
    <mergeCell ref="I92:I93"/>
    <mergeCell ref="CZ60:DC60"/>
    <mergeCell ref="CF39:CI39"/>
    <mergeCell ref="CJ138:CN138"/>
    <mergeCell ref="I5:I6"/>
    <mergeCell ref="L128:L129"/>
    <mergeCell ref="CJ9:CN9"/>
    <mergeCell ref="BZ141:CC141"/>
    <mergeCell ref="DJ50:DM50"/>
    <mergeCell ref="DT110:DW110"/>
    <mergeCell ref="H23:J23"/>
    <mergeCell ref="T44:V47"/>
    <mergeCell ref="CP25:CS25"/>
    <mergeCell ref="CT41:CX41"/>
    <mergeCell ref="CJ11:CN11"/>
    <mergeCell ref="DD59:DH59"/>
    <mergeCell ref="CJ133:CN133"/>
    <mergeCell ref="CP54:CS54"/>
    <mergeCell ref="O13:O14"/>
    <mergeCell ref="DD61:DH61"/>
    <mergeCell ref="CF65:CI65"/>
    <mergeCell ref="K126:M126"/>
    <mergeCell ref="CF21:CI21"/>
    <mergeCell ref="CP62:CS62"/>
    <mergeCell ref="H56:J56"/>
    <mergeCell ref="CP56:CS56"/>
    <mergeCell ref="CZ78:DC78"/>
    <mergeCell ref="H83:J83"/>
    <mergeCell ref="CT72:CX72"/>
    <mergeCell ref="K119:M119"/>
    <mergeCell ref="DT92:DW92"/>
    <mergeCell ref="CZ71:DC71"/>
    <mergeCell ref="H110:J110"/>
    <mergeCell ref="T131:V134"/>
    <mergeCell ref="DT128:DW128"/>
    <mergeCell ref="E40:G40"/>
    <mergeCell ref="CP69:CX70"/>
    <mergeCell ref="CJ37:CN37"/>
    <mergeCell ref="DJ103:DM103"/>
    <mergeCell ref="CZ73:DC73"/>
    <mergeCell ref="DT121:DW121"/>
    <mergeCell ref="CT88:CX88"/>
    <mergeCell ref="I17:I18"/>
    <mergeCell ref="DT123:DW123"/>
    <mergeCell ref="CZ104:DC104"/>
    <mergeCell ref="CF83:CI83"/>
    <mergeCell ref="CT54:CX54"/>
    <mergeCell ref="DD114:DH114"/>
    <mergeCell ref="CJ93:CN93"/>
    <mergeCell ref="CF49:CI49"/>
    <mergeCell ref="CJ65:CN65"/>
    <mergeCell ref="K137:M137"/>
    <mergeCell ref="CT56:CX56"/>
    <mergeCell ref="DN104:DR104"/>
    <mergeCell ref="CT83:CX83"/>
    <mergeCell ref="CZ105:DC105"/>
    <mergeCell ref="CZ99:DC99"/>
    <mergeCell ref="CF78:CI78"/>
    <mergeCell ref="DJ121:DM121"/>
    <mergeCell ref="CP100:CS100"/>
    <mergeCell ref="K139:M139"/>
    <mergeCell ref="DN106:DR106"/>
    <mergeCell ref="CT85:CX85"/>
    <mergeCell ref="CP110:CS110"/>
    <mergeCell ref="L80:L81"/>
    <mergeCell ref="B44:D47"/>
    <mergeCell ref="CZ101:DC101"/>
    <mergeCell ref="CF80:CI80"/>
    <mergeCell ref="DJ123:DM123"/>
    <mergeCell ref="I45:I46"/>
    <mergeCell ref="CT109:CX109"/>
    <mergeCell ref="CJ83:CN83"/>
    <mergeCell ref="DT53:DW53"/>
    <mergeCell ref="DJ118:DM118"/>
    <mergeCell ref="I72:I73"/>
    <mergeCell ref="K8:M8"/>
    <mergeCell ref="CT111:CX111"/>
    <mergeCell ref="DT55:DW55"/>
    <mergeCell ref="DD133:DH133"/>
    <mergeCell ref="DD127:DH127"/>
    <mergeCell ref="CP128:CS128"/>
    <mergeCell ref="F33:F34"/>
    <mergeCell ref="CJ78:CN78"/>
    <mergeCell ref="I96:I97"/>
    <mergeCell ref="DJ134:DM134"/>
    <mergeCell ref="DD128:DH128"/>
    <mergeCell ref="CJ109:CN109"/>
    <mergeCell ref="CF10:CI10"/>
    <mergeCell ref="CP123:CS123"/>
    <mergeCell ref="Q4:S7"/>
    <mergeCell ref="CJ104:CN104"/>
    <mergeCell ref="CJ140:CN140"/>
    <mergeCell ref="CJ106:CN106"/>
    <mergeCell ref="CP58:CS58"/>
    <mergeCell ref="H52:J52"/>
    <mergeCell ref="CP52:CS52"/>
    <mergeCell ref="H79:J79"/>
    <mergeCell ref="I116:I117"/>
    <mergeCell ref="DX20:EB20"/>
    <mergeCell ref="CZ42:DC42"/>
    <mergeCell ref="E36:G36"/>
    <mergeCell ref="E11:G11"/>
    <mergeCell ref="CP53:CS53"/>
    <mergeCell ref="H47:J47"/>
    <mergeCell ref="CZ44:DC44"/>
    <mergeCell ref="CJ35:CN35"/>
    <mergeCell ref="B2:D3"/>
    <mergeCell ref="N90:P90"/>
    <mergeCell ref="B111:D114"/>
    <mergeCell ref="DT94:DW94"/>
    <mergeCell ref="N83:P83"/>
    <mergeCell ref="CF45:CI45"/>
    <mergeCell ref="Q60:S63"/>
    <mergeCell ref="CJ30:CN30"/>
    <mergeCell ref="CP63:CS63"/>
    <mergeCell ref="H63:J63"/>
    <mergeCell ref="N91:P91"/>
    <mergeCell ref="CZ95:DC95"/>
    <mergeCell ref="CF74:CI74"/>
    <mergeCell ref="CP71:CS71"/>
    <mergeCell ref="E64:G64"/>
    <mergeCell ref="F128:F129"/>
    <mergeCell ref="CZ97:DC97"/>
    <mergeCell ref="CF76:CI76"/>
    <mergeCell ref="H94:J94"/>
    <mergeCell ref="T115:V118"/>
    <mergeCell ref="DJ87:DM87"/>
    <mergeCell ref="I41:I42"/>
    <mergeCell ref="CZ98:DC98"/>
    <mergeCell ref="O84:O85"/>
    <mergeCell ref="Q71:S74"/>
    <mergeCell ref="DX91:EB91"/>
    <mergeCell ref="CT107:CX107"/>
    <mergeCell ref="O80:O81"/>
    <mergeCell ref="CF102:CI102"/>
    <mergeCell ref="N15:P15"/>
    <mergeCell ref="CP124:CS124"/>
    <mergeCell ref="CF94:CI94"/>
    <mergeCell ref="E75:G75"/>
    <mergeCell ref="CP126:CS126"/>
    <mergeCell ref="CZ108:DC108"/>
    <mergeCell ref="CZ136:DH137"/>
    <mergeCell ref="CJ46:CN46"/>
    <mergeCell ref="CT125:CX125"/>
    <mergeCell ref="E103:G103"/>
    <mergeCell ref="F53:F54"/>
    <mergeCell ref="CJ100:CN100"/>
    <mergeCell ref="CF120:CI120"/>
    <mergeCell ref="K32:M32"/>
    <mergeCell ref="CJ102:CN102"/>
    <mergeCell ref="CT120:CX120"/>
    <mergeCell ref="CF121:CI121"/>
    <mergeCell ref="CF115:CI115"/>
    <mergeCell ref="K27:M27"/>
    <mergeCell ref="N28:P28"/>
    <mergeCell ref="CJ131:CN131"/>
    <mergeCell ref="E7:G7"/>
    <mergeCell ref="CP139:CS139"/>
    <mergeCell ref="DT8:DW8"/>
    <mergeCell ref="F37:F38"/>
    <mergeCell ref="DT10:DW10"/>
    <mergeCell ref="K16:M16"/>
    <mergeCell ref="DN12:DR12"/>
    <mergeCell ref="DX34:EB34"/>
    <mergeCell ref="K11:M11"/>
    <mergeCell ref="CJ115:CN115"/>
    <mergeCell ref="DJ29:DM29"/>
    <mergeCell ref="K47:M47"/>
    <mergeCell ref="DN14:DR14"/>
    <mergeCell ref="E60:G60"/>
    <mergeCell ref="DX36:EB36"/>
    <mergeCell ref="F124:F125"/>
    <mergeCell ref="DJ31:DM31"/>
    <mergeCell ref="CF47:CI47"/>
    <mergeCell ref="DJ24:DM24"/>
    <mergeCell ref="T24:V27"/>
    <mergeCell ref="DT21:DW21"/>
    <mergeCell ref="DJ32:DM32"/>
    <mergeCell ref="N99:P99"/>
    <mergeCell ref="DD41:DH41"/>
    <mergeCell ref="DJ114:DM114"/>
    <mergeCell ref="DD7:DH7"/>
    <mergeCell ref="DD34:DH34"/>
    <mergeCell ref="CP89:CS89"/>
    <mergeCell ref="DN25:DR25"/>
    <mergeCell ref="E71:G71"/>
    <mergeCell ref="N94:P94"/>
    <mergeCell ref="DX57:EB57"/>
    <mergeCell ref="CJ17:CN17"/>
    <mergeCell ref="E79:G79"/>
    <mergeCell ref="H118:J118"/>
    <mergeCell ref="DT103:DW103"/>
    <mergeCell ref="N127:P127"/>
    <mergeCell ref="E74:G74"/>
    <mergeCell ref="Q95:S98"/>
    <mergeCell ref="CT34:CX34"/>
    <mergeCell ref="G138:J138"/>
    <mergeCell ref="DD25:DH25"/>
    <mergeCell ref="DN84:DR84"/>
    <mergeCell ref="DX75:EB75"/>
    <mergeCell ref="CF117:CI117"/>
    <mergeCell ref="L25:L26"/>
    <mergeCell ref="CF111:CI111"/>
    <mergeCell ref="DN86:DR86"/>
    <mergeCell ref="CP108:CS108"/>
    <mergeCell ref="DN80:DR80"/>
    <mergeCell ref="DT6:DW6"/>
    <mergeCell ref="I80:I81"/>
    <mergeCell ref="E87:G87"/>
    <mergeCell ref="DX128:EB128"/>
    <mergeCell ref="DN8:DR8"/>
    <mergeCell ref="N52:P52"/>
    <mergeCell ref="K43:M43"/>
    <mergeCell ref="O116:O117"/>
    <mergeCell ref="DN10:DR10"/>
    <mergeCell ref="DX129:EB129"/>
    <mergeCell ref="O88:O89"/>
    <mergeCell ref="CF130:CI130"/>
    <mergeCell ref="CZ5:DC5"/>
    <mergeCell ref="T20:V23"/>
    <mergeCell ref="CJ85:CN85"/>
    <mergeCell ref="DT17:DW17"/>
    <mergeCell ref="DT11:DW11"/>
    <mergeCell ref="DT27:DW27"/>
    <mergeCell ref="DJ22:DM22"/>
    <mergeCell ref="DT19:DW19"/>
    <mergeCell ref="N63:P63"/>
    <mergeCell ref="CP32:CS32"/>
    <mergeCell ref="W69:CC70"/>
    <mergeCell ref="DN21:DR21"/>
    <mergeCell ref="K64:M64"/>
    <mergeCell ref="DX53:EB53"/>
    <mergeCell ref="DD32:DH32"/>
    <mergeCell ref="CJ13:CN13"/>
    <mergeCell ref="DN23:DR23"/>
    <mergeCell ref="CP27:CS27"/>
    <mergeCell ref="DT45:DW45"/>
    <mergeCell ref="CZ24:DC24"/>
    <mergeCell ref="CZ18:DC18"/>
    <mergeCell ref="F108:F109"/>
    <mergeCell ref="DX55:EB55"/>
    <mergeCell ref="L5:L6"/>
    <mergeCell ref="DT47:DW47"/>
    <mergeCell ref="CZ26:DC26"/>
    <mergeCell ref="DT74:DW74"/>
    <mergeCell ref="B91:D94"/>
    <mergeCell ref="CJ8:CN8"/>
    <mergeCell ref="CJ10:CN10"/>
    <mergeCell ref="DD58:DH58"/>
    <mergeCell ref="K82:M82"/>
    <mergeCell ref="G136:J136"/>
    <mergeCell ref="DN49:DR49"/>
    <mergeCell ref="DX71:EB71"/>
    <mergeCell ref="N118:P118"/>
    <mergeCell ref="DJ66:DM66"/>
    <mergeCell ref="DD60:DH60"/>
    <mergeCell ref="N126:P126"/>
    <mergeCell ref="DX73:EB73"/>
    <mergeCell ref="CZ77:DC77"/>
    <mergeCell ref="DX66:EB66"/>
    <mergeCell ref="E126:G126"/>
    <mergeCell ref="DJ67:DM67"/>
    <mergeCell ref="K110:M110"/>
    <mergeCell ref="DJ61:DM61"/>
    <mergeCell ref="H40:J40"/>
    <mergeCell ref="DT83:DW83"/>
    <mergeCell ref="DN77:DR77"/>
    <mergeCell ref="CJ28:CN28"/>
    <mergeCell ref="DD42:DH42"/>
    <mergeCell ref="CJ21:CN21"/>
    <mergeCell ref="DD78:DH78"/>
    <mergeCell ref="K12:M12"/>
    <mergeCell ref="DJ94:DM94"/>
    <mergeCell ref="DN110:DR110"/>
    <mergeCell ref="CJ23:CN23"/>
    <mergeCell ref="DD71:DH71"/>
    <mergeCell ref="DX92:EB92"/>
    <mergeCell ref="O112:O113"/>
    <mergeCell ref="K136:M136"/>
    <mergeCell ref="CZ88:DC88"/>
    <mergeCell ref="DN103:DR103"/>
    <mergeCell ref="I33:I34"/>
    <mergeCell ref="DD73:DH73"/>
    <mergeCell ref="DX94:EB94"/>
    <mergeCell ref="K7:M7"/>
    <mergeCell ref="CJ54:CN54"/>
    <mergeCell ref="W115:CC118"/>
    <mergeCell ref="CZ96:DC96"/>
    <mergeCell ref="CZ90:DC90"/>
    <mergeCell ref="DT138:DW138"/>
    <mergeCell ref="CJ81:CN81"/>
    <mergeCell ref="DT140:DW140"/>
    <mergeCell ref="E111:G111"/>
    <mergeCell ref="CT71:CX71"/>
    <mergeCell ref="CJ110:CN110"/>
    <mergeCell ref="B28:D31"/>
    <mergeCell ref="CJ76:CN76"/>
    <mergeCell ref="DN121:DR121"/>
    <mergeCell ref="CT100:CX100"/>
    <mergeCell ref="DJ138:DM138"/>
    <mergeCell ref="I61:I62"/>
    <mergeCell ref="DN123:DR123"/>
    <mergeCell ref="CT102:CX102"/>
    <mergeCell ref="DJ9:DM9"/>
    <mergeCell ref="DX138:EB138"/>
    <mergeCell ref="DT41:DW41"/>
    <mergeCell ref="CZ20:DC20"/>
    <mergeCell ref="DJ11:DM11"/>
    <mergeCell ref="DX26:EB26"/>
    <mergeCell ref="DD5:DH5"/>
    <mergeCell ref="DJ133:DM133"/>
    <mergeCell ref="F17:F18"/>
    <mergeCell ref="DN118:DR118"/>
    <mergeCell ref="DX140:EB140"/>
    <mergeCell ref="CZ22:DC22"/>
    <mergeCell ref="T4:V7"/>
    <mergeCell ref="B56:D59"/>
    <mergeCell ref="CZ2:DH3"/>
    <mergeCell ref="DT36:DW36"/>
    <mergeCell ref="DT72:DW72"/>
    <mergeCell ref="CJ6:CN6"/>
    <mergeCell ref="K78:M78"/>
    <mergeCell ref="DN45:DR45"/>
    <mergeCell ref="DX42:EB42"/>
    <mergeCell ref="CZ46:DC46"/>
    <mergeCell ref="DN134:DR134"/>
    <mergeCell ref="DJ37:DM37"/>
    <mergeCell ref="CP16:CS16"/>
    <mergeCell ref="DN53:DR53"/>
    <mergeCell ref="DN47:DR47"/>
    <mergeCell ref="K79:M79"/>
    <mergeCell ref="CZ48:DC48"/>
    <mergeCell ref="CF27:CI27"/>
    <mergeCell ref="DD139:DH139"/>
    <mergeCell ref="DN46:DR46"/>
    <mergeCell ref="CP18:CS18"/>
    <mergeCell ref="L116:L117"/>
    <mergeCell ref="DX37:EB37"/>
    <mergeCell ref="H36:J36"/>
    <mergeCell ref="CP11:CS11"/>
    <mergeCell ref="DT54:DW54"/>
    <mergeCell ref="CZ33:DC33"/>
    <mergeCell ref="DN48:DR48"/>
    <mergeCell ref="CT27:CX27"/>
    <mergeCell ref="DJ93:DM93"/>
    <mergeCell ref="CZ43:DC43"/>
    <mergeCell ref="DJ65:DM65"/>
    <mergeCell ref="DT56:DW56"/>
    <mergeCell ref="Q16:S19"/>
    <mergeCell ref="CT58:CX58"/>
    <mergeCell ref="CF9:CI9"/>
    <mergeCell ref="DT85:DW85"/>
    <mergeCell ref="CJ19:CN19"/>
    <mergeCell ref="CF11:CI11"/>
    <mergeCell ref="CT26:CX26"/>
    <mergeCell ref="CZ59:DC59"/>
    <mergeCell ref="DX90:EB90"/>
    <mergeCell ref="BW138:BY138"/>
    <mergeCell ref="CJ50:CN50"/>
    <mergeCell ref="DX126:EB126"/>
    <mergeCell ref="DT82:DW82"/>
    <mergeCell ref="CZ61:DC61"/>
    <mergeCell ref="H91:J91"/>
    <mergeCell ref="DT109:DW109"/>
    <mergeCell ref="E55:G55"/>
    <mergeCell ref="BW140:BY140"/>
    <mergeCell ref="CP72:CS72"/>
    <mergeCell ref="DT111:DW111"/>
    <mergeCell ref="E48:G48"/>
    <mergeCell ref="CJ45:CN45"/>
    <mergeCell ref="DN61:DR61"/>
    <mergeCell ref="CT42:CX42"/>
    <mergeCell ref="DJ122:DM122"/>
  </mergeCells>
  <dataValidations count="7">
    <dataValidation sqref="Q68:S68 Q135:S135" showDropDown="0" showInputMessage="1" showErrorMessage="1" allowBlank="1" type="list">
      <formula1>$Q$137:$Q$139</formula1>
    </dataValidation>
    <dataValidation sqref="H7:J7 H11:J11 H15:J15 H19:J19 H23:J23 H27:J27 H31:J31 H35:J35 H39:J39 H43:J43 H47:J47 H51:J51 H55:J55 H59:J59 H63:J63 H67:J68 H74:J74 H78:J78 H82:J82 H86:J86 H90:J90 H94:J94 H98:J98 H102:J102 H106:J106 H110:J110 H114:J114 H118:J118 H122:J122 H126:J126 H130:J130 H134:J135" showDropDown="0" showInputMessage="1" showErrorMessage="1" allowBlank="1" error="17時以降は時間外に記入してください。" type="time">
      <formula1>0.333333333333333</formula1>
      <formula2>0.708333333333333</formula2>
    </dataValidation>
    <dataValidation sqref="H4:J4 H8:J8 H12:J12 H16:J16 H20:J20 H24:J24 H28:J28 H32:J32 H36:J36 H40:J40 H44:J44 H48:J48 H52:J52 H56:J56 H60:J60 H64:J64 H71:J71 H75:J75 H79:J79 H83:J83 H87:J87 H91:J91 H95:J95 H99:J99 H103:J103 H107:J107 H111:J111 H115:J115 H119:J119 H123:J123 H127:J127 H131:J131" showDropDown="0" showInputMessage="1" showErrorMessage="1" allowBlank="1" error="8時以前は時間外に記入してください。" type="time">
      <formula1>0.333333333333333</formula1>
      <formula2>0.708333333333333</formula2>
    </dataValidation>
    <dataValidation sqref="K5:M6" showDropDown="0" showInputMessage="1" showErrorMessage="1" allowBlank="1" type="custom">
      <formula1>AND(K1048514&gt;=$K$136,K1048514&lt;=$K$137)+AND(K1048514&gt;=$K$138,K1048514&lt;=$K$139)</formula1>
    </dataValidation>
    <dataValidation sqref="K7:M67 K71:M134" showDropDown="0" showInputMessage="1" showErrorMessage="1" allowBlank="1" error="時間外のみ記載してください。" type="custom">
      <formula1>AND(K7&gt;=$K$136,K7&lt;=$K$137)+AND(K7&gt;=$K$138,K7&lt;=$K$139)</formula1>
    </dataValidation>
    <dataValidation sqref="K4:M4" showDropDown="0" showInputMessage="1" showErrorMessage="1" allowBlank="1" type="custom">
      <formula1>AND(K4&gt;=$K$136,K4&lt;=$K$137)+AND(K4&gt;=$K$138,K4&lt;=$K$139)</formula1>
    </dataValidation>
    <dataValidation sqref="Q4:S67 Q71:S134" showDropDown="0" showInputMessage="1" showErrorMessage="1" allowBlank="1" type="list">
      <formula1>$Q$137:$Q$141</formula1>
    </dataValidation>
  </dataValidations>
  <pageMargins left="0.3149606299212598" right="0.1181102362204725" top="0.3149606299212598" bottom="0" header="0.1968503937007874" footer="0.1968503937007874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B141"/>
  <sheetViews>
    <sheetView showZeros="0" zoomScaleNormal="100" workbookViewId="0">
      <pane xSplit="1" ySplit="3" topLeftCell="B4" activePane="bottomRight" state="frozen"/>
      <selection activeCell="E35" sqref="E35:G35 E32:G32"/>
      <selection pane="topRight" activeCell="E35" sqref="E35:G35 E32:G32"/>
      <selection pane="bottomLeft" activeCell="E35" sqref="E35:G35 E32:G32"/>
      <selection pane="bottomRight" activeCell="B2" sqref="B2:CC3"/>
    </sheetView>
  </sheetViews>
  <sheetFormatPr baseColWidth="8" defaultRowHeight="18.75"/>
  <cols>
    <col width="1.625" customWidth="1" style="1" min="1" max="1"/>
    <col width="3.375" customWidth="1" style="1" min="2" max="2"/>
    <col width="1.625" customWidth="1" style="1" min="3" max="5"/>
    <col width="2.375" customWidth="1" style="1" min="6" max="6"/>
    <col width="2.125" customWidth="1" style="1" min="7" max="7"/>
    <col width="1.625" customWidth="1" style="1" min="8" max="8"/>
    <col width="2.375" customWidth="1" style="1" min="9" max="9"/>
    <col width="2.125" customWidth="1" style="1" min="10" max="10"/>
    <col width="1.625" customWidth="1" style="1" min="11" max="11"/>
    <col width="2.375" customWidth="1" style="1" min="12" max="12"/>
    <col width="2.125" customWidth="1" style="1" min="13" max="13"/>
    <col width="1.625" customWidth="1" style="1" min="14" max="14"/>
    <col width="2.375" customWidth="1" style="1" min="15" max="15"/>
    <col width="2.125" customWidth="1" style="1" min="16" max="16"/>
    <col width="1.875" customWidth="1" style="1" min="17" max="18"/>
    <col width="2.375" customWidth="1" style="1" min="19" max="19"/>
    <col width="1.875" customWidth="1" style="1" min="20" max="21"/>
    <col width="2.375" customWidth="1" style="1" min="22" max="22"/>
    <col width="1.625" customWidth="1" style="1" min="23" max="24"/>
    <col width="3.375" customWidth="1" style="1" min="25" max="25"/>
    <col width="1.125" customWidth="1" style="1" min="26" max="30"/>
    <col width="1.625" customWidth="1" style="1" min="31" max="49"/>
    <col width="3.375" customWidth="1" style="1" min="50" max="50"/>
    <col width="1.625" customWidth="1" style="1" min="51" max="64"/>
    <col width="3.375" customWidth="1" style="1" min="65" max="65"/>
    <col width="1.625" customWidth="1" style="1" min="66" max="75"/>
    <col width="3.375" customWidth="1" style="1" min="76" max="76"/>
    <col width="1.625" customWidth="1" style="1" min="77" max="78"/>
    <col width="1.75" customWidth="1" style="1" min="79" max="85"/>
    <col width="1.625" customWidth="1" style="1" min="86" max="132"/>
    <col width="4.125" customWidth="1" style="1" min="133" max="184"/>
    <col width="9" customWidth="1" style="1" min="185" max="16384"/>
  </cols>
  <sheetData>
    <row r="1" ht="9.949999999999999" customHeight="1" s="337"/>
    <row r="2" ht="14.1" customHeight="1" s="337">
      <c r="B2" s="355" t="inlineStr">
        <is>
          <t>月／日</t>
        </is>
      </c>
      <c r="C2" s="342" t="n"/>
      <c r="D2" s="356" t="n"/>
      <c r="E2" s="357" t="inlineStr">
        <is>
          <t>移 動</t>
        </is>
      </c>
      <c r="F2" s="342" t="n"/>
      <c r="G2" s="356" t="n"/>
      <c r="H2" s="358" t="inlineStr">
        <is>
          <t>作業内　(平日)</t>
        </is>
      </c>
      <c r="I2" s="342" t="n"/>
      <c r="J2" s="356" t="n"/>
      <c r="K2" s="358" t="inlineStr">
        <is>
          <t>作業外　(平日)</t>
        </is>
      </c>
      <c r="L2" s="342" t="n"/>
      <c r="M2" s="356" t="n"/>
      <c r="N2" s="357" t="inlineStr">
        <is>
          <t>休日</t>
        </is>
      </c>
      <c r="O2" s="342" t="n"/>
      <c r="P2" s="356" t="n"/>
      <c r="Q2" s="359" t="inlineStr">
        <is>
          <t>作業者</t>
        </is>
      </c>
      <c r="R2" s="342" t="n"/>
      <c r="S2" s="356" t="n"/>
      <c r="T2" s="359" t="inlineStr">
        <is>
          <t>場  所</t>
        </is>
      </c>
      <c r="U2" s="342" t="n"/>
      <c r="V2" s="356" t="n"/>
      <c r="W2" s="360" t="inlineStr">
        <is>
          <t xml:space="preserve">   作　　　　    　　業　　　    　 　内　　　  　  　　容　</t>
        </is>
      </c>
      <c r="X2" s="342" t="n"/>
      <c r="Y2" s="342" t="n"/>
      <c r="Z2" s="342" t="n"/>
      <c r="AA2" s="342" t="n"/>
      <c r="AB2" s="342" t="n"/>
      <c r="AC2" s="342" t="n"/>
      <c r="AD2" s="342" t="n"/>
      <c r="AE2" s="342" t="n"/>
      <c r="AF2" s="342" t="n"/>
      <c r="AG2" s="342" t="n"/>
      <c r="AH2" s="342" t="n"/>
      <c r="AI2" s="342" t="n"/>
      <c r="AJ2" s="342" t="n"/>
      <c r="AK2" s="342" t="n"/>
      <c r="AL2" s="342" t="n"/>
      <c r="AM2" s="342" t="n"/>
      <c r="AN2" s="342" t="n"/>
      <c r="AO2" s="342" t="n"/>
      <c r="AP2" s="342" t="n"/>
      <c r="AQ2" s="342" t="n"/>
      <c r="AR2" s="342" t="n"/>
      <c r="AS2" s="342" t="n"/>
      <c r="AT2" s="342" t="n"/>
      <c r="AU2" s="342" t="n"/>
      <c r="AV2" s="342" t="n"/>
      <c r="AW2" s="342" t="n"/>
      <c r="AX2" s="342" t="n"/>
      <c r="AY2" s="342" t="n"/>
      <c r="AZ2" s="342" t="n"/>
      <c r="BA2" s="342" t="n"/>
      <c r="BB2" s="342" t="n"/>
      <c r="BC2" s="342" t="n"/>
      <c r="BD2" s="342" t="n"/>
      <c r="BE2" s="342" t="n"/>
      <c r="BF2" s="342" t="n"/>
      <c r="BG2" s="342" t="n"/>
      <c r="BH2" s="342" t="n"/>
      <c r="BI2" s="342" t="n"/>
      <c r="BJ2" s="342" t="n"/>
      <c r="BK2" s="342" t="n"/>
      <c r="BL2" s="342" t="n"/>
      <c r="BM2" s="342" t="n"/>
      <c r="BN2" s="342" t="n"/>
      <c r="BO2" s="342" t="n"/>
      <c r="BP2" s="342" t="n"/>
      <c r="BQ2" s="342" t="n"/>
      <c r="BR2" s="342" t="n"/>
      <c r="BS2" s="342" t="n"/>
      <c r="BT2" s="342" t="n"/>
      <c r="BU2" s="342" t="n"/>
      <c r="BV2" s="342" t="n"/>
      <c r="BW2" s="342" t="n"/>
      <c r="BX2" s="342" t="n"/>
      <c r="BY2" s="342" t="n"/>
      <c r="BZ2" s="342" t="n"/>
      <c r="CA2" s="342" t="n"/>
      <c r="CB2" s="342" t="n"/>
      <c r="CC2" s="343" t="n"/>
      <c r="CF2" s="361" t="inlineStr">
        <is>
          <t>所要時間　作業者1</t>
        </is>
      </c>
      <c r="CG2" s="362" t="n"/>
      <c r="CH2" s="362" t="n"/>
      <c r="CI2" s="362" t="n"/>
      <c r="CJ2" s="362" t="n"/>
      <c r="CK2" s="362" t="n"/>
      <c r="CL2" s="362" t="n"/>
      <c r="CM2" s="362" t="n"/>
      <c r="CN2" s="363" t="n"/>
      <c r="CP2" s="361" t="inlineStr">
        <is>
          <t>所要時間　作業者2</t>
        </is>
      </c>
      <c r="CQ2" s="362" t="n"/>
      <c r="CR2" s="362" t="n"/>
      <c r="CS2" s="362" t="n"/>
      <c r="CT2" s="362" t="n"/>
      <c r="CU2" s="362" t="n"/>
      <c r="CV2" s="362" t="n"/>
      <c r="CW2" s="362" t="n"/>
      <c r="CX2" s="363" t="n"/>
      <c r="CZ2" s="361" t="inlineStr">
        <is>
          <t>所要時間　作業者3</t>
        </is>
      </c>
      <c r="DA2" s="362" t="n"/>
      <c r="DB2" s="362" t="n"/>
      <c r="DC2" s="362" t="n"/>
      <c r="DD2" s="362" t="n"/>
      <c r="DE2" s="362" t="n"/>
      <c r="DF2" s="362" t="n"/>
      <c r="DG2" s="362" t="n"/>
      <c r="DH2" s="363" t="n"/>
      <c r="DJ2" s="361" t="inlineStr">
        <is>
          <t>所要時間　作業者4</t>
        </is>
      </c>
      <c r="DK2" s="362" t="n"/>
      <c r="DL2" s="362" t="n"/>
      <c r="DM2" s="362" t="n"/>
      <c r="DN2" s="362" t="n"/>
      <c r="DO2" s="362" t="n"/>
      <c r="DP2" s="362" t="n"/>
      <c r="DQ2" s="362" t="n"/>
      <c r="DR2" s="363" t="n"/>
      <c r="DT2" s="361" t="inlineStr">
        <is>
          <t>所要時間　作業者5</t>
        </is>
      </c>
      <c r="DU2" s="362" t="n"/>
      <c r="DV2" s="362" t="n"/>
      <c r="DW2" s="362" t="n"/>
      <c r="DX2" s="362" t="n"/>
      <c r="DY2" s="362" t="n"/>
      <c r="DZ2" s="362" t="n"/>
      <c r="EA2" s="362" t="n"/>
      <c r="EB2" s="363" t="n"/>
    </row>
    <row r="3" ht="14.1" customHeight="1" s="337">
      <c r="B3" s="353" t="n"/>
      <c r="C3" s="339" t="n"/>
      <c r="D3" s="364" t="n"/>
      <c r="E3" s="365" t="n"/>
      <c r="F3" s="339" t="n"/>
      <c r="G3" s="364" t="n"/>
      <c r="H3" s="365" t="n"/>
      <c r="I3" s="339" t="n"/>
      <c r="J3" s="364" t="n"/>
      <c r="K3" s="365" t="n"/>
      <c r="L3" s="339" t="n"/>
      <c r="M3" s="364" t="n"/>
      <c r="N3" s="365" t="n"/>
      <c r="O3" s="339" t="n"/>
      <c r="P3" s="364" t="n"/>
      <c r="Q3" s="365" t="n"/>
      <c r="R3" s="339" t="n"/>
      <c r="S3" s="364" t="n"/>
      <c r="T3" s="365" t="n"/>
      <c r="U3" s="339" t="n"/>
      <c r="V3" s="364" t="n"/>
      <c r="W3" s="365" t="n"/>
      <c r="X3" s="339" t="n"/>
      <c r="Y3" s="339" t="n"/>
      <c r="Z3" s="339" t="n"/>
      <c r="AA3" s="339" t="n"/>
      <c r="AB3" s="339" t="n"/>
      <c r="AC3" s="339" t="n"/>
      <c r="AD3" s="339" t="n"/>
      <c r="AE3" s="339" t="n"/>
      <c r="AF3" s="339" t="n"/>
      <c r="AG3" s="339" t="n"/>
      <c r="AH3" s="339" t="n"/>
      <c r="AI3" s="339" t="n"/>
      <c r="AJ3" s="339" t="n"/>
      <c r="AK3" s="339" t="n"/>
      <c r="AL3" s="339" t="n"/>
      <c r="AM3" s="339" t="n"/>
      <c r="AN3" s="339" t="n"/>
      <c r="AO3" s="339" t="n"/>
      <c r="AP3" s="339" t="n"/>
      <c r="AQ3" s="339" t="n"/>
      <c r="AR3" s="339" t="n"/>
      <c r="AS3" s="339" t="n"/>
      <c r="AT3" s="339" t="n"/>
      <c r="AU3" s="339" t="n"/>
      <c r="AV3" s="339" t="n"/>
      <c r="AW3" s="339" t="n"/>
      <c r="AX3" s="339" t="n"/>
      <c r="AY3" s="339" t="n"/>
      <c r="AZ3" s="339" t="n"/>
      <c r="BA3" s="339" t="n"/>
      <c r="BB3" s="339" t="n"/>
      <c r="BC3" s="339" t="n"/>
      <c r="BD3" s="339" t="n"/>
      <c r="BE3" s="339" t="n"/>
      <c r="BF3" s="339" t="n"/>
      <c r="BG3" s="339" t="n"/>
      <c r="BH3" s="339" t="n"/>
      <c r="BI3" s="339" t="n"/>
      <c r="BJ3" s="339" t="n"/>
      <c r="BK3" s="339" t="n"/>
      <c r="BL3" s="339" t="n"/>
      <c r="BM3" s="339" t="n"/>
      <c r="BN3" s="339" t="n"/>
      <c r="BO3" s="339" t="n"/>
      <c r="BP3" s="339" t="n"/>
      <c r="BQ3" s="339" t="n"/>
      <c r="BR3" s="339" t="n"/>
      <c r="BS3" s="339" t="n"/>
      <c r="BT3" s="339" t="n"/>
      <c r="BU3" s="339" t="n"/>
      <c r="BV3" s="339" t="n"/>
      <c r="BW3" s="339" t="n"/>
      <c r="BX3" s="339" t="n"/>
      <c r="BY3" s="339" t="n"/>
      <c r="BZ3" s="339" t="n"/>
      <c r="CA3" s="339" t="n"/>
      <c r="CB3" s="339" t="n"/>
      <c r="CC3" s="354" t="n"/>
      <c r="CF3" s="366" t="n"/>
      <c r="CG3" s="367" t="n"/>
      <c r="CH3" s="367" t="n"/>
      <c r="CI3" s="367" t="n"/>
      <c r="CJ3" s="367" t="n"/>
      <c r="CK3" s="367" t="n"/>
      <c r="CL3" s="367" t="n"/>
      <c r="CM3" s="367" t="n"/>
      <c r="CN3" s="368" t="n"/>
      <c r="CP3" s="366" t="n"/>
      <c r="CQ3" s="367" t="n"/>
      <c r="CR3" s="367" t="n"/>
      <c r="CS3" s="367" t="n"/>
      <c r="CT3" s="367" t="n"/>
      <c r="CU3" s="367" t="n"/>
      <c r="CV3" s="367" t="n"/>
      <c r="CW3" s="367" t="n"/>
      <c r="CX3" s="368" t="n"/>
      <c r="CZ3" s="366" t="n"/>
      <c r="DA3" s="367" t="n"/>
      <c r="DB3" s="367" t="n"/>
      <c r="DC3" s="367" t="n"/>
      <c r="DD3" s="367" t="n"/>
      <c r="DE3" s="367" t="n"/>
      <c r="DF3" s="367" t="n"/>
      <c r="DG3" s="367" t="n"/>
      <c r="DH3" s="368" t="n"/>
      <c r="DJ3" s="366" t="n"/>
      <c r="DK3" s="367" t="n"/>
      <c r="DL3" s="367" t="n"/>
      <c r="DM3" s="367" t="n"/>
      <c r="DN3" s="367" t="n"/>
      <c r="DO3" s="367" t="n"/>
      <c r="DP3" s="367" t="n"/>
      <c r="DQ3" s="367" t="n"/>
      <c r="DR3" s="368" t="n"/>
      <c r="DT3" s="366" t="n"/>
      <c r="DU3" s="367" t="n"/>
      <c r="DV3" s="367" t="n"/>
      <c r="DW3" s="367" t="n"/>
      <c r="DX3" s="367" t="n"/>
      <c r="DY3" s="367" t="n"/>
      <c r="DZ3" s="367" t="n"/>
      <c r="EA3" s="367" t="n"/>
      <c r="EB3" s="368" t="n"/>
    </row>
    <row r="4" ht="9" customHeight="1" s="337">
      <c r="B4" s="440" t="n"/>
      <c r="C4" s="338" t="n"/>
      <c r="D4" s="380" t="n"/>
      <c r="E4" s="421" t="n"/>
      <c r="F4" s="338" t="n"/>
      <c r="G4" s="380" t="n"/>
      <c r="H4" s="421" t="n"/>
      <c r="I4" s="338" t="n"/>
      <c r="J4" s="380" t="n"/>
      <c r="K4" s="421" t="n"/>
      <c r="L4" s="338" t="n"/>
      <c r="M4" s="380" t="n"/>
      <c r="N4" s="421" t="n"/>
      <c r="O4" s="338" t="n"/>
      <c r="P4" s="380" t="n"/>
      <c r="Q4" s="441" t="n"/>
      <c r="R4" s="338" t="n"/>
      <c r="S4" s="380" t="n"/>
      <c r="T4" s="422" t="n"/>
      <c r="U4" s="338" t="n"/>
      <c r="V4" s="380" t="n"/>
      <c r="W4" s="442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83" t="n"/>
      <c r="CD4" s="30" t="n"/>
      <c r="CE4" s="31" t="n"/>
      <c r="CF4" s="248" t="inlineStr">
        <is>
          <t>移動</t>
        </is>
      </c>
      <c r="CG4" s="377" t="n"/>
      <c r="CH4" s="377" t="n"/>
      <c r="CI4" s="378" t="n"/>
      <c r="CJ4" s="379">
        <f>IF(Q4="作業者1",E7-E4,0)</f>
        <v/>
      </c>
      <c r="CK4" s="377" t="n"/>
      <c r="CL4" s="377" t="n"/>
      <c r="CM4" s="377" t="n"/>
      <c r="CN4" s="378" t="n"/>
      <c r="CP4" s="248" t="inlineStr">
        <is>
          <t>移動</t>
        </is>
      </c>
      <c r="CQ4" s="377" t="n"/>
      <c r="CR4" s="377" t="n"/>
      <c r="CS4" s="378" t="n"/>
      <c r="CT4" s="379">
        <f>IF(Q4="作業者2",E7-E4,0)</f>
        <v/>
      </c>
      <c r="CU4" s="377" t="n"/>
      <c r="CV4" s="377" t="n"/>
      <c r="CW4" s="377" t="n"/>
      <c r="CX4" s="378" t="n"/>
      <c r="CZ4" s="248" t="inlineStr">
        <is>
          <t>移動</t>
        </is>
      </c>
      <c r="DA4" s="377" t="n"/>
      <c r="DB4" s="377" t="n"/>
      <c r="DC4" s="378" t="n"/>
      <c r="DD4" s="379">
        <f>IF(Q4="作業者3",E7-E4,0)</f>
        <v/>
      </c>
      <c r="DE4" s="377" t="n"/>
      <c r="DF4" s="377" t="n"/>
      <c r="DG4" s="377" t="n"/>
      <c r="DH4" s="378" t="n"/>
      <c r="DJ4" s="248" t="inlineStr">
        <is>
          <t>移動</t>
        </is>
      </c>
      <c r="DK4" s="377" t="n"/>
      <c r="DL4" s="377" t="n"/>
      <c r="DM4" s="378" t="n"/>
      <c r="DN4" s="379">
        <f>IF(Q4="作業者4",E7-E4,0)</f>
        <v/>
      </c>
      <c r="DO4" s="377" t="n"/>
      <c r="DP4" s="377" t="n"/>
      <c r="DQ4" s="377" t="n"/>
      <c r="DR4" s="378" t="n"/>
      <c r="DT4" s="248" t="inlineStr">
        <is>
          <t>移動</t>
        </is>
      </c>
      <c r="DU4" s="377" t="n"/>
      <c r="DV4" s="377" t="n"/>
      <c r="DW4" s="378" t="n"/>
      <c r="DX4" s="379">
        <f>IF(Q4="作業者5",E7-E4,0)</f>
        <v/>
      </c>
      <c r="DY4" s="377" t="n"/>
      <c r="DZ4" s="377" t="n"/>
      <c r="EA4" s="377" t="n"/>
      <c r="EB4" s="378" t="n"/>
    </row>
    <row r="5" ht="9" customHeight="1" s="337">
      <c r="B5" s="350" t="n"/>
      <c r="C5" s="338" t="n"/>
      <c r="D5" s="380" t="n"/>
      <c r="E5" s="381" t="n"/>
      <c r="F5" s="122" t="inlineStr">
        <is>
          <t>～</t>
        </is>
      </c>
      <c r="G5" s="22" t="n"/>
      <c r="H5" s="381" t="n"/>
      <c r="I5" s="122" t="inlineStr">
        <is>
          <t>～</t>
        </is>
      </c>
      <c r="J5" s="22" t="n"/>
      <c r="K5" s="381" t="n"/>
      <c r="L5" s="122" t="inlineStr">
        <is>
          <t>～</t>
        </is>
      </c>
      <c r="M5" s="22" t="n"/>
      <c r="N5" s="381" t="n"/>
      <c r="O5" s="122" t="inlineStr">
        <is>
          <t>～</t>
        </is>
      </c>
      <c r="P5" s="22" t="n"/>
      <c r="Q5" s="382" t="n"/>
      <c r="R5" s="338" t="n"/>
      <c r="S5" s="380" t="n"/>
      <c r="T5" s="382" t="n"/>
      <c r="U5" s="338" t="n"/>
      <c r="V5" s="380" t="n"/>
      <c r="W5" s="382" t="n"/>
      <c r="X5" s="338" t="n"/>
      <c r="Y5" s="338" t="n"/>
      <c r="Z5" s="338" t="n"/>
      <c r="AA5" s="338" t="n"/>
      <c r="AB5" s="338" t="n"/>
      <c r="AC5" s="338" t="n"/>
      <c r="AD5" s="338" t="n"/>
      <c r="AE5" s="338" t="n"/>
      <c r="AF5" s="338" t="n"/>
      <c r="AG5" s="338" t="n"/>
      <c r="AH5" s="338" t="n"/>
      <c r="AI5" s="338" t="n"/>
      <c r="AJ5" s="338" t="n"/>
      <c r="AK5" s="338" t="n"/>
      <c r="AL5" s="338" t="n"/>
      <c r="AM5" s="338" t="n"/>
      <c r="AN5" s="338" t="n"/>
      <c r="AO5" s="338" t="n"/>
      <c r="AP5" s="338" t="n"/>
      <c r="AQ5" s="338" t="n"/>
      <c r="AR5" s="338" t="n"/>
      <c r="AS5" s="338" t="n"/>
      <c r="AT5" s="338" t="n"/>
      <c r="AU5" s="338" t="n"/>
      <c r="AV5" s="338" t="n"/>
      <c r="AW5" s="338" t="n"/>
      <c r="AX5" s="338" t="n"/>
      <c r="AY5" s="338" t="n"/>
      <c r="AZ5" s="338" t="n"/>
      <c r="BA5" s="338" t="n"/>
      <c r="BB5" s="338" t="n"/>
      <c r="BC5" s="338" t="n"/>
      <c r="BD5" s="338" t="n"/>
      <c r="BE5" s="338" t="n"/>
      <c r="BF5" s="338" t="n"/>
      <c r="BG5" s="338" t="n"/>
      <c r="BH5" s="338" t="n"/>
      <c r="BI5" s="338" t="n"/>
      <c r="BJ5" s="338" t="n"/>
      <c r="BK5" s="338" t="n"/>
      <c r="BL5" s="338" t="n"/>
      <c r="BM5" s="338" t="n"/>
      <c r="BN5" s="338" t="n"/>
      <c r="BO5" s="338" t="n"/>
      <c r="BP5" s="338" t="n"/>
      <c r="BQ5" s="338" t="n"/>
      <c r="BR5" s="338" t="n"/>
      <c r="BS5" s="338" t="n"/>
      <c r="BT5" s="338" t="n"/>
      <c r="BU5" s="338" t="n"/>
      <c r="BV5" s="338" t="n"/>
      <c r="BW5" s="338" t="n"/>
      <c r="BX5" s="338" t="n"/>
      <c r="BY5" s="338" t="n"/>
      <c r="BZ5" s="338" t="n"/>
      <c r="CA5" s="338" t="n"/>
      <c r="CB5" s="338" t="n"/>
      <c r="CC5" s="383" t="n"/>
      <c r="CD5" s="30" t="n"/>
      <c r="CE5" s="31" t="n"/>
      <c r="CF5" s="253" t="inlineStr">
        <is>
          <t>時間内</t>
        </is>
      </c>
      <c r="CG5" s="384" t="n"/>
      <c r="CH5" s="384" t="n"/>
      <c r="CI5" s="385" t="n"/>
      <c r="CJ5" s="386">
        <f>IF(Q4="作業者1",H7-H4,0)</f>
        <v/>
      </c>
      <c r="CK5" s="387" t="n"/>
      <c r="CL5" s="387" t="n"/>
      <c r="CM5" s="387" t="n"/>
      <c r="CN5" s="388" t="n"/>
      <c r="CP5" s="253" t="inlineStr">
        <is>
          <t>時間内</t>
        </is>
      </c>
      <c r="CQ5" s="384" t="n"/>
      <c r="CR5" s="384" t="n"/>
      <c r="CS5" s="385" t="n"/>
      <c r="CT5" s="386">
        <f>IF(Q4="作業者2",H7-H4,0)</f>
        <v/>
      </c>
      <c r="CU5" s="387" t="n"/>
      <c r="CV5" s="387" t="n"/>
      <c r="CW5" s="387" t="n"/>
      <c r="CX5" s="388" t="n"/>
      <c r="CZ5" s="253" t="inlineStr">
        <is>
          <t>時間内</t>
        </is>
      </c>
      <c r="DA5" s="384" t="n"/>
      <c r="DB5" s="384" t="n"/>
      <c r="DC5" s="385" t="n"/>
      <c r="DD5" s="386">
        <f>IF(Q4="作業者3",H7-H4,0)</f>
        <v/>
      </c>
      <c r="DE5" s="387" t="n"/>
      <c r="DF5" s="387" t="n"/>
      <c r="DG5" s="387" t="n"/>
      <c r="DH5" s="388" t="n"/>
      <c r="DJ5" s="253" t="inlineStr">
        <is>
          <t>時間内</t>
        </is>
      </c>
      <c r="DK5" s="384" t="n"/>
      <c r="DL5" s="384" t="n"/>
      <c r="DM5" s="385" t="n"/>
      <c r="DN5" s="386">
        <f>IF(Q4="作業者4",H7-H4,0)</f>
        <v/>
      </c>
      <c r="DO5" s="387" t="n"/>
      <c r="DP5" s="387" t="n"/>
      <c r="DQ5" s="387" t="n"/>
      <c r="DR5" s="388" t="n"/>
      <c r="DT5" s="253" t="inlineStr">
        <is>
          <t>時間内</t>
        </is>
      </c>
      <c r="DU5" s="384" t="n"/>
      <c r="DV5" s="384" t="n"/>
      <c r="DW5" s="385" t="n"/>
      <c r="DX5" s="386">
        <f>IF(Q4="作業者5",H7-H4,0)</f>
        <v/>
      </c>
      <c r="DY5" s="387" t="n"/>
      <c r="DZ5" s="387" t="n"/>
      <c r="EA5" s="387" t="n"/>
      <c r="EB5" s="388" t="n"/>
    </row>
    <row r="6" ht="9" customHeight="1" s="337">
      <c r="B6" s="350" t="n"/>
      <c r="C6" s="338" t="n"/>
      <c r="D6" s="380" t="n"/>
      <c r="E6" s="23" t="n"/>
      <c r="F6" s="338" t="n"/>
      <c r="G6" s="24" t="n"/>
      <c r="H6" s="23" t="n"/>
      <c r="I6" s="338" t="n"/>
      <c r="J6" s="24" t="n"/>
      <c r="K6" s="23" t="n"/>
      <c r="L6" s="338" t="n"/>
      <c r="M6" s="24" t="n"/>
      <c r="N6" s="23" t="n"/>
      <c r="O6" s="338" t="n"/>
      <c r="P6" s="24" t="n"/>
      <c r="Q6" s="382" t="n"/>
      <c r="R6" s="338" t="n"/>
      <c r="S6" s="380" t="n"/>
      <c r="T6" s="382" t="n"/>
      <c r="U6" s="338" t="n"/>
      <c r="V6" s="380" t="n"/>
      <c r="W6" s="382" t="n"/>
      <c r="X6" s="338" t="n"/>
      <c r="Y6" s="338" t="n"/>
      <c r="Z6" s="338" t="n"/>
      <c r="AA6" s="338" t="n"/>
      <c r="AB6" s="338" t="n"/>
      <c r="AC6" s="338" t="n"/>
      <c r="AD6" s="338" t="n"/>
      <c r="AE6" s="338" t="n"/>
      <c r="AF6" s="338" t="n"/>
      <c r="AG6" s="338" t="n"/>
      <c r="AH6" s="338" t="n"/>
      <c r="AI6" s="338" t="n"/>
      <c r="AJ6" s="338" t="n"/>
      <c r="AK6" s="338" t="n"/>
      <c r="AL6" s="338" t="n"/>
      <c r="AM6" s="338" t="n"/>
      <c r="AN6" s="338" t="n"/>
      <c r="AO6" s="338" t="n"/>
      <c r="AP6" s="338" t="n"/>
      <c r="AQ6" s="338" t="n"/>
      <c r="AR6" s="338" t="n"/>
      <c r="AS6" s="338" t="n"/>
      <c r="AT6" s="338" t="n"/>
      <c r="AU6" s="338" t="n"/>
      <c r="AV6" s="338" t="n"/>
      <c r="AW6" s="338" t="n"/>
      <c r="AX6" s="338" t="n"/>
      <c r="AY6" s="338" t="n"/>
      <c r="AZ6" s="338" t="n"/>
      <c r="BA6" s="338" t="n"/>
      <c r="BB6" s="338" t="n"/>
      <c r="BC6" s="338" t="n"/>
      <c r="BD6" s="338" t="n"/>
      <c r="BE6" s="338" t="n"/>
      <c r="BF6" s="338" t="n"/>
      <c r="BG6" s="338" t="n"/>
      <c r="BH6" s="338" t="n"/>
      <c r="BI6" s="338" t="n"/>
      <c r="BJ6" s="338" t="n"/>
      <c r="BK6" s="338" t="n"/>
      <c r="BL6" s="338" t="n"/>
      <c r="BM6" s="338" t="n"/>
      <c r="BN6" s="338" t="n"/>
      <c r="BO6" s="338" t="n"/>
      <c r="BP6" s="338" t="n"/>
      <c r="BQ6" s="338" t="n"/>
      <c r="BR6" s="338" t="n"/>
      <c r="BS6" s="338" t="n"/>
      <c r="BT6" s="338" t="n"/>
      <c r="BU6" s="338" t="n"/>
      <c r="BV6" s="338" t="n"/>
      <c r="BW6" s="338" t="n"/>
      <c r="BX6" s="338" t="n"/>
      <c r="BY6" s="338" t="n"/>
      <c r="BZ6" s="338" t="n"/>
      <c r="CA6" s="338" t="n"/>
      <c r="CB6" s="338" t="n"/>
      <c r="CC6" s="383" t="n"/>
      <c r="CD6" s="30" t="n"/>
      <c r="CE6" s="31" t="n"/>
      <c r="CF6" s="253" t="inlineStr">
        <is>
          <t>時間外</t>
        </is>
      </c>
      <c r="CG6" s="384" t="n"/>
      <c r="CH6" s="384" t="n"/>
      <c r="CI6" s="385" t="n"/>
      <c r="CJ6" s="386">
        <f>IF(Q4="作業者1",K7-K4,0)</f>
        <v/>
      </c>
      <c r="CK6" s="387" t="n"/>
      <c r="CL6" s="387" t="n"/>
      <c r="CM6" s="387" t="n"/>
      <c r="CN6" s="388" t="n"/>
      <c r="CP6" s="253" t="inlineStr">
        <is>
          <t>時間外</t>
        </is>
      </c>
      <c r="CQ6" s="384" t="n"/>
      <c r="CR6" s="384" t="n"/>
      <c r="CS6" s="385" t="n"/>
      <c r="CT6" s="386">
        <f>IF(Q4="作業者2",K7-K4,0)</f>
        <v/>
      </c>
      <c r="CU6" s="387" t="n"/>
      <c r="CV6" s="387" t="n"/>
      <c r="CW6" s="387" t="n"/>
      <c r="CX6" s="388" t="n"/>
      <c r="CZ6" s="253" t="inlineStr">
        <is>
          <t>時間外</t>
        </is>
      </c>
      <c r="DA6" s="384" t="n"/>
      <c r="DB6" s="384" t="n"/>
      <c r="DC6" s="385" t="n"/>
      <c r="DD6" s="386">
        <f>IF(Q4="作業者3",K7-K4,0)</f>
        <v/>
      </c>
      <c r="DE6" s="387" t="n"/>
      <c r="DF6" s="387" t="n"/>
      <c r="DG6" s="387" t="n"/>
      <c r="DH6" s="388" t="n"/>
      <c r="DJ6" s="253" t="inlineStr">
        <is>
          <t>時間外</t>
        </is>
      </c>
      <c r="DK6" s="384" t="n"/>
      <c r="DL6" s="384" t="n"/>
      <c r="DM6" s="385" t="n"/>
      <c r="DN6" s="386">
        <f>IF(Q4="作業者4",K7-K4,0)</f>
        <v/>
      </c>
      <c r="DO6" s="387" t="n"/>
      <c r="DP6" s="387" t="n"/>
      <c r="DQ6" s="387" t="n"/>
      <c r="DR6" s="388" t="n"/>
      <c r="DT6" s="253" t="inlineStr">
        <is>
          <t>時間外</t>
        </is>
      </c>
      <c r="DU6" s="384" t="n"/>
      <c r="DV6" s="384" t="n"/>
      <c r="DW6" s="385" t="n"/>
      <c r="DX6" s="386">
        <f>IF(Q4="作業者5",K7-K4,0)</f>
        <v/>
      </c>
      <c r="DY6" s="387" t="n"/>
      <c r="DZ6" s="387" t="n"/>
      <c r="EA6" s="387" t="n"/>
      <c r="EB6" s="388" t="n"/>
    </row>
    <row r="7" ht="9" customHeight="1" s="337">
      <c r="B7" s="389" t="n"/>
      <c r="C7" s="390" t="n"/>
      <c r="D7" s="391" t="n"/>
      <c r="E7" s="392" t="n"/>
      <c r="F7" s="390" t="n"/>
      <c r="G7" s="391" t="n"/>
      <c r="H7" s="392" t="n"/>
      <c r="I7" s="390" t="n"/>
      <c r="J7" s="391" t="n"/>
      <c r="K7" s="392" t="n"/>
      <c r="L7" s="390" t="n"/>
      <c r="M7" s="391" t="n"/>
      <c r="N7" s="392" t="n"/>
      <c r="O7" s="390" t="n"/>
      <c r="P7" s="391" t="n"/>
      <c r="Q7" s="382" t="n"/>
      <c r="R7" s="338" t="n"/>
      <c r="S7" s="380" t="n"/>
      <c r="T7" s="393" t="n"/>
      <c r="U7" s="390" t="n"/>
      <c r="V7" s="391" t="n"/>
      <c r="W7" s="393" t="n"/>
      <c r="X7" s="390" t="n"/>
      <c r="Y7" s="390" t="n"/>
      <c r="Z7" s="390" t="n"/>
      <c r="AA7" s="390" t="n"/>
      <c r="AB7" s="390" t="n"/>
      <c r="AC7" s="390" t="n"/>
      <c r="AD7" s="390" t="n"/>
      <c r="AE7" s="390" t="n"/>
      <c r="AF7" s="390" t="n"/>
      <c r="AG7" s="390" t="n"/>
      <c r="AH7" s="390" t="n"/>
      <c r="AI7" s="390" t="n"/>
      <c r="AJ7" s="390" t="n"/>
      <c r="AK7" s="390" t="n"/>
      <c r="AL7" s="390" t="n"/>
      <c r="AM7" s="390" t="n"/>
      <c r="AN7" s="390" t="n"/>
      <c r="AO7" s="390" t="n"/>
      <c r="AP7" s="390" t="n"/>
      <c r="AQ7" s="390" t="n"/>
      <c r="AR7" s="390" t="n"/>
      <c r="AS7" s="390" t="n"/>
      <c r="AT7" s="390" t="n"/>
      <c r="AU7" s="390" t="n"/>
      <c r="AV7" s="390" t="n"/>
      <c r="AW7" s="390" t="n"/>
      <c r="AX7" s="390" t="n"/>
      <c r="AY7" s="390" t="n"/>
      <c r="AZ7" s="390" t="n"/>
      <c r="BA7" s="390" t="n"/>
      <c r="BB7" s="390" t="n"/>
      <c r="BC7" s="390" t="n"/>
      <c r="BD7" s="390" t="n"/>
      <c r="BE7" s="390" t="n"/>
      <c r="BF7" s="390" t="n"/>
      <c r="BG7" s="390" t="n"/>
      <c r="BH7" s="390" t="n"/>
      <c r="BI7" s="390" t="n"/>
      <c r="BJ7" s="390" t="n"/>
      <c r="BK7" s="390" t="n"/>
      <c r="BL7" s="390" t="n"/>
      <c r="BM7" s="390" t="n"/>
      <c r="BN7" s="390" t="n"/>
      <c r="BO7" s="390" t="n"/>
      <c r="BP7" s="390" t="n"/>
      <c r="BQ7" s="390" t="n"/>
      <c r="BR7" s="390" t="n"/>
      <c r="BS7" s="390" t="n"/>
      <c r="BT7" s="390" t="n"/>
      <c r="BU7" s="390" t="n"/>
      <c r="BV7" s="390" t="n"/>
      <c r="BW7" s="390" t="n"/>
      <c r="BX7" s="390" t="n"/>
      <c r="BY7" s="390" t="n"/>
      <c r="BZ7" s="390" t="n"/>
      <c r="CA7" s="390" t="n"/>
      <c r="CB7" s="390" t="n"/>
      <c r="CC7" s="394" t="n"/>
      <c r="CD7" s="30" t="n"/>
      <c r="CE7" s="31" t="n"/>
      <c r="CF7" s="254" t="inlineStr">
        <is>
          <t>休日</t>
        </is>
      </c>
      <c r="CG7" s="395" t="n"/>
      <c r="CH7" s="395" t="n"/>
      <c r="CI7" s="396" t="n"/>
      <c r="CJ7" s="386">
        <f>IF(Q4="作業者1",N7-N4,0)</f>
        <v/>
      </c>
      <c r="CK7" s="387" t="n"/>
      <c r="CL7" s="387" t="n"/>
      <c r="CM7" s="387" t="n"/>
      <c r="CN7" s="388" t="n"/>
      <c r="CP7" s="253" t="inlineStr">
        <is>
          <t>休日</t>
        </is>
      </c>
      <c r="CQ7" s="384" t="n"/>
      <c r="CR7" s="384" t="n"/>
      <c r="CS7" s="385" t="n"/>
      <c r="CT7" s="386">
        <f>IF(Q4="作業者2",N7-N4,0)</f>
        <v/>
      </c>
      <c r="CU7" s="387" t="n"/>
      <c r="CV7" s="387" t="n"/>
      <c r="CW7" s="387" t="n"/>
      <c r="CX7" s="388" t="n"/>
      <c r="CZ7" s="254" t="inlineStr">
        <is>
          <t>休日</t>
        </is>
      </c>
      <c r="DA7" s="395" t="n"/>
      <c r="DB7" s="395" t="n"/>
      <c r="DC7" s="396" t="n"/>
      <c r="DD7" s="397">
        <f>IF(Q4="作業者3",N7-N4,0)</f>
        <v/>
      </c>
      <c r="DE7" s="395" t="n"/>
      <c r="DF7" s="395" t="n"/>
      <c r="DG7" s="395" t="n"/>
      <c r="DH7" s="396" t="n"/>
      <c r="DJ7" s="254" t="inlineStr">
        <is>
          <t>休日</t>
        </is>
      </c>
      <c r="DK7" s="395" t="n"/>
      <c r="DL7" s="395" t="n"/>
      <c r="DM7" s="396" t="n"/>
      <c r="DN7" s="397">
        <f>IF(Q4="作業者4",N7-N4,0)</f>
        <v/>
      </c>
      <c r="DO7" s="395" t="n"/>
      <c r="DP7" s="395" t="n"/>
      <c r="DQ7" s="395" t="n"/>
      <c r="DR7" s="396" t="n"/>
      <c r="DT7" s="254" t="inlineStr">
        <is>
          <t>休日</t>
        </is>
      </c>
      <c r="DU7" s="395" t="n"/>
      <c r="DV7" s="395" t="n"/>
      <c r="DW7" s="396" t="n"/>
      <c r="DX7" s="397">
        <f>IF(Q4="作業者5",N7-N4,0)</f>
        <v/>
      </c>
      <c r="DY7" s="395" t="n"/>
      <c r="DZ7" s="395" t="n"/>
      <c r="EA7" s="395" t="n"/>
      <c r="EB7" s="396" t="n"/>
    </row>
    <row r="8" ht="9" customHeight="1" s="337">
      <c r="B8" s="398" t="n"/>
      <c r="C8" s="372" t="n"/>
      <c r="D8" s="373" t="n"/>
      <c r="E8" s="399" t="n"/>
      <c r="F8" s="372" t="n"/>
      <c r="G8" s="373" t="n"/>
      <c r="H8" s="399" t="n"/>
      <c r="I8" s="372" t="n"/>
      <c r="J8" s="373" t="n"/>
      <c r="K8" s="399" t="n"/>
      <c r="L8" s="372" t="n"/>
      <c r="M8" s="373" t="n"/>
      <c r="N8" s="399" t="n"/>
      <c r="O8" s="372" t="n"/>
      <c r="P8" s="373" t="n"/>
      <c r="Q8" s="371" t="n"/>
      <c r="R8" s="372" t="n"/>
      <c r="S8" s="373" t="n"/>
      <c r="T8" s="400" t="n"/>
      <c r="U8" s="372" t="n"/>
      <c r="V8" s="373" t="n"/>
      <c r="W8" s="443" t="n"/>
      <c r="X8" s="372" t="n"/>
      <c r="Y8" s="372" t="n"/>
      <c r="Z8" s="372" t="n"/>
      <c r="AA8" s="372" t="n"/>
      <c r="AB8" s="372" t="n"/>
      <c r="AC8" s="372" t="n"/>
      <c r="AD8" s="372" t="n"/>
      <c r="AE8" s="372" t="n"/>
      <c r="AF8" s="372" t="n"/>
      <c r="AG8" s="372" t="n"/>
      <c r="AH8" s="372" t="n"/>
      <c r="AI8" s="372" t="n"/>
      <c r="AJ8" s="372" t="n"/>
      <c r="AK8" s="372" t="n"/>
      <c r="AL8" s="372" t="n"/>
      <c r="AM8" s="372" t="n"/>
      <c r="AN8" s="372" t="n"/>
      <c r="AO8" s="372" t="n"/>
      <c r="AP8" s="372" t="n"/>
      <c r="AQ8" s="372" t="n"/>
      <c r="AR8" s="372" t="n"/>
      <c r="AS8" s="372" t="n"/>
      <c r="AT8" s="372" t="n"/>
      <c r="AU8" s="372" t="n"/>
      <c r="AV8" s="372" t="n"/>
      <c r="AW8" s="372" t="n"/>
      <c r="AX8" s="372" t="n"/>
      <c r="AY8" s="372" t="n"/>
      <c r="AZ8" s="372" t="n"/>
      <c r="BA8" s="372" t="n"/>
      <c r="BB8" s="372" t="n"/>
      <c r="BC8" s="372" t="n"/>
      <c r="BD8" s="372" t="n"/>
      <c r="BE8" s="372" t="n"/>
      <c r="BF8" s="372" t="n"/>
      <c r="BG8" s="372" t="n"/>
      <c r="BH8" s="372" t="n"/>
      <c r="BI8" s="372" t="n"/>
      <c r="BJ8" s="372" t="n"/>
      <c r="BK8" s="372" t="n"/>
      <c r="BL8" s="372" t="n"/>
      <c r="BM8" s="372" t="n"/>
      <c r="BN8" s="372" t="n"/>
      <c r="BO8" s="372" t="n"/>
      <c r="BP8" s="372" t="n"/>
      <c r="BQ8" s="372" t="n"/>
      <c r="BR8" s="372" t="n"/>
      <c r="BS8" s="372" t="n"/>
      <c r="BT8" s="372" t="n"/>
      <c r="BU8" s="372" t="n"/>
      <c r="BV8" s="372" t="n"/>
      <c r="BW8" s="372" t="n"/>
      <c r="BX8" s="372" t="n"/>
      <c r="BY8" s="372" t="n"/>
      <c r="BZ8" s="372" t="n"/>
      <c r="CA8" s="372" t="n"/>
      <c r="CB8" s="372" t="n"/>
      <c r="CC8" s="402" t="n"/>
      <c r="CD8" s="30" t="n"/>
      <c r="CE8" s="31" t="n"/>
      <c r="CF8" s="259" t="inlineStr">
        <is>
          <t>移動</t>
        </is>
      </c>
      <c r="CG8" s="403" t="n"/>
      <c r="CH8" s="403" t="n"/>
      <c r="CI8" s="404" t="n"/>
      <c r="CJ8" s="379">
        <f>IF(Q8="作業者1",E11-E8,0)</f>
        <v/>
      </c>
      <c r="CK8" s="377" t="n"/>
      <c r="CL8" s="377" t="n"/>
      <c r="CM8" s="377" t="n"/>
      <c r="CN8" s="378" t="n"/>
      <c r="CP8" s="248" t="inlineStr">
        <is>
          <t>移動</t>
        </is>
      </c>
      <c r="CQ8" s="377" t="n"/>
      <c r="CR8" s="377" t="n"/>
      <c r="CS8" s="378" t="n"/>
      <c r="CT8" s="379">
        <f>IF(Q8="作業者2",E11-E8,0)</f>
        <v/>
      </c>
      <c r="CU8" s="377" t="n"/>
      <c r="CV8" s="377" t="n"/>
      <c r="CW8" s="377" t="n"/>
      <c r="CX8" s="378" t="n"/>
      <c r="CZ8" s="259" t="inlineStr">
        <is>
          <t>移動</t>
        </is>
      </c>
      <c r="DA8" s="403" t="n"/>
      <c r="DB8" s="403" t="n"/>
      <c r="DC8" s="404" t="n"/>
      <c r="DD8" s="405">
        <f>IF(Q8="作業者3",E11-E8,0)</f>
        <v/>
      </c>
      <c r="DE8" s="406" t="n"/>
      <c r="DF8" s="406" t="n"/>
      <c r="DG8" s="406" t="n"/>
      <c r="DH8" s="407" t="n"/>
      <c r="DJ8" s="259" t="inlineStr">
        <is>
          <t>移動</t>
        </is>
      </c>
      <c r="DK8" s="403" t="n"/>
      <c r="DL8" s="403" t="n"/>
      <c r="DM8" s="404" t="n"/>
      <c r="DN8" s="379">
        <f>IF(Q8="作業者4",E11-E8,0)</f>
        <v/>
      </c>
      <c r="DO8" s="377" t="n"/>
      <c r="DP8" s="377" t="n"/>
      <c r="DQ8" s="377" t="n"/>
      <c r="DR8" s="378" t="n"/>
      <c r="DT8" s="259" t="inlineStr">
        <is>
          <t>移動</t>
        </is>
      </c>
      <c r="DU8" s="403" t="n"/>
      <c r="DV8" s="403" t="n"/>
      <c r="DW8" s="404" t="n"/>
      <c r="DX8" s="379">
        <f>IF(Q8="作業者5",E11-E8,0)</f>
        <v/>
      </c>
      <c r="DY8" s="377" t="n"/>
      <c r="DZ8" s="377" t="n"/>
      <c r="EA8" s="377" t="n"/>
      <c r="EB8" s="378" t="n"/>
    </row>
    <row r="9" ht="9" customHeight="1" s="337">
      <c r="B9" s="350" t="n"/>
      <c r="C9" s="338" t="n"/>
      <c r="D9" s="380" t="n"/>
      <c r="E9" s="381" t="n"/>
      <c r="F9" s="122" t="inlineStr">
        <is>
          <t>～</t>
        </is>
      </c>
      <c r="G9" s="22" t="n"/>
      <c r="H9" s="381" t="n"/>
      <c r="I9" s="122" t="inlineStr">
        <is>
          <t>～</t>
        </is>
      </c>
      <c r="J9" s="22" t="n"/>
      <c r="K9" s="381" t="n"/>
      <c r="L9" s="122" t="inlineStr">
        <is>
          <t>～</t>
        </is>
      </c>
      <c r="M9" s="22" t="n"/>
      <c r="N9" s="381" t="n"/>
      <c r="O9" s="122" t="inlineStr">
        <is>
          <t>～</t>
        </is>
      </c>
      <c r="P9" s="22" t="n"/>
      <c r="Q9" s="382" t="n"/>
      <c r="R9" s="338" t="n"/>
      <c r="S9" s="380" t="n"/>
      <c r="T9" s="382" t="n"/>
      <c r="U9" s="338" t="n"/>
      <c r="V9" s="380" t="n"/>
      <c r="W9" s="382" t="n"/>
      <c r="X9" s="338" t="n"/>
      <c r="Y9" s="338" t="n"/>
      <c r="Z9" s="338" t="n"/>
      <c r="AA9" s="338" t="n"/>
      <c r="AB9" s="338" t="n"/>
      <c r="AC9" s="338" t="n"/>
      <c r="AD9" s="338" t="n"/>
      <c r="AE9" s="338" t="n"/>
      <c r="AF9" s="338" t="n"/>
      <c r="AG9" s="338" t="n"/>
      <c r="AH9" s="338" t="n"/>
      <c r="AI9" s="338" t="n"/>
      <c r="AJ9" s="338" t="n"/>
      <c r="AK9" s="338" t="n"/>
      <c r="AL9" s="338" t="n"/>
      <c r="AM9" s="338" t="n"/>
      <c r="AN9" s="338" t="n"/>
      <c r="AO9" s="338" t="n"/>
      <c r="AP9" s="338" t="n"/>
      <c r="AQ9" s="338" t="n"/>
      <c r="AR9" s="338" t="n"/>
      <c r="AS9" s="338" t="n"/>
      <c r="AT9" s="338" t="n"/>
      <c r="AU9" s="338" t="n"/>
      <c r="AV9" s="338" t="n"/>
      <c r="AW9" s="338" t="n"/>
      <c r="AX9" s="338" t="n"/>
      <c r="AY9" s="338" t="n"/>
      <c r="AZ9" s="338" t="n"/>
      <c r="BA9" s="338" t="n"/>
      <c r="BB9" s="338" t="n"/>
      <c r="BC9" s="338" t="n"/>
      <c r="BD9" s="338" t="n"/>
      <c r="BE9" s="338" t="n"/>
      <c r="BF9" s="338" t="n"/>
      <c r="BG9" s="338" t="n"/>
      <c r="BH9" s="338" t="n"/>
      <c r="BI9" s="338" t="n"/>
      <c r="BJ9" s="338" t="n"/>
      <c r="BK9" s="338" t="n"/>
      <c r="BL9" s="338" t="n"/>
      <c r="BM9" s="338" t="n"/>
      <c r="BN9" s="338" t="n"/>
      <c r="BO9" s="338" t="n"/>
      <c r="BP9" s="338" t="n"/>
      <c r="BQ9" s="338" t="n"/>
      <c r="BR9" s="338" t="n"/>
      <c r="BS9" s="338" t="n"/>
      <c r="BT9" s="338" t="n"/>
      <c r="BU9" s="338" t="n"/>
      <c r="BV9" s="338" t="n"/>
      <c r="BW9" s="338" t="n"/>
      <c r="BX9" s="338" t="n"/>
      <c r="BY9" s="338" t="n"/>
      <c r="BZ9" s="338" t="n"/>
      <c r="CA9" s="338" t="n"/>
      <c r="CB9" s="338" t="n"/>
      <c r="CC9" s="383" t="n"/>
      <c r="CD9" s="30" t="n"/>
      <c r="CE9" s="31" t="n"/>
      <c r="CF9" s="253" t="inlineStr">
        <is>
          <t>時間内</t>
        </is>
      </c>
      <c r="CG9" s="384" t="n"/>
      <c r="CH9" s="384" t="n"/>
      <c r="CI9" s="385" t="n"/>
      <c r="CJ9" s="386">
        <f>IF(Q8="作業者1",H11-H8,0)</f>
        <v/>
      </c>
      <c r="CK9" s="387" t="n"/>
      <c r="CL9" s="387" t="n"/>
      <c r="CM9" s="387" t="n"/>
      <c r="CN9" s="388" t="n"/>
      <c r="CP9" s="253" t="inlineStr">
        <is>
          <t>時間内</t>
        </is>
      </c>
      <c r="CQ9" s="384" t="n"/>
      <c r="CR9" s="384" t="n"/>
      <c r="CS9" s="385" t="n"/>
      <c r="CT9" s="386">
        <f>IF(Q8="作業者2",H11-H8,0)</f>
        <v/>
      </c>
      <c r="CU9" s="387" t="n"/>
      <c r="CV9" s="387" t="n"/>
      <c r="CW9" s="387" t="n"/>
      <c r="CX9" s="388" t="n"/>
      <c r="CZ9" s="253" t="inlineStr">
        <is>
          <t>時間内</t>
        </is>
      </c>
      <c r="DA9" s="384" t="n"/>
      <c r="DB9" s="384" t="n"/>
      <c r="DC9" s="385" t="n"/>
      <c r="DD9" s="386">
        <f>IF(Q8="作業者3",H11-H8,0)</f>
        <v/>
      </c>
      <c r="DE9" s="387" t="n"/>
      <c r="DF9" s="387" t="n"/>
      <c r="DG9" s="387" t="n"/>
      <c r="DH9" s="388" t="n"/>
      <c r="DJ9" s="253" t="inlineStr">
        <is>
          <t>時間内</t>
        </is>
      </c>
      <c r="DK9" s="384" t="n"/>
      <c r="DL9" s="384" t="n"/>
      <c r="DM9" s="385" t="n"/>
      <c r="DN9" s="386">
        <f>IF(Q8="作業者4",H11-H8,0)</f>
        <v/>
      </c>
      <c r="DO9" s="387" t="n"/>
      <c r="DP9" s="387" t="n"/>
      <c r="DQ9" s="387" t="n"/>
      <c r="DR9" s="388" t="n"/>
      <c r="DT9" s="253" t="inlineStr">
        <is>
          <t>時間内</t>
        </is>
      </c>
      <c r="DU9" s="384" t="n"/>
      <c r="DV9" s="384" t="n"/>
      <c r="DW9" s="385" t="n"/>
      <c r="DX9" s="386">
        <f>IF(Q8="作業者5",H11-H8,0)</f>
        <v/>
      </c>
      <c r="DY9" s="387" t="n"/>
      <c r="DZ9" s="387" t="n"/>
      <c r="EA9" s="387" t="n"/>
      <c r="EB9" s="388" t="n"/>
    </row>
    <row r="10" ht="9" customHeight="1" s="337">
      <c r="B10" s="350" t="n"/>
      <c r="C10" s="338" t="n"/>
      <c r="D10" s="380" t="n"/>
      <c r="E10" s="23" t="n"/>
      <c r="F10" s="338" t="n"/>
      <c r="G10" s="24" t="n"/>
      <c r="H10" s="23" t="n"/>
      <c r="I10" s="338" t="n"/>
      <c r="J10" s="24" t="n"/>
      <c r="K10" s="23" t="n"/>
      <c r="L10" s="338" t="n"/>
      <c r="M10" s="24" t="n"/>
      <c r="N10" s="23" t="n"/>
      <c r="O10" s="338" t="n"/>
      <c r="P10" s="24" t="n"/>
      <c r="Q10" s="382" t="n"/>
      <c r="R10" s="338" t="n"/>
      <c r="S10" s="380" t="n"/>
      <c r="T10" s="382" t="n"/>
      <c r="U10" s="338" t="n"/>
      <c r="V10" s="380" t="n"/>
      <c r="W10" s="382" t="n"/>
      <c r="X10" s="338" t="n"/>
      <c r="Y10" s="338" t="n"/>
      <c r="Z10" s="338" t="n"/>
      <c r="AA10" s="338" t="n"/>
      <c r="AB10" s="338" t="n"/>
      <c r="AC10" s="338" t="n"/>
      <c r="AD10" s="338" t="n"/>
      <c r="AE10" s="338" t="n"/>
      <c r="AF10" s="338" t="n"/>
      <c r="AG10" s="338" t="n"/>
      <c r="AH10" s="338" t="n"/>
      <c r="AI10" s="338" t="n"/>
      <c r="AJ10" s="338" t="n"/>
      <c r="AK10" s="338" t="n"/>
      <c r="AL10" s="338" t="n"/>
      <c r="AM10" s="338" t="n"/>
      <c r="AN10" s="338" t="n"/>
      <c r="AO10" s="338" t="n"/>
      <c r="AP10" s="338" t="n"/>
      <c r="AQ10" s="338" t="n"/>
      <c r="AR10" s="338" t="n"/>
      <c r="AS10" s="338" t="n"/>
      <c r="AT10" s="338" t="n"/>
      <c r="AU10" s="338" t="n"/>
      <c r="AV10" s="338" t="n"/>
      <c r="AW10" s="338" t="n"/>
      <c r="AX10" s="338" t="n"/>
      <c r="AY10" s="338" t="n"/>
      <c r="AZ10" s="338" t="n"/>
      <c r="BA10" s="338" t="n"/>
      <c r="BB10" s="338" t="n"/>
      <c r="BC10" s="338" t="n"/>
      <c r="BD10" s="338" t="n"/>
      <c r="BE10" s="338" t="n"/>
      <c r="BF10" s="338" t="n"/>
      <c r="BG10" s="338" t="n"/>
      <c r="BH10" s="338" t="n"/>
      <c r="BI10" s="338" t="n"/>
      <c r="BJ10" s="338" t="n"/>
      <c r="BK10" s="338" t="n"/>
      <c r="BL10" s="338" t="n"/>
      <c r="BM10" s="338" t="n"/>
      <c r="BN10" s="338" t="n"/>
      <c r="BO10" s="338" t="n"/>
      <c r="BP10" s="338" t="n"/>
      <c r="BQ10" s="338" t="n"/>
      <c r="BR10" s="338" t="n"/>
      <c r="BS10" s="338" t="n"/>
      <c r="BT10" s="338" t="n"/>
      <c r="BU10" s="338" t="n"/>
      <c r="BV10" s="338" t="n"/>
      <c r="BW10" s="338" t="n"/>
      <c r="BX10" s="338" t="n"/>
      <c r="BY10" s="338" t="n"/>
      <c r="BZ10" s="338" t="n"/>
      <c r="CA10" s="338" t="n"/>
      <c r="CB10" s="338" t="n"/>
      <c r="CC10" s="383" t="n"/>
      <c r="CD10" s="30" t="n"/>
      <c r="CE10" s="31" t="n"/>
      <c r="CF10" s="253" t="inlineStr">
        <is>
          <t>時間外</t>
        </is>
      </c>
      <c r="CG10" s="384" t="n"/>
      <c r="CH10" s="384" t="n"/>
      <c r="CI10" s="385" t="n"/>
      <c r="CJ10" s="386">
        <f>IF(Q8="作業者1",K11-K8,0)</f>
        <v/>
      </c>
      <c r="CK10" s="387" t="n"/>
      <c r="CL10" s="387" t="n"/>
      <c r="CM10" s="387" t="n"/>
      <c r="CN10" s="388" t="n"/>
      <c r="CP10" s="253" t="inlineStr">
        <is>
          <t>時間外</t>
        </is>
      </c>
      <c r="CQ10" s="384" t="n"/>
      <c r="CR10" s="384" t="n"/>
      <c r="CS10" s="385" t="n"/>
      <c r="CT10" s="386">
        <f>IF(Q8="作業者2",K11-K8,0)</f>
        <v/>
      </c>
      <c r="CU10" s="387" t="n"/>
      <c r="CV10" s="387" t="n"/>
      <c r="CW10" s="387" t="n"/>
      <c r="CX10" s="388" t="n"/>
      <c r="CZ10" s="253" t="inlineStr">
        <is>
          <t>時間外</t>
        </is>
      </c>
      <c r="DA10" s="384" t="n"/>
      <c r="DB10" s="384" t="n"/>
      <c r="DC10" s="385" t="n"/>
      <c r="DD10" s="386">
        <f>IF(Q8="作業者3",K11-K8,0)</f>
        <v/>
      </c>
      <c r="DE10" s="387" t="n"/>
      <c r="DF10" s="387" t="n"/>
      <c r="DG10" s="387" t="n"/>
      <c r="DH10" s="388" t="n"/>
      <c r="DJ10" s="253" t="inlineStr">
        <is>
          <t>時間外</t>
        </is>
      </c>
      <c r="DK10" s="384" t="n"/>
      <c r="DL10" s="384" t="n"/>
      <c r="DM10" s="385" t="n"/>
      <c r="DN10" s="386">
        <f>IF(Q8="作業者4",K11-K8,0)</f>
        <v/>
      </c>
      <c r="DO10" s="387" t="n"/>
      <c r="DP10" s="387" t="n"/>
      <c r="DQ10" s="387" t="n"/>
      <c r="DR10" s="388" t="n"/>
      <c r="DT10" s="253" t="inlineStr">
        <is>
          <t>時間外</t>
        </is>
      </c>
      <c r="DU10" s="384" t="n"/>
      <c r="DV10" s="384" t="n"/>
      <c r="DW10" s="385" t="n"/>
      <c r="DX10" s="386">
        <f>IF(Q8="作業者5",K11-K8,0)</f>
        <v/>
      </c>
      <c r="DY10" s="387" t="n"/>
      <c r="DZ10" s="387" t="n"/>
      <c r="EA10" s="387" t="n"/>
      <c r="EB10" s="388" t="n"/>
    </row>
    <row r="11" ht="9" customHeight="1" s="337">
      <c r="B11" s="389" t="n"/>
      <c r="C11" s="390" t="n"/>
      <c r="D11" s="391" t="n"/>
      <c r="E11" s="392" t="n"/>
      <c r="F11" s="390" t="n"/>
      <c r="G11" s="391" t="n"/>
      <c r="H11" s="392" t="n"/>
      <c r="I11" s="390" t="n"/>
      <c r="J11" s="391" t="n"/>
      <c r="K11" s="392" t="n"/>
      <c r="L11" s="390" t="n"/>
      <c r="M11" s="391" t="n"/>
      <c r="N11" s="392" t="n"/>
      <c r="O11" s="390" t="n"/>
      <c r="P11" s="391" t="n"/>
      <c r="Q11" s="393" t="n"/>
      <c r="R11" s="390" t="n"/>
      <c r="S11" s="391" t="n"/>
      <c r="T11" s="393" t="n"/>
      <c r="U11" s="390" t="n"/>
      <c r="V11" s="391" t="n"/>
      <c r="W11" s="393" t="n"/>
      <c r="X11" s="390" t="n"/>
      <c r="Y11" s="390" t="n"/>
      <c r="Z11" s="390" t="n"/>
      <c r="AA11" s="390" t="n"/>
      <c r="AB11" s="390" t="n"/>
      <c r="AC11" s="390" t="n"/>
      <c r="AD11" s="390" t="n"/>
      <c r="AE11" s="390" t="n"/>
      <c r="AF11" s="390" t="n"/>
      <c r="AG11" s="390" t="n"/>
      <c r="AH11" s="390" t="n"/>
      <c r="AI11" s="390" t="n"/>
      <c r="AJ11" s="390" t="n"/>
      <c r="AK11" s="390" t="n"/>
      <c r="AL11" s="390" t="n"/>
      <c r="AM11" s="390" t="n"/>
      <c r="AN11" s="390" t="n"/>
      <c r="AO11" s="390" t="n"/>
      <c r="AP11" s="390" t="n"/>
      <c r="AQ11" s="390" t="n"/>
      <c r="AR11" s="390" t="n"/>
      <c r="AS11" s="390" t="n"/>
      <c r="AT11" s="390" t="n"/>
      <c r="AU11" s="390" t="n"/>
      <c r="AV11" s="390" t="n"/>
      <c r="AW11" s="390" t="n"/>
      <c r="AX11" s="390" t="n"/>
      <c r="AY11" s="390" t="n"/>
      <c r="AZ11" s="390" t="n"/>
      <c r="BA11" s="390" t="n"/>
      <c r="BB11" s="390" t="n"/>
      <c r="BC11" s="390" t="n"/>
      <c r="BD11" s="390" t="n"/>
      <c r="BE11" s="390" t="n"/>
      <c r="BF11" s="390" t="n"/>
      <c r="BG11" s="390" t="n"/>
      <c r="BH11" s="390" t="n"/>
      <c r="BI11" s="390" t="n"/>
      <c r="BJ11" s="390" t="n"/>
      <c r="BK11" s="390" t="n"/>
      <c r="BL11" s="390" t="n"/>
      <c r="BM11" s="390" t="n"/>
      <c r="BN11" s="390" t="n"/>
      <c r="BO11" s="390" t="n"/>
      <c r="BP11" s="390" t="n"/>
      <c r="BQ11" s="390" t="n"/>
      <c r="BR11" s="390" t="n"/>
      <c r="BS11" s="390" t="n"/>
      <c r="BT11" s="390" t="n"/>
      <c r="BU11" s="390" t="n"/>
      <c r="BV11" s="390" t="n"/>
      <c r="BW11" s="390" t="n"/>
      <c r="BX11" s="390" t="n"/>
      <c r="BY11" s="390" t="n"/>
      <c r="BZ11" s="390" t="n"/>
      <c r="CA11" s="390" t="n"/>
      <c r="CB11" s="390" t="n"/>
      <c r="CC11" s="394" t="n"/>
      <c r="CD11" s="30" t="n"/>
      <c r="CE11" s="31" t="n"/>
      <c r="CF11" s="249" t="inlineStr">
        <is>
          <t>休日</t>
        </is>
      </c>
      <c r="CG11" s="408" t="n"/>
      <c r="CH11" s="408" t="n"/>
      <c r="CI11" s="409" t="n"/>
      <c r="CJ11" s="386">
        <f>IF(Q8="作業者1",N11-N8,0)</f>
        <v/>
      </c>
      <c r="CK11" s="387" t="n"/>
      <c r="CL11" s="387" t="n"/>
      <c r="CM11" s="387" t="n"/>
      <c r="CN11" s="388" t="n"/>
      <c r="CP11" s="253" t="inlineStr">
        <is>
          <t>休日</t>
        </is>
      </c>
      <c r="CQ11" s="384" t="n"/>
      <c r="CR11" s="384" t="n"/>
      <c r="CS11" s="385" t="n"/>
      <c r="CT11" s="386">
        <f>IF(Q8="作業者2",N11-N8,0)</f>
        <v/>
      </c>
      <c r="CU11" s="387" t="n"/>
      <c r="CV11" s="387" t="n"/>
      <c r="CW11" s="387" t="n"/>
      <c r="CX11" s="388" t="n"/>
      <c r="CZ11" s="254" t="inlineStr">
        <is>
          <t>休日</t>
        </is>
      </c>
      <c r="DA11" s="395" t="n"/>
      <c r="DB11" s="395" t="n"/>
      <c r="DC11" s="396" t="n"/>
      <c r="DD11" s="397">
        <f>IF(Q8="作業者3",N11-N8,0)</f>
        <v/>
      </c>
      <c r="DE11" s="395" t="n"/>
      <c r="DF11" s="395" t="n"/>
      <c r="DG11" s="395" t="n"/>
      <c r="DH11" s="396" t="n"/>
      <c r="DJ11" s="254" t="inlineStr">
        <is>
          <t>休日</t>
        </is>
      </c>
      <c r="DK11" s="395" t="n"/>
      <c r="DL11" s="395" t="n"/>
      <c r="DM11" s="396" t="n"/>
      <c r="DN11" s="397">
        <f>IF(Q8="作業者4",N11-N8,0)</f>
        <v/>
      </c>
      <c r="DO11" s="395" t="n"/>
      <c r="DP11" s="395" t="n"/>
      <c r="DQ11" s="395" t="n"/>
      <c r="DR11" s="396" t="n"/>
      <c r="DT11" s="254" t="inlineStr">
        <is>
          <t>休日</t>
        </is>
      </c>
      <c r="DU11" s="395" t="n"/>
      <c r="DV11" s="395" t="n"/>
      <c r="DW11" s="396" t="n"/>
      <c r="DX11" s="397">
        <f>IF(Q8="作業者5",N11-N8,0)</f>
        <v/>
      </c>
      <c r="DY11" s="395" t="n"/>
      <c r="DZ11" s="395" t="n"/>
      <c r="EA11" s="395" t="n"/>
      <c r="EB11" s="396" t="n"/>
    </row>
    <row r="12" ht="9" customHeight="1" s="337">
      <c r="B12" s="398" t="n"/>
      <c r="C12" s="372" t="n"/>
      <c r="D12" s="373" t="n"/>
      <c r="E12" s="399" t="n"/>
      <c r="F12" s="372" t="n"/>
      <c r="G12" s="373" t="n"/>
      <c r="H12" s="399" t="n"/>
      <c r="I12" s="372" t="n"/>
      <c r="J12" s="373" t="n"/>
      <c r="K12" s="399" t="n"/>
      <c r="L12" s="372" t="n"/>
      <c r="M12" s="373" t="n"/>
      <c r="N12" s="399" t="n"/>
      <c r="O12" s="372" t="n"/>
      <c r="P12" s="373" t="n"/>
      <c r="Q12" s="371" t="n"/>
      <c r="R12" s="372" t="n"/>
      <c r="S12" s="373" t="n"/>
      <c r="T12" s="371" t="n"/>
      <c r="U12" s="372" t="n"/>
      <c r="V12" s="373" t="n"/>
      <c r="W12" s="443" t="n"/>
      <c r="X12" s="372" t="n"/>
      <c r="Y12" s="372" t="n"/>
      <c r="Z12" s="372" t="n"/>
      <c r="AA12" s="372" t="n"/>
      <c r="AB12" s="372" t="n"/>
      <c r="AC12" s="372" t="n"/>
      <c r="AD12" s="372" t="n"/>
      <c r="AE12" s="372" t="n"/>
      <c r="AF12" s="372" t="n"/>
      <c r="AG12" s="372" t="n"/>
      <c r="AH12" s="372" t="n"/>
      <c r="AI12" s="372" t="n"/>
      <c r="AJ12" s="372" t="n"/>
      <c r="AK12" s="372" t="n"/>
      <c r="AL12" s="372" t="n"/>
      <c r="AM12" s="372" t="n"/>
      <c r="AN12" s="372" t="n"/>
      <c r="AO12" s="372" t="n"/>
      <c r="AP12" s="372" t="n"/>
      <c r="AQ12" s="372" t="n"/>
      <c r="AR12" s="372" t="n"/>
      <c r="AS12" s="372" t="n"/>
      <c r="AT12" s="372" t="n"/>
      <c r="AU12" s="372" t="n"/>
      <c r="AV12" s="372" t="n"/>
      <c r="AW12" s="372" t="n"/>
      <c r="AX12" s="372" t="n"/>
      <c r="AY12" s="372" t="n"/>
      <c r="AZ12" s="372" t="n"/>
      <c r="BA12" s="372" t="n"/>
      <c r="BB12" s="372" t="n"/>
      <c r="BC12" s="372" t="n"/>
      <c r="BD12" s="372" t="n"/>
      <c r="BE12" s="372" t="n"/>
      <c r="BF12" s="372" t="n"/>
      <c r="BG12" s="372" t="n"/>
      <c r="BH12" s="372" t="n"/>
      <c r="BI12" s="372" t="n"/>
      <c r="BJ12" s="372" t="n"/>
      <c r="BK12" s="372" t="n"/>
      <c r="BL12" s="372" t="n"/>
      <c r="BM12" s="372" t="n"/>
      <c r="BN12" s="372" t="n"/>
      <c r="BO12" s="372" t="n"/>
      <c r="BP12" s="372" t="n"/>
      <c r="BQ12" s="372" t="n"/>
      <c r="BR12" s="372" t="n"/>
      <c r="BS12" s="372" t="n"/>
      <c r="BT12" s="372" t="n"/>
      <c r="BU12" s="372" t="n"/>
      <c r="BV12" s="372" t="n"/>
      <c r="BW12" s="372" t="n"/>
      <c r="BX12" s="372" t="n"/>
      <c r="BY12" s="372" t="n"/>
      <c r="BZ12" s="372" t="n"/>
      <c r="CA12" s="372" t="n"/>
      <c r="CB12" s="372" t="n"/>
      <c r="CC12" s="402" t="n"/>
      <c r="CF12" s="248" t="inlineStr">
        <is>
          <t>移動</t>
        </is>
      </c>
      <c r="CG12" s="377" t="n"/>
      <c r="CH12" s="377" t="n"/>
      <c r="CI12" s="378" t="n"/>
      <c r="CJ12" s="379">
        <f>IF(Q12="作業者1",E15-E12,0)</f>
        <v/>
      </c>
      <c r="CK12" s="377" t="n"/>
      <c r="CL12" s="377" t="n"/>
      <c r="CM12" s="377" t="n"/>
      <c r="CN12" s="378" t="n"/>
      <c r="CP12" s="248" t="inlineStr">
        <is>
          <t>移動</t>
        </is>
      </c>
      <c r="CQ12" s="377" t="n"/>
      <c r="CR12" s="377" t="n"/>
      <c r="CS12" s="378" t="n"/>
      <c r="CT12" s="379">
        <f>IF(Q12="作業者2",E15-E12,0)</f>
        <v/>
      </c>
      <c r="CU12" s="377" t="n"/>
      <c r="CV12" s="377" t="n"/>
      <c r="CW12" s="377" t="n"/>
      <c r="CX12" s="378" t="n"/>
      <c r="CZ12" s="259" t="inlineStr">
        <is>
          <t>移動</t>
        </is>
      </c>
      <c r="DA12" s="403" t="n"/>
      <c r="DB12" s="403" t="n"/>
      <c r="DC12" s="404" t="n"/>
      <c r="DD12" s="405">
        <f>IF(Q12="作業者3",E15-E12,0)</f>
        <v/>
      </c>
      <c r="DE12" s="406" t="n"/>
      <c r="DF12" s="406" t="n"/>
      <c r="DG12" s="406" t="n"/>
      <c r="DH12" s="407" t="n"/>
      <c r="DJ12" s="259" t="inlineStr">
        <is>
          <t>移動</t>
        </is>
      </c>
      <c r="DK12" s="403" t="n"/>
      <c r="DL12" s="403" t="n"/>
      <c r="DM12" s="404" t="n"/>
      <c r="DN12" s="379">
        <f>IF(Q12="作業者4",E15-E12,0)</f>
        <v/>
      </c>
      <c r="DO12" s="377" t="n"/>
      <c r="DP12" s="377" t="n"/>
      <c r="DQ12" s="377" t="n"/>
      <c r="DR12" s="378" t="n"/>
      <c r="DT12" s="259" t="inlineStr">
        <is>
          <t>移動</t>
        </is>
      </c>
      <c r="DU12" s="403" t="n"/>
      <c r="DV12" s="403" t="n"/>
      <c r="DW12" s="404" t="n"/>
      <c r="DX12" s="379">
        <f>IF(Q12="作業者5",E15-E12,0)</f>
        <v/>
      </c>
      <c r="DY12" s="377" t="n"/>
      <c r="DZ12" s="377" t="n"/>
      <c r="EA12" s="377" t="n"/>
      <c r="EB12" s="378" t="n"/>
    </row>
    <row r="13" ht="9" customHeight="1" s="337">
      <c r="B13" s="350" t="n"/>
      <c r="C13" s="338" t="n"/>
      <c r="D13" s="380" t="n"/>
      <c r="E13" s="381" t="n"/>
      <c r="F13" s="122" t="inlineStr">
        <is>
          <t>～</t>
        </is>
      </c>
      <c r="G13" s="22" t="n"/>
      <c r="H13" s="381" t="n"/>
      <c r="I13" s="122" t="inlineStr">
        <is>
          <t>～</t>
        </is>
      </c>
      <c r="J13" s="22" t="n"/>
      <c r="K13" s="381" t="n"/>
      <c r="L13" s="122" t="inlineStr">
        <is>
          <t>～</t>
        </is>
      </c>
      <c r="M13" s="22" t="n"/>
      <c r="N13" s="381" t="n"/>
      <c r="O13" s="122" t="inlineStr">
        <is>
          <t>～</t>
        </is>
      </c>
      <c r="P13" s="22" t="n"/>
      <c r="Q13" s="382" t="n"/>
      <c r="R13" s="338" t="n"/>
      <c r="S13" s="380" t="n"/>
      <c r="T13" s="382" t="n"/>
      <c r="U13" s="338" t="n"/>
      <c r="V13" s="380" t="n"/>
      <c r="W13" s="382" t="n"/>
      <c r="X13" s="338" t="n"/>
      <c r="Y13" s="338" t="n"/>
      <c r="Z13" s="338" t="n"/>
      <c r="AA13" s="338" t="n"/>
      <c r="AB13" s="338" t="n"/>
      <c r="AC13" s="338" t="n"/>
      <c r="AD13" s="338" t="n"/>
      <c r="AE13" s="338" t="n"/>
      <c r="AF13" s="338" t="n"/>
      <c r="AG13" s="338" t="n"/>
      <c r="AH13" s="338" t="n"/>
      <c r="AI13" s="338" t="n"/>
      <c r="AJ13" s="338" t="n"/>
      <c r="AK13" s="338" t="n"/>
      <c r="AL13" s="338" t="n"/>
      <c r="AM13" s="338" t="n"/>
      <c r="AN13" s="338" t="n"/>
      <c r="AO13" s="338" t="n"/>
      <c r="AP13" s="338" t="n"/>
      <c r="AQ13" s="338" t="n"/>
      <c r="AR13" s="338" t="n"/>
      <c r="AS13" s="338" t="n"/>
      <c r="AT13" s="338" t="n"/>
      <c r="AU13" s="338" t="n"/>
      <c r="AV13" s="338" t="n"/>
      <c r="AW13" s="338" t="n"/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8" t="n"/>
      <c r="BH13" s="338" t="n"/>
      <c r="BI13" s="338" t="n"/>
      <c r="BJ13" s="338" t="n"/>
      <c r="BK13" s="338" t="n"/>
      <c r="BL13" s="338" t="n"/>
      <c r="BM13" s="338" t="n"/>
      <c r="BN13" s="338" t="n"/>
      <c r="BO13" s="338" t="n"/>
      <c r="BP13" s="338" t="n"/>
      <c r="BQ13" s="338" t="n"/>
      <c r="BR13" s="338" t="n"/>
      <c r="BS13" s="338" t="n"/>
      <c r="BT13" s="338" t="n"/>
      <c r="BU13" s="338" t="n"/>
      <c r="BV13" s="338" t="n"/>
      <c r="BW13" s="338" t="n"/>
      <c r="BX13" s="338" t="n"/>
      <c r="BY13" s="338" t="n"/>
      <c r="BZ13" s="338" t="n"/>
      <c r="CA13" s="338" t="n"/>
      <c r="CB13" s="338" t="n"/>
      <c r="CC13" s="383" t="n"/>
      <c r="CF13" s="253" t="inlineStr">
        <is>
          <t>時間内</t>
        </is>
      </c>
      <c r="CG13" s="384" t="n"/>
      <c r="CH13" s="384" t="n"/>
      <c r="CI13" s="385" t="n"/>
      <c r="CJ13" s="386">
        <f>IF(Q12="作業者1",H15-H12,0)</f>
        <v/>
      </c>
      <c r="CK13" s="387" t="n"/>
      <c r="CL13" s="387" t="n"/>
      <c r="CM13" s="387" t="n"/>
      <c r="CN13" s="388" t="n"/>
      <c r="CP13" s="253" t="inlineStr">
        <is>
          <t>時間内</t>
        </is>
      </c>
      <c r="CQ13" s="384" t="n"/>
      <c r="CR13" s="384" t="n"/>
      <c r="CS13" s="385" t="n"/>
      <c r="CT13" s="386">
        <f>IF(Q12="作業者2",H15-H12,0)</f>
        <v/>
      </c>
      <c r="CU13" s="387" t="n"/>
      <c r="CV13" s="387" t="n"/>
      <c r="CW13" s="387" t="n"/>
      <c r="CX13" s="388" t="n"/>
      <c r="CZ13" s="253" t="inlineStr">
        <is>
          <t>時間内</t>
        </is>
      </c>
      <c r="DA13" s="384" t="n"/>
      <c r="DB13" s="384" t="n"/>
      <c r="DC13" s="385" t="n"/>
      <c r="DD13" s="386">
        <f>IF(Q12="作業者3",H15-H12,0)</f>
        <v/>
      </c>
      <c r="DE13" s="387" t="n"/>
      <c r="DF13" s="387" t="n"/>
      <c r="DG13" s="387" t="n"/>
      <c r="DH13" s="388" t="n"/>
      <c r="DJ13" s="253" t="inlineStr">
        <is>
          <t>時間内</t>
        </is>
      </c>
      <c r="DK13" s="384" t="n"/>
      <c r="DL13" s="384" t="n"/>
      <c r="DM13" s="385" t="n"/>
      <c r="DN13" s="386">
        <f>IF(Q12="作業者4",H15-H12,0)</f>
        <v/>
      </c>
      <c r="DO13" s="387" t="n"/>
      <c r="DP13" s="387" t="n"/>
      <c r="DQ13" s="387" t="n"/>
      <c r="DR13" s="388" t="n"/>
      <c r="DT13" s="253" t="inlineStr">
        <is>
          <t>時間内</t>
        </is>
      </c>
      <c r="DU13" s="384" t="n"/>
      <c r="DV13" s="384" t="n"/>
      <c r="DW13" s="385" t="n"/>
      <c r="DX13" s="386">
        <f>IF(Q12="作業者5",H15-H12,0)</f>
        <v/>
      </c>
      <c r="DY13" s="387" t="n"/>
      <c r="DZ13" s="387" t="n"/>
      <c r="EA13" s="387" t="n"/>
      <c r="EB13" s="388" t="n"/>
    </row>
    <row r="14" ht="9" customHeight="1" s="337">
      <c r="B14" s="350" t="n"/>
      <c r="C14" s="338" t="n"/>
      <c r="D14" s="380" t="n"/>
      <c r="E14" s="44" t="n"/>
      <c r="F14" s="338" t="n"/>
      <c r="G14" s="24" t="n"/>
      <c r="H14" s="44" t="n"/>
      <c r="I14" s="338" t="n"/>
      <c r="J14" s="24" t="n"/>
      <c r="K14" s="44" t="n"/>
      <c r="L14" s="338" t="n"/>
      <c r="M14" s="24" t="n"/>
      <c r="N14" s="44" t="n"/>
      <c r="O14" s="338" t="n"/>
      <c r="P14" s="24" t="n"/>
      <c r="Q14" s="382" t="n"/>
      <c r="R14" s="338" t="n"/>
      <c r="S14" s="380" t="n"/>
      <c r="T14" s="382" t="n"/>
      <c r="U14" s="338" t="n"/>
      <c r="V14" s="380" t="n"/>
      <c r="W14" s="382" t="n"/>
      <c r="X14" s="338" t="n"/>
      <c r="Y14" s="338" t="n"/>
      <c r="Z14" s="338" t="n"/>
      <c r="AA14" s="338" t="n"/>
      <c r="AB14" s="338" t="n"/>
      <c r="AC14" s="338" t="n"/>
      <c r="AD14" s="338" t="n"/>
      <c r="AE14" s="338" t="n"/>
      <c r="AF14" s="338" t="n"/>
      <c r="AG14" s="338" t="n"/>
      <c r="AH14" s="338" t="n"/>
      <c r="AI14" s="338" t="n"/>
      <c r="AJ14" s="338" t="n"/>
      <c r="AK14" s="338" t="n"/>
      <c r="AL14" s="338" t="n"/>
      <c r="AM14" s="338" t="n"/>
      <c r="AN14" s="338" t="n"/>
      <c r="AO14" s="338" t="n"/>
      <c r="AP14" s="338" t="n"/>
      <c r="AQ14" s="338" t="n"/>
      <c r="AR14" s="338" t="n"/>
      <c r="AS14" s="338" t="n"/>
      <c r="AT14" s="338" t="n"/>
      <c r="AU14" s="338" t="n"/>
      <c r="AV14" s="338" t="n"/>
      <c r="AW14" s="338" t="n"/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8" t="n"/>
      <c r="BH14" s="338" t="n"/>
      <c r="BI14" s="338" t="n"/>
      <c r="BJ14" s="338" t="n"/>
      <c r="BK14" s="338" t="n"/>
      <c r="BL14" s="338" t="n"/>
      <c r="BM14" s="338" t="n"/>
      <c r="BN14" s="338" t="n"/>
      <c r="BO14" s="338" t="n"/>
      <c r="BP14" s="338" t="n"/>
      <c r="BQ14" s="338" t="n"/>
      <c r="BR14" s="338" t="n"/>
      <c r="BS14" s="338" t="n"/>
      <c r="BT14" s="338" t="n"/>
      <c r="BU14" s="338" t="n"/>
      <c r="BV14" s="338" t="n"/>
      <c r="BW14" s="338" t="n"/>
      <c r="BX14" s="338" t="n"/>
      <c r="BY14" s="338" t="n"/>
      <c r="BZ14" s="338" t="n"/>
      <c r="CA14" s="338" t="n"/>
      <c r="CB14" s="338" t="n"/>
      <c r="CC14" s="383" t="n"/>
      <c r="CF14" s="253" t="inlineStr">
        <is>
          <t>時間外</t>
        </is>
      </c>
      <c r="CG14" s="384" t="n"/>
      <c r="CH14" s="384" t="n"/>
      <c r="CI14" s="385" t="n"/>
      <c r="CJ14" s="386">
        <f>IF(Q12="作業者1",K15-K12,0)</f>
        <v/>
      </c>
      <c r="CK14" s="387" t="n"/>
      <c r="CL14" s="387" t="n"/>
      <c r="CM14" s="387" t="n"/>
      <c r="CN14" s="388" t="n"/>
      <c r="CP14" s="253" t="inlineStr">
        <is>
          <t>時間外</t>
        </is>
      </c>
      <c r="CQ14" s="384" t="n"/>
      <c r="CR14" s="384" t="n"/>
      <c r="CS14" s="385" t="n"/>
      <c r="CT14" s="386">
        <f>IF(Q12="作業者2",K15-K12,0)</f>
        <v/>
      </c>
      <c r="CU14" s="387" t="n"/>
      <c r="CV14" s="387" t="n"/>
      <c r="CW14" s="387" t="n"/>
      <c r="CX14" s="388" t="n"/>
      <c r="CZ14" s="253" t="inlineStr">
        <is>
          <t>時間外</t>
        </is>
      </c>
      <c r="DA14" s="384" t="n"/>
      <c r="DB14" s="384" t="n"/>
      <c r="DC14" s="385" t="n"/>
      <c r="DD14" s="386">
        <f>IF(Q12="作業者3",K15-K12,0)</f>
        <v/>
      </c>
      <c r="DE14" s="387" t="n"/>
      <c r="DF14" s="387" t="n"/>
      <c r="DG14" s="387" t="n"/>
      <c r="DH14" s="388" t="n"/>
      <c r="DJ14" s="253" t="inlineStr">
        <is>
          <t>時間外</t>
        </is>
      </c>
      <c r="DK14" s="384" t="n"/>
      <c r="DL14" s="384" t="n"/>
      <c r="DM14" s="385" t="n"/>
      <c r="DN14" s="386">
        <f>IF(Q12="作業者4",K15-K12,0)</f>
        <v/>
      </c>
      <c r="DO14" s="387" t="n"/>
      <c r="DP14" s="387" t="n"/>
      <c r="DQ14" s="387" t="n"/>
      <c r="DR14" s="388" t="n"/>
      <c r="DT14" s="253" t="inlineStr">
        <is>
          <t>時間外</t>
        </is>
      </c>
      <c r="DU14" s="384" t="n"/>
      <c r="DV14" s="384" t="n"/>
      <c r="DW14" s="385" t="n"/>
      <c r="DX14" s="386">
        <f>IF(Q12="作業者5",K15-K12,0)</f>
        <v/>
      </c>
      <c r="DY14" s="387" t="n"/>
      <c r="DZ14" s="387" t="n"/>
      <c r="EA14" s="387" t="n"/>
      <c r="EB14" s="388" t="n"/>
    </row>
    <row r="15" ht="9" customHeight="1" s="337">
      <c r="B15" s="389" t="n"/>
      <c r="C15" s="390" t="n"/>
      <c r="D15" s="391" t="n"/>
      <c r="E15" s="392" t="n"/>
      <c r="F15" s="390" t="n"/>
      <c r="G15" s="391" t="n"/>
      <c r="H15" s="392" t="n"/>
      <c r="I15" s="390" t="n"/>
      <c r="J15" s="391" t="n"/>
      <c r="K15" s="392" t="n"/>
      <c r="L15" s="390" t="n"/>
      <c r="M15" s="391" t="n"/>
      <c r="N15" s="392" t="n"/>
      <c r="O15" s="390" t="n"/>
      <c r="P15" s="391" t="n"/>
      <c r="Q15" s="393" t="n"/>
      <c r="R15" s="390" t="n"/>
      <c r="S15" s="391" t="n"/>
      <c r="T15" s="393" t="n"/>
      <c r="U15" s="390" t="n"/>
      <c r="V15" s="391" t="n"/>
      <c r="W15" s="393" t="n"/>
      <c r="X15" s="390" t="n"/>
      <c r="Y15" s="390" t="n"/>
      <c r="Z15" s="390" t="n"/>
      <c r="AA15" s="390" t="n"/>
      <c r="AB15" s="390" t="n"/>
      <c r="AC15" s="390" t="n"/>
      <c r="AD15" s="390" t="n"/>
      <c r="AE15" s="390" t="n"/>
      <c r="AF15" s="390" t="n"/>
      <c r="AG15" s="390" t="n"/>
      <c r="AH15" s="390" t="n"/>
      <c r="AI15" s="390" t="n"/>
      <c r="AJ15" s="390" t="n"/>
      <c r="AK15" s="390" t="n"/>
      <c r="AL15" s="390" t="n"/>
      <c r="AM15" s="390" t="n"/>
      <c r="AN15" s="390" t="n"/>
      <c r="AO15" s="390" t="n"/>
      <c r="AP15" s="390" t="n"/>
      <c r="AQ15" s="390" t="n"/>
      <c r="AR15" s="390" t="n"/>
      <c r="AS15" s="390" t="n"/>
      <c r="AT15" s="390" t="n"/>
      <c r="AU15" s="390" t="n"/>
      <c r="AV15" s="390" t="n"/>
      <c r="AW15" s="390" t="n"/>
      <c r="AX15" s="390" t="n"/>
      <c r="AY15" s="390" t="n"/>
      <c r="AZ15" s="390" t="n"/>
      <c r="BA15" s="390" t="n"/>
      <c r="BB15" s="390" t="n"/>
      <c r="BC15" s="390" t="n"/>
      <c r="BD15" s="390" t="n"/>
      <c r="BE15" s="390" t="n"/>
      <c r="BF15" s="390" t="n"/>
      <c r="BG15" s="390" t="n"/>
      <c r="BH15" s="390" t="n"/>
      <c r="BI15" s="390" t="n"/>
      <c r="BJ15" s="390" t="n"/>
      <c r="BK15" s="390" t="n"/>
      <c r="BL15" s="390" t="n"/>
      <c r="BM15" s="390" t="n"/>
      <c r="BN15" s="390" t="n"/>
      <c r="BO15" s="390" t="n"/>
      <c r="BP15" s="390" t="n"/>
      <c r="BQ15" s="390" t="n"/>
      <c r="BR15" s="390" t="n"/>
      <c r="BS15" s="390" t="n"/>
      <c r="BT15" s="390" t="n"/>
      <c r="BU15" s="390" t="n"/>
      <c r="BV15" s="390" t="n"/>
      <c r="BW15" s="390" t="n"/>
      <c r="BX15" s="390" t="n"/>
      <c r="BY15" s="390" t="n"/>
      <c r="BZ15" s="390" t="n"/>
      <c r="CA15" s="390" t="n"/>
      <c r="CB15" s="390" t="n"/>
      <c r="CC15" s="394" t="n"/>
      <c r="CF15" s="254" t="inlineStr">
        <is>
          <t>休日</t>
        </is>
      </c>
      <c r="CG15" s="395" t="n"/>
      <c r="CH15" s="395" t="n"/>
      <c r="CI15" s="396" t="n"/>
      <c r="CJ15" s="397">
        <f>IF(Q12="作業者1",N15-N12,0)</f>
        <v/>
      </c>
      <c r="CK15" s="395" t="n"/>
      <c r="CL15" s="395" t="n"/>
      <c r="CM15" s="395" t="n"/>
      <c r="CN15" s="396" t="n"/>
      <c r="CP15" s="254" t="inlineStr">
        <is>
          <t>休日</t>
        </is>
      </c>
      <c r="CQ15" s="395" t="n"/>
      <c r="CR15" s="395" t="n"/>
      <c r="CS15" s="396" t="n"/>
      <c r="CT15" s="397">
        <f>IF(Q12="作業者2",N15-N12,0)</f>
        <v/>
      </c>
      <c r="CU15" s="395" t="n"/>
      <c r="CV15" s="395" t="n"/>
      <c r="CW15" s="395" t="n"/>
      <c r="CX15" s="396" t="n"/>
      <c r="CZ15" s="254" t="inlineStr">
        <is>
          <t>休日</t>
        </is>
      </c>
      <c r="DA15" s="395" t="n"/>
      <c r="DB15" s="395" t="n"/>
      <c r="DC15" s="396" t="n"/>
      <c r="DD15" s="397">
        <f>IF(Q12="作業者3",N15-N12,0)</f>
        <v/>
      </c>
      <c r="DE15" s="395" t="n"/>
      <c r="DF15" s="395" t="n"/>
      <c r="DG15" s="395" t="n"/>
      <c r="DH15" s="396" t="n"/>
      <c r="DJ15" s="254" t="inlineStr">
        <is>
          <t>休日</t>
        </is>
      </c>
      <c r="DK15" s="395" t="n"/>
      <c r="DL15" s="395" t="n"/>
      <c r="DM15" s="396" t="n"/>
      <c r="DN15" s="397">
        <f>IF(Q12="作業者4",N15-N12,0)</f>
        <v/>
      </c>
      <c r="DO15" s="395" t="n"/>
      <c r="DP15" s="395" t="n"/>
      <c r="DQ15" s="395" t="n"/>
      <c r="DR15" s="396" t="n"/>
      <c r="DT15" s="254" t="inlineStr">
        <is>
          <t>休日</t>
        </is>
      </c>
      <c r="DU15" s="395" t="n"/>
      <c r="DV15" s="395" t="n"/>
      <c r="DW15" s="396" t="n"/>
      <c r="DX15" s="397">
        <f>IF(Q12="作業者5",N15-N12,0)</f>
        <v/>
      </c>
      <c r="DY15" s="395" t="n"/>
      <c r="DZ15" s="395" t="n"/>
      <c r="EA15" s="395" t="n"/>
      <c r="EB15" s="396" t="n"/>
    </row>
    <row r="16" ht="9" customHeight="1" s="337">
      <c r="B16" s="398" t="n"/>
      <c r="C16" s="372" t="n"/>
      <c r="D16" s="373" t="n"/>
      <c r="E16" s="399" t="n"/>
      <c r="F16" s="372" t="n"/>
      <c r="G16" s="373" t="n"/>
      <c r="H16" s="399" t="n"/>
      <c r="I16" s="372" t="n"/>
      <c r="J16" s="373" t="n"/>
      <c r="K16" s="399" t="n"/>
      <c r="L16" s="372" t="n"/>
      <c r="M16" s="373" t="n"/>
      <c r="N16" s="399" t="n"/>
      <c r="O16" s="372" t="n"/>
      <c r="P16" s="373" t="n"/>
      <c r="Q16" s="371" t="n"/>
      <c r="R16" s="372" t="n"/>
      <c r="S16" s="373" t="n"/>
      <c r="T16" s="400" t="n"/>
      <c r="U16" s="372" t="n"/>
      <c r="V16" s="373" t="n"/>
      <c r="W16" s="443" t="n"/>
      <c r="X16" s="372" t="n"/>
      <c r="Y16" s="372" t="n"/>
      <c r="Z16" s="372" t="n"/>
      <c r="AA16" s="372" t="n"/>
      <c r="AB16" s="372" t="n"/>
      <c r="AC16" s="372" t="n"/>
      <c r="AD16" s="372" t="n"/>
      <c r="AE16" s="372" t="n"/>
      <c r="AF16" s="372" t="n"/>
      <c r="AG16" s="372" t="n"/>
      <c r="AH16" s="372" t="n"/>
      <c r="AI16" s="372" t="n"/>
      <c r="AJ16" s="372" t="n"/>
      <c r="AK16" s="372" t="n"/>
      <c r="AL16" s="372" t="n"/>
      <c r="AM16" s="372" t="n"/>
      <c r="AN16" s="372" t="n"/>
      <c r="AO16" s="372" t="n"/>
      <c r="AP16" s="372" t="n"/>
      <c r="AQ16" s="372" t="n"/>
      <c r="AR16" s="372" t="n"/>
      <c r="AS16" s="372" t="n"/>
      <c r="AT16" s="372" t="n"/>
      <c r="AU16" s="372" t="n"/>
      <c r="AV16" s="372" t="n"/>
      <c r="AW16" s="372" t="n"/>
      <c r="AX16" s="372" t="n"/>
      <c r="AY16" s="372" t="n"/>
      <c r="AZ16" s="372" t="n"/>
      <c r="BA16" s="372" t="n"/>
      <c r="BB16" s="372" t="n"/>
      <c r="BC16" s="372" t="n"/>
      <c r="BD16" s="372" t="n"/>
      <c r="BE16" s="372" t="n"/>
      <c r="BF16" s="372" t="n"/>
      <c r="BG16" s="372" t="n"/>
      <c r="BH16" s="372" t="n"/>
      <c r="BI16" s="372" t="n"/>
      <c r="BJ16" s="372" t="n"/>
      <c r="BK16" s="372" t="n"/>
      <c r="BL16" s="372" t="n"/>
      <c r="BM16" s="372" t="n"/>
      <c r="BN16" s="372" t="n"/>
      <c r="BO16" s="372" t="n"/>
      <c r="BP16" s="372" t="n"/>
      <c r="BQ16" s="372" t="n"/>
      <c r="BR16" s="372" t="n"/>
      <c r="BS16" s="372" t="n"/>
      <c r="BT16" s="372" t="n"/>
      <c r="BU16" s="372" t="n"/>
      <c r="BV16" s="372" t="n"/>
      <c r="BW16" s="372" t="n"/>
      <c r="BX16" s="372" t="n"/>
      <c r="BY16" s="372" t="n"/>
      <c r="BZ16" s="372" t="n"/>
      <c r="CA16" s="372" t="n"/>
      <c r="CB16" s="372" t="n"/>
      <c r="CC16" s="402" t="n"/>
      <c r="CD16" s="30" t="n"/>
      <c r="CE16" s="31" t="n"/>
      <c r="CF16" s="259" t="inlineStr">
        <is>
          <t>移動</t>
        </is>
      </c>
      <c r="CG16" s="403" t="n"/>
      <c r="CH16" s="403" t="n"/>
      <c r="CI16" s="404" t="n"/>
      <c r="CJ16" s="379">
        <f>IF(Q16="作業者1",E19-E16,0)</f>
        <v/>
      </c>
      <c r="CK16" s="377" t="n"/>
      <c r="CL16" s="377" t="n"/>
      <c r="CM16" s="377" t="n"/>
      <c r="CN16" s="378" t="n"/>
      <c r="CP16" s="248" t="inlineStr">
        <is>
          <t>移動</t>
        </is>
      </c>
      <c r="CQ16" s="377" t="n"/>
      <c r="CR16" s="377" t="n"/>
      <c r="CS16" s="378" t="n"/>
      <c r="CT16" s="379">
        <f>IF(Q16="作業者2",E19-E16,0)</f>
        <v/>
      </c>
      <c r="CU16" s="377" t="n"/>
      <c r="CV16" s="377" t="n"/>
      <c r="CW16" s="377" t="n"/>
      <c r="CX16" s="378" t="n"/>
      <c r="CZ16" s="259" t="inlineStr">
        <is>
          <t>移動</t>
        </is>
      </c>
      <c r="DA16" s="403" t="n"/>
      <c r="DB16" s="403" t="n"/>
      <c r="DC16" s="404" t="n"/>
      <c r="DD16" s="405">
        <f>IF(Q16="作業者3",E19-E16,0)</f>
        <v/>
      </c>
      <c r="DE16" s="406" t="n"/>
      <c r="DF16" s="406" t="n"/>
      <c r="DG16" s="406" t="n"/>
      <c r="DH16" s="407" t="n"/>
      <c r="DJ16" s="259" t="inlineStr">
        <is>
          <t>移動</t>
        </is>
      </c>
      <c r="DK16" s="403" t="n"/>
      <c r="DL16" s="403" t="n"/>
      <c r="DM16" s="404" t="n"/>
      <c r="DN16" s="379">
        <f>IF(Q16="作業者4",E19-E16,0)</f>
        <v/>
      </c>
      <c r="DO16" s="377" t="n"/>
      <c r="DP16" s="377" t="n"/>
      <c r="DQ16" s="377" t="n"/>
      <c r="DR16" s="378" t="n"/>
      <c r="DT16" s="259" t="inlineStr">
        <is>
          <t>移動</t>
        </is>
      </c>
      <c r="DU16" s="403" t="n"/>
      <c r="DV16" s="403" t="n"/>
      <c r="DW16" s="404" t="n"/>
      <c r="DX16" s="379">
        <f>IF(Q16="作業者5",E19-E16,0)</f>
        <v/>
      </c>
      <c r="DY16" s="377" t="n"/>
      <c r="DZ16" s="377" t="n"/>
      <c r="EA16" s="377" t="n"/>
      <c r="EB16" s="378" t="n"/>
    </row>
    <row r="17" ht="9" customHeight="1" s="337">
      <c r="B17" s="350" t="n"/>
      <c r="C17" s="338" t="n"/>
      <c r="D17" s="380" t="n"/>
      <c r="E17" s="381" t="n"/>
      <c r="F17" s="122" t="inlineStr">
        <is>
          <t>～</t>
        </is>
      </c>
      <c r="G17" s="22" t="n"/>
      <c r="H17" s="381" t="n"/>
      <c r="I17" s="122" t="inlineStr">
        <is>
          <t>～</t>
        </is>
      </c>
      <c r="J17" s="22" t="n"/>
      <c r="K17" s="381" t="n"/>
      <c r="L17" s="122" t="inlineStr">
        <is>
          <t>～</t>
        </is>
      </c>
      <c r="M17" s="22" t="n"/>
      <c r="N17" s="381" t="n"/>
      <c r="O17" s="122" t="inlineStr">
        <is>
          <t>～</t>
        </is>
      </c>
      <c r="P17" s="22" t="n"/>
      <c r="Q17" s="382" t="n"/>
      <c r="R17" s="338" t="n"/>
      <c r="S17" s="380" t="n"/>
      <c r="T17" s="382" t="n"/>
      <c r="U17" s="338" t="n"/>
      <c r="V17" s="380" t="n"/>
      <c r="W17" s="382" t="n"/>
      <c r="X17" s="338" t="n"/>
      <c r="Y17" s="338" t="n"/>
      <c r="Z17" s="338" t="n"/>
      <c r="AA17" s="338" t="n"/>
      <c r="AB17" s="338" t="n"/>
      <c r="AC17" s="338" t="n"/>
      <c r="AD17" s="338" t="n"/>
      <c r="AE17" s="338" t="n"/>
      <c r="AF17" s="338" t="n"/>
      <c r="AG17" s="338" t="n"/>
      <c r="AH17" s="338" t="n"/>
      <c r="AI17" s="338" t="n"/>
      <c r="AJ17" s="338" t="n"/>
      <c r="AK17" s="338" t="n"/>
      <c r="AL17" s="338" t="n"/>
      <c r="AM17" s="338" t="n"/>
      <c r="AN17" s="338" t="n"/>
      <c r="AO17" s="338" t="n"/>
      <c r="AP17" s="338" t="n"/>
      <c r="AQ17" s="338" t="n"/>
      <c r="AR17" s="338" t="n"/>
      <c r="AS17" s="338" t="n"/>
      <c r="AT17" s="338" t="n"/>
      <c r="AU17" s="338" t="n"/>
      <c r="AV17" s="338" t="n"/>
      <c r="AW17" s="338" t="n"/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8" t="n"/>
      <c r="BH17" s="338" t="n"/>
      <c r="BI17" s="338" t="n"/>
      <c r="BJ17" s="338" t="n"/>
      <c r="BK17" s="338" t="n"/>
      <c r="BL17" s="338" t="n"/>
      <c r="BM17" s="338" t="n"/>
      <c r="BN17" s="338" t="n"/>
      <c r="BO17" s="338" t="n"/>
      <c r="BP17" s="338" t="n"/>
      <c r="BQ17" s="338" t="n"/>
      <c r="BR17" s="338" t="n"/>
      <c r="BS17" s="338" t="n"/>
      <c r="BT17" s="338" t="n"/>
      <c r="BU17" s="338" t="n"/>
      <c r="BV17" s="338" t="n"/>
      <c r="BW17" s="338" t="n"/>
      <c r="BX17" s="338" t="n"/>
      <c r="BY17" s="338" t="n"/>
      <c r="BZ17" s="338" t="n"/>
      <c r="CA17" s="338" t="n"/>
      <c r="CB17" s="338" t="n"/>
      <c r="CC17" s="383" t="n"/>
      <c r="CD17" s="30" t="n"/>
      <c r="CE17" s="31" t="n"/>
      <c r="CF17" s="253" t="inlineStr">
        <is>
          <t>時間内</t>
        </is>
      </c>
      <c r="CG17" s="384" t="n"/>
      <c r="CH17" s="384" t="n"/>
      <c r="CI17" s="385" t="n"/>
      <c r="CJ17" s="386">
        <f>IF(Q16="作業者1",H19-H16,0)</f>
        <v/>
      </c>
      <c r="CK17" s="387" t="n"/>
      <c r="CL17" s="387" t="n"/>
      <c r="CM17" s="387" t="n"/>
      <c r="CN17" s="388" t="n"/>
      <c r="CP17" s="253" t="inlineStr">
        <is>
          <t>時間内</t>
        </is>
      </c>
      <c r="CQ17" s="384" t="n"/>
      <c r="CR17" s="384" t="n"/>
      <c r="CS17" s="385" t="n"/>
      <c r="CT17" s="386">
        <f>IF(Q16="作業者2",H19-H16,0)</f>
        <v/>
      </c>
      <c r="CU17" s="387" t="n"/>
      <c r="CV17" s="387" t="n"/>
      <c r="CW17" s="387" t="n"/>
      <c r="CX17" s="388" t="n"/>
      <c r="CZ17" s="253" t="inlineStr">
        <is>
          <t>時間内</t>
        </is>
      </c>
      <c r="DA17" s="384" t="n"/>
      <c r="DB17" s="384" t="n"/>
      <c r="DC17" s="385" t="n"/>
      <c r="DD17" s="386">
        <f>IF(Q16="作業者3",H19-H16,0)</f>
        <v/>
      </c>
      <c r="DE17" s="387" t="n"/>
      <c r="DF17" s="387" t="n"/>
      <c r="DG17" s="387" t="n"/>
      <c r="DH17" s="388" t="n"/>
      <c r="DJ17" s="253" t="inlineStr">
        <is>
          <t>時間内</t>
        </is>
      </c>
      <c r="DK17" s="384" t="n"/>
      <c r="DL17" s="384" t="n"/>
      <c r="DM17" s="385" t="n"/>
      <c r="DN17" s="386">
        <f>IF(Q16="作業者4",H19-H16,0)</f>
        <v/>
      </c>
      <c r="DO17" s="387" t="n"/>
      <c r="DP17" s="387" t="n"/>
      <c r="DQ17" s="387" t="n"/>
      <c r="DR17" s="388" t="n"/>
      <c r="DT17" s="253" t="inlineStr">
        <is>
          <t>時間内</t>
        </is>
      </c>
      <c r="DU17" s="384" t="n"/>
      <c r="DV17" s="384" t="n"/>
      <c r="DW17" s="385" t="n"/>
      <c r="DX17" s="386">
        <f>IF(Q16="作業者5",H19-H16,0)</f>
        <v/>
      </c>
      <c r="DY17" s="387" t="n"/>
      <c r="DZ17" s="387" t="n"/>
      <c r="EA17" s="387" t="n"/>
      <c r="EB17" s="388" t="n"/>
    </row>
    <row r="18" ht="9" customHeight="1" s="337">
      <c r="B18" s="350" t="n"/>
      <c r="C18" s="338" t="n"/>
      <c r="D18" s="380" t="n"/>
      <c r="E18" s="23" t="n"/>
      <c r="F18" s="338" t="n"/>
      <c r="G18" s="24" t="n"/>
      <c r="H18" s="23" t="n"/>
      <c r="I18" s="338" t="n"/>
      <c r="J18" s="24" t="n"/>
      <c r="K18" s="23" t="n"/>
      <c r="L18" s="338" t="n"/>
      <c r="M18" s="24" t="n"/>
      <c r="N18" s="23" t="n"/>
      <c r="O18" s="338" t="n"/>
      <c r="P18" s="24" t="n"/>
      <c r="Q18" s="382" t="n"/>
      <c r="R18" s="338" t="n"/>
      <c r="S18" s="380" t="n"/>
      <c r="T18" s="382" t="n"/>
      <c r="U18" s="338" t="n"/>
      <c r="V18" s="380" t="n"/>
      <c r="W18" s="382" t="n"/>
      <c r="X18" s="338" t="n"/>
      <c r="Y18" s="338" t="n"/>
      <c r="Z18" s="338" t="n"/>
      <c r="AA18" s="338" t="n"/>
      <c r="AB18" s="338" t="n"/>
      <c r="AC18" s="338" t="n"/>
      <c r="AD18" s="338" t="n"/>
      <c r="AE18" s="338" t="n"/>
      <c r="AF18" s="338" t="n"/>
      <c r="AG18" s="338" t="n"/>
      <c r="AH18" s="338" t="n"/>
      <c r="AI18" s="338" t="n"/>
      <c r="AJ18" s="338" t="n"/>
      <c r="AK18" s="338" t="n"/>
      <c r="AL18" s="338" t="n"/>
      <c r="AM18" s="338" t="n"/>
      <c r="AN18" s="338" t="n"/>
      <c r="AO18" s="338" t="n"/>
      <c r="AP18" s="338" t="n"/>
      <c r="AQ18" s="338" t="n"/>
      <c r="AR18" s="338" t="n"/>
      <c r="AS18" s="338" t="n"/>
      <c r="AT18" s="338" t="n"/>
      <c r="AU18" s="338" t="n"/>
      <c r="AV18" s="338" t="n"/>
      <c r="AW18" s="338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8" t="n"/>
      <c r="BH18" s="338" t="n"/>
      <c r="BI18" s="338" t="n"/>
      <c r="BJ18" s="338" t="n"/>
      <c r="BK18" s="338" t="n"/>
      <c r="BL18" s="338" t="n"/>
      <c r="BM18" s="338" t="n"/>
      <c r="BN18" s="338" t="n"/>
      <c r="BO18" s="338" t="n"/>
      <c r="BP18" s="338" t="n"/>
      <c r="BQ18" s="338" t="n"/>
      <c r="BR18" s="338" t="n"/>
      <c r="BS18" s="338" t="n"/>
      <c r="BT18" s="338" t="n"/>
      <c r="BU18" s="338" t="n"/>
      <c r="BV18" s="338" t="n"/>
      <c r="BW18" s="338" t="n"/>
      <c r="BX18" s="338" t="n"/>
      <c r="BY18" s="338" t="n"/>
      <c r="BZ18" s="338" t="n"/>
      <c r="CA18" s="338" t="n"/>
      <c r="CB18" s="338" t="n"/>
      <c r="CC18" s="383" t="n"/>
      <c r="CD18" s="30" t="n"/>
      <c r="CE18" s="31" t="n"/>
      <c r="CF18" s="253" t="inlineStr">
        <is>
          <t>時間外</t>
        </is>
      </c>
      <c r="CG18" s="384" t="n"/>
      <c r="CH18" s="384" t="n"/>
      <c r="CI18" s="385" t="n"/>
      <c r="CJ18" s="386">
        <f>IF(Q16="作業者1",K19-K16,0)</f>
        <v/>
      </c>
      <c r="CK18" s="387" t="n"/>
      <c r="CL18" s="387" t="n"/>
      <c r="CM18" s="387" t="n"/>
      <c r="CN18" s="388" t="n"/>
      <c r="CP18" s="253" t="inlineStr">
        <is>
          <t>時間外</t>
        </is>
      </c>
      <c r="CQ18" s="384" t="n"/>
      <c r="CR18" s="384" t="n"/>
      <c r="CS18" s="385" t="n"/>
      <c r="CT18" s="386">
        <f>IF(Q16="作業者2",K19-K16,0)</f>
        <v/>
      </c>
      <c r="CU18" s="387" t="n"/>
      <c r="CV18" s="387" t="n"/>
      <c r="CW18" s="387" t="n"/>
      <c r="CX18" s="388" t="n"/>
      <c r="CZ18" s="253" t="inlineStr">
        <is>
          <t>時間外</t>
        </is>
      </c>
      <c r="DA18" s="384" t="n"/>
      <c r="DB18" s="384" t="n"/>
      <c r="DC18" s="385" t="n"/>
      <c r="DD18" s="386">
        <f>IF(Q16="作業者3",K19-K16,0)</f>
        <v/>
      </c>
      <c r="DE18" s="387" t="n"/>
      <c r="DF18" s="387" t="n"/>
      <c r="DG18" s="387" t="n"/>
      <c r="DH18" s="388" t="n"/>
      <c r="DJ18" s="253" t="inlineStr">
        <is>
          <t>時間外</t>
        </is>
      </c>
      <c r="DK18" s="384" t="n"/>
      <c r="DL18" s="384" t="n"/>
      <c r="DM18" s="385" t="n"/>
      <c r="DN18" s="386">
        <f>IF(Q16="作業者4",K19-K16,0)</f>
        <v/>
      </c>
      <c r="DO18" s="387" t="n"/>
      <c r="DP18" s="387" t="n"/>
      <c r="DQ18" s="387" t="n"/>
      <c r="DR18" s="388" t="n"/>
      <c r="DT18" s="253" t="inlineStr">
        <is>
          <t>時間外</t>
        </is>
      </c>
      <c r="DU18" s="384" t="n"/>
      <c r="DV18" s="384" t="n"/>
      <c r="DW18" s="385" t="n"/>
      <c r="DX18" s="386">
        <f>IF(Q16="作業者5",K19-K16,0)</f>
        <v/>
      </c>
      <c r="DY18" s="387" t="n"/>
      <c r="DZ18" s="387" t="n"/>
      <c r="EA18" s="387" t="n"/>
      <c r="EB18" s="388" t="n"/>
    </row>
    <row r="19" ht="9" customHeight="1" s="337">
      <c r="B19" s="389" t="n"/>
      <c r="C19" s="390" t="n"/>
      <c r="D19" s="391" t="n"/>
      <c r="E19" s="392" t="n"/>
      <c r="F19" s="390" t="n"/>
      <c r="G19" s="391" t="n"/>
      <c r="H19" s="392" t="n"/>
      <c r="I19" s="390" t="n"/>
      <c r="J19" s="391" t="n"/>
      <c r="K19" s="392" t="n"/>
      <c r="L19" s="390" t="n"/>
      <c r="M19" s="391" t="n"/>
      <c r="N19" s="392" t="n"/>
      <c r="O19" s="390" t="n"/>
      <c r="P19" s="391" t="n"/>
      <c r="Q19" s="393" t="n"/>
      <c r="R19" s="390" t="n"/>
      <c r="S19" s="391" t="n"/>
      <c r="T19" s="393" t="n"/>
      <c r="U19" s="390" t="n"/>
      <c r="V19" s="391" t="n"/>
      <c r="W19" s="393" t="n"/>
      <c r="X19" s="390" t="n"/>
      <c r="Y19" s="390" t="n"/>
      <c r="Z19" s="390" t="n"/>
      <c r="AA19" s="390" t="n"/>
      <c r="AB19" s="390" t="n"/>
      <c r="AC19" s="390" t="n"/>
      <c r="AD19" s="390" t="n"/>
      <c r="AE19" s="390" t="n"/>
      <c r="AF19" s="390" t="n"/>
      <c r="AG19" s="390" t="n"/>
      <c r="AH19" s="390" t="n"/>
      <c r="AI19" s="390" t="n"/>
      <c r="AJ19" s="390" t="n"/>
      <c r="AK19" s="390" t="n"/>
      <c r="AL19" s="390" t="n"/>
      <c r="AM19" s="390" t="n"/>
      <c r="AN19" s="390" t="n"/>
      <c r="AO19" s="390" t="n"/>
      <c r="AP19" s="390" t="n"/>
      <c r="AQ19" s="390" t="n"/>
      <c r="AR19" s="390" t="n"/>
      <c r="AS19" s="390" t="n"/>
      <c r="AT19" s="390" t="n"/>
      <c r="AU19" s="390" t="n"/>
      <c r="AV19" s="390" t="n"/>
      <c r="AW19" s="390" t="n"/>
      <c r="AX19" s="390" t="n"/>
      <c r="AY19" s="390" t="n"/>
      <c r="AZ19" s="390" t="n"/>
      <c r="BA19" s="390" t="n"/>
      <c r="BB19" s="390" t="n"/>
      <c r="BC19" s="390" t="n"/>
      <c r="BD19" s="390" t="n"/>
      <c r="BE19" s="390" t="n"/>
      <c r="BF19" s="390" t="n"/>
      <c r="BG19" s="390" t="n"/>
      <c r="BH19" s="390" t="n"/>
      <c r="BI19" s="390" t="n"/>
      <c r="BJ19" s="390" t="n"/>
      <c r="BK19" s="390" t="n"/>
      <c r="BL19" s="390" t="n"/>
      <c r="BM19" s="390" t="n"/>
      <c r="BN19" s="390" t="n"/>
      <c r="BO19" s="390" t="n"/>
      <c r="BP19" s="390" t="n"/>
      <c r="BQ19" s="390" t="n"/>
      <c r="BR19" s="390" t="n"/>
      <c r="BS19" s="390" t="n"/>
      <c r="BT19" s="390" t="n"/>
      <c r="BU19" s="390" t="n"/>
      <c r="BV19" s="390" t="n"/>
      <c r="BW19" s="390" t="n"/>
      <c r="BX19" s="390" t="n"/>
      <c r="BY19" s="390" t="n"/>
      <c r="BZ19" s="390" t="n"/>
      <c r="CA19" s="390" t="n"/>
      <c r="CB19" s="390" t="n"/>
      <c r="CC19" s="394" t="n"/>
      <c r="CD19" s="30" t="n"/>
      <c r="CE19" s="31" t="n"/>
      <c r="CF19" s="249" t="inlineStr">
        <is>
          <t>休日</t>
        </is>
      </c>
      <c r="CG19" s="408" t="n"/>
      <c r="CH19" s="408" t="n"/>
      <c r="CI19" s="409" t="n"/>
      <c r="CJ19" s="386">
        <f>IF(Q16="作業者1",N19-N16,0)</f>
        <v/>
      </c>
      <c r="CK19" s="387" t="n"/>
      <c r="CL19" s="387" t="n"/>
      <c r="CM19" s="387" t="n"/>
      <c r="CN19" s="388" t="n"/>
      <c r="CP19" s="253" t="inlineStr">
        <is>
          <t>休日</t>
        </is>
      </c>
      <c r="CQ19" s="384" t="n"/>
      <c r="CR19" s="384" t="n"/>
      <c r="CS19" s="385" t="n"/>
      <c r="CT19" s="386">
        <f>IF(Q16="作業者2",N19-N16,0)</f>
        <v/>
      </c>
      <c r="CU19" s="387" t="n"/>
      <c r="CV19" s="387" t="n"/>
      <c r="CW19" s="387" t="n"/>
      <c r="CX19" s="388" t="n"/>
      <c r="CZ19" s="254" t="inlineStr">
        <is>
          <t>休日</t>
        </is>
      </c>
      <c r="DA19" s="395" t="n"/>
      <c r="DB19" s="395" t="n"/>
      <c r="DC19" s="396" t="n"/>
      <c r="DD19" s="397">
        <f>IF(Q16="作業者3",N19-N16,0)</f>
        <v/>
      </c>
      <c r="DE19" s="395" t="n"/>
      <c r="DF19" s="395" t="n"/>
      <c r="DG19" s="395" t="n"/>
      <c r="DH19" s="396" t="n"/>
      <c r="DJ19" s="254" t="inlineStr">
        <is>
          <t>休日</t>
        </is>
      </c>
      <c r="DK19" s="395" t="n"/>
      <c r="DL19" s="395" t="n"/>
      <c r="DM19" s="396" t="n"/>
      <c r="DN19" s="397">
        <f>IF(Q16="作業者4",N19-N16,0)</f>
        <v/>
      </c>
      <c r="DO19" s="395" t="n"/>
      <c r="DP19" s="395" t="n"/>
      <c r="DQ19" s="395" t="n"/>
      <c r="DR19" s="396" t="n"/>
      <c r="DT19" s="254" t="inlineStr">
        <is>
          <t>休日</t>
        </is>
      </c>
      <c r="DU19" s="395" t="n"/>
      <c r="DV19" s="395" t="n"/>
      <c r="DW19" s="396" t="n"/>
      <c r="DX19" s="397">
        <f>IF(Q16="作業者5",N19-N16,0)</f>
        <v/>
      </c>
      <c r="DY19" s="395" t="n"/>
      <c r="DZ19" s="395" t="n"/>
      <c r="EA19" s="395" t="n"/>
      <c r="EB19" s="396" t="n"/>
    </row>
    <row r="20" ht="9" customHeight="1" s="337">
      <c r="B20" s="398" t="n"/>
      <c r="C20" s="372" t="n"/>
      <c r="D20" s="373" t="n"/>
      <c r="E20" s="399" t="n"/>
      <c r="F20" s="372" t="n"/>
      <c r="G20" s="373" t="n"/>
      <c r="H20" s="399" t="n"/>
      <c r="I20" s="372" t="n"/>
      <c r="J20" s="373" t="n"/>
      <c r="K20" s="399" t="n"/>
      <c r="L20" s="372" t="n"/>
      <c r="M20" s="373" t="n"/>
      <c r="N20" s="399" t="n"/>
      <c r="O20" s="372" t="n"/>
      <c r="P20" s="373" t="n"/>
      <c r="Q20" s="371" t="n"/>
      <c r="R20" s="372" t="n"/>
      <c r="S20" s="373" t="n"/>
      <c r="T20" s="371" t="n"/>
      <c r="U20" s="372" t="n"/>
      <c r="V20" s="373" t="n"/>
      <c r="W20" s="443" t="n"/>
      <c r="X20" s="372" t="n"/>
      <c r="Y20" s="372" t="n"/>
      <c r="Z20" s="372" t="n"/>
      <c r="AA20" s="372" t="n"/>
      <c r="AB20" s="372" t="n"/>
      <c r="AC20" s="372" t="n"/>
      <c r="AD20" s="372" t="n"/>
      <c r="AE20" s="372" t="n"/>
      <c r="AF20" s="372" t="n"/>
      <c r="AG20" s="372" t="n"/>
      <c r="AH20" s="372" t="n"/>
      <c r="AI20" s="372" t="n"/>
      <c r="AJ20" s="372" t="n"/>
      <c r="AK20" s="372" t="n"/>
      <c r="AL20" s="372" t="n"/>
      <c r="AM20" s="372" t="n"/>
      <c r="AN20" s="372" t="n"/>
      <c r="AO20" s="372" t="n"/>
      <c r="AP20" s="372" t="n"/>
      <c r="AQ20" s="372" t="n"/>
      <c r="AR20" s="372" t="n"/>
      <c r="AS20" s="372" t="n"/>
      <c r="AT20" s="372" t="n"/>
      <c r="AU20" s="372" t="n"/>
      <c r="AV20" s="372" t="n"/>
      <c r="AW20" s="372" t="n"/>
      <c r="AX20" s="372" t="n"/>
      <c r="AY20" s="372" t="n"/>
      <c r="AZ20" s="372" t="n"/>
      <c r="BA20" s="372" t="n"/>
      <c r="BB20" s="372" t="n"/>
      <c r="BC20" s="372" t="n"/>
      <c r="BD20" s="372" t="n"/>
      <c r="BE20" s="372" t="n"/>
      <c r="BF20" s="372" t="n"/>
      <c r="BG20" s="372" t="n"/>
      <c r="BH20" s="372" t="n"/>
      <c r="BI20" s="372" t="n"/>
      <c r="BJ20" s="372" t="n"/>
      <c r="BK20" s="372" t="n"/>
      <c r="BL20" s="372" t="n"/>
      <c r="BM20" s="372" t="n"/>
      <c r="BN20" s="372" t="n"/>
      <c r="BO20" s="372" t="n"/>
      <c r="BP20" s="372" t="n"/>
      <c r="BQ20" s="372" t="n"/>
      <c r="BR20" s="372" t="n"/>
      <c r="BS20" s="372" t="n"/>
      <c r="BT20" s="372" t="n"/>
      <c r="BU20" s="372" t="n"/>
      <c r="BV20" s="372" t="n"/>
      <c r="BW20" s="372" t="n"/>
      <c r="BX20" s="372" t="n"/>
      <c r="BY20" s="372" t="n"/>
      <c r="BZ20" s="372" t="n"/>
      <c r="CA20" s="372" t="n"/>
      <c r="CB20" s="372" t="n"/>
      <c r="CC20" s="402" t="n"/>
      <c r="CF20" s="248" t="inlineStr">
        <is>
          <t>移動</t>
        </is>
      </c>
      <c r="CG20" s="377" t="n"/>
      <c r="CH20" s="377" t="n"/>
      <c r="CI20" s="378" t="n"/>
      <c r="CJ20" s="379">
        <f>IF(Q20="作業者1",E23-E20,0)</f>
        <v/>
      </c>
      <c r="CK20" s="377" t="n"/>
      <c r="CL20" s="377" t="n"/>
      <c r="CM20" s="377" t="n"/>
      <c r="CN20" s="378" t="n"/>
      <c r="CP20" s="248" t="inlineStr">
        <is>
          <t>移動</t>
        </is>
      </c>
      <c r="CQ20" s="377" t="n"/>
      <c r="CR20" s="377" t="n"/>
      <c r="CS20" s="378" t="n"/>
      <c r="CT20" s="379">
        <f>IF(Q20="作業者2",E23-E20,0)</f>
        <v/>
      </c>
      <c r="CU20" s="377" t="n"/>
      <c r="CV20" s="377" t="n"/>
      <c r="CW20" s="377" t="n"/>
      <c r="CX20" s="378" t="n"/>
      <c r="CZ20" s="259" t="inlineStr">
        <is>
          <t>移動</t>
        </is>
      </c>
      <c r="DA20" s="403" t="n"/>
      <c r="DB20" s="403" t="n"/>
      <c r="DC20" s="404" t="n"/>
      <c r="DD20" s="405">
        <f>IF(Q20="作業者3",E23-E20,0)</f>
        <v/>
      </c>
      <c r="DE20" s="406" t="n"/>
      <c r="DF20" s="406" t="n"/>
      <c r="DG20" s="406" t="n"/>
      <c r="DH20" s="407" t="n"/>
      <c r="DJ20" s="259" t="inlineStr">
        <is>
          <t>移動</t>
        </is>
      </c>
      <c r="DK20" s="403" t="n"/>
      <c r="DL20" s="403" t="n"/>
      <c r="DM20" s="404" t="n"/>
      <c r="DN20" s="379">
        <f>IF(Q20="作業者4",E23-E20,0)</f>
        <v/>
      </c>
      <c r="DO20" s="377" t="n"/>
      <c r="DP20" s="377" t="n"/>
      <c r="DQ20" s="377" t="n"/>
      <c r="DR20" s="378" t="n"/>
      <c r="DT20" s="259" t="inlineStr">
        <is>
          <t>移動</t>
        </is>
      </c>
      <c r="DU20" s="403" t="n"/>
      <c r="DV20" s="403" t="n"/>
      <c r="DW20" s="404" t="n"/>
      <c r="DX20" s="379">
        <f>IF(Q20="作業者5",E23-E20,0)</f>
        <v/>
      </c>
      <c r="DY20" s="377" t="n"/>
      <c r="DZ20" s="377" t="n"/>
      <c r="EA20" s="377" t="n"/>
      <c r="EB20" s="378" t="n"/>
    </row>
    <row r="21" ht="9" customHeight="1" s="337">
      <c r="B21" s="350" t="n"/>
      <c r="C21" s="338" t="n"/>
      <c r="D21" s="380" t="n"/>
      <c r="E21" s="381" t="n"/>
      <c r="F21" s="122" t="inlineStr">
        <is>
          <t>～</t>
        </is>
      </c>
      <c r="G21" s="22" t="n"/>
      <c r="H21" s="381" t="n"/>
      <c r="I21" s="122" t="inlineStr">
        <is>
          <t>～</t>
        </is>
      </c>
      <c r="J21" s="22" t="n"/>
      <c r="K21" s="381" t="n"/>
      <c r="L21" s="122" t="inlineStr">
        <is>
          <t>～</t>
        </is>
      </c>
      <c r="M21" s="22" t="n"/>
      <c r="N21" s="381" t="n"/>
      <c r="O21" s="122" t="inlineStr">
        <is>
          <t>～</t>
        </is>
      </c>
      <c r="P21" s="22" t="n"/>
      <c r="Q21" s="382" t="n"/>
      <c r="R21" s="338" t="n"/>
      <c r="S21" s="380" t="n"/>
      <c r="T21" s="382" t="n"/>
      <c r="U21" s="338" t="n"/>
      <c r="V21" s="380" t="n"/>
      <c r="W21" s="382" t="n"/>
      <c r="X21" s="338" t="n"/>
      <c r="Y21" s="338" t="n"/>
      <c r="Z21" s="338" t="n"/>
      <c r="AA21" s="338" t="n"/>
      <c r="AB21" s="338" t="n"/>
      <c r="AC21" s="338" t="n"/>
      <c r="AD21" s="338" t="n"/>
      <c r="AE21" s="338" t="n"/>
      <c r="AF21" s="338" t="n"/>
      <c r="AG21" s="338" t="n"/>
      <c r="AH21" s="338" t="n"/>
      <c r="AI21" s="338" t="n"/>
      <c r="AJ21" s="338" t="n"/>
      <c r="AK21" s="338" t="n"/>
      <c r="AL21" s="338" t="n"/>
      <c r="AM21" s="338" t="n"/>
      <c r="AN21" s="338" t="n"/>
      <c r="AO21" s="338" t="n"/>
      <c r="AP21" s="338" t="n"/>
      <c r="AQ21" s="338" t="n"/>
      <c r="AR21" s="338" t="n"/>
      <c r="AS21" s="338" t="n"/>
      <c r="AT21" s="338" t="n"/>
      <c r="AU21" s="338" t="n"/>
      <c r="AV21" s="338" t="n"/>
      <c r="AW21" s="338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8" t="n"/>
      <c r="BH21" s="338" t="n"/>
      <c r="BI21" s="338" t="n"/>
      <c r="BJ21" s="338" t="n"/>
      <c r="BK21" s="338" t="n"/>
      <c r="BL21" s="338" t="n"/>
      <c r="BM21" s="338" t="n"/>
      <c r="BN21" s="338" t="n"/>
      <c r="BO21" s="338" t="n"/>
      <c r="BP21" s="338" t="n"/>
      <c r="BQ21" s="338" t="n"/>
      <c r="BR21" s="338" t="n"/>
      <c r="BS21" s="338" t="n"/>
      <c r="BT21" s="338" t="n"/>
      <c r="BU21" s="338" t="n"/>
      <c r="BV21" s="338" t="n"/>
      <c r="BW21" s="338" t="n"/>
      <c r="BX21" s="338" t="n"/>
      <c r="BY21" s="338" t="n"/>
      <c r="BZ21" s="338" t="n"/>
      <c r="CA21" s="338" t="n"/>
      <c r="CB21" s="338" t="n"/>
      <c r="CC21" s="383" t="n"/>
      <c r="CF21" s="253" t="inlineStr">
        <is>
          <t>時間内</t>
        </is>
      </c>
      <c r="CG21" s="384" t="n"/>
      <c r="CH21" s="384" t="n"/>
      <c r="CI21" s="385" t="n"/>
      <c r="CJ21" s="386">
        <f>IF(Q20="作業者1",H23-H20,0)</f>
        <v/>
      </c>
      <c r="CK21" s="387" t="n"/>
      <c r="CL21" s="387" t="n"/>
      <c r="CM21" s="387" t="n"/>
      <c r="CN21" s="388" t="n"/>
      <c r="CP21" s="253" t="inlineStr">
        <is>
          <t>時間内</t>
        </is>
      </c>
      <c r="CQ21" s="384" t="n"/>
      <c r="CR21" s="384" t="n"/>
      <c r="CS21" s="385" t="n"/>
      <c r="CT21" s="386">
        <f>IF(Q20="作業者2",H23-H20,0)</f>
        <v/>
      </c>
      <c r="CU21" s="387" t="n"/>
      <c r="CV21" s="387" t="n"/>
      <c r="CW21" s="387" t="n"/>
      <c r="CX21" s="388" t="n"/>
      <c r="CZ21" s="253" t="inlineStr">
        <is>
          <t>時間内</t>
        </is>
      </c>
      <c r="DA21" s="384" t="n"/>
      <c r="DB21" s="384" t="n"/>
      <c r="DC21" s="385" t="n"/>
      <c r="DD21" s="386">
        <f>IF(Q20="作業者3",H23-H20,0)</f>
        <v/>
      </c>
      <c r="DE21" s="387" t="n"/>
      <c r="DF21" s="387" t="n"/>
      <c r="DG21" s="387" t="n"/>
      <c r="DH21" s="388" t="n"/>
      <c r="DJ21" s="253" t="inlineStr">
        <is>
          <t>時間内</t>
        </is>
      </c>
      <c r="DK21" s="384" t="n"/>
      <c r="DL21" s="384" t="n"/>
      <c r="DM21" s="385" t="n"/>
      <c r="DN21" s="386">
        <f>IF(Q20="作業者4",H23-H20,0)</f>
        <v/>
      </c>
      <c r="DO21" s="387" t="n"/>
      <c r="DP21" s="387" t="n"/>
      <c r="DQ21" s="387" t="n"/>
      <c r="DR21" s="388" t="n"/>
      <c r="DT21" s="253" t="inlineStr">
        <is>
          <t>時間内</t>
        </is>
      </c>
      <c r="DU21" s="384" t="n"/>
      <c r="DV21" s="384" t="n"/>
      <c r="DW21" s="385" t="n"/>
      <c r="DX21" s="386">
        <f>IF(Q20="作業者5",H23-H20,0)</f>
        <v/>
      </c>
      <c r="DY21" s="387" t="n"/>
      <c r="DZ21" s="387" t="n"/>
      <c r="EA21" s="387" t="n"/>
      <c r="EB21" s="388" t="n"/>
    </row>
    <row r="22" ht="9" customHeight="1" s="337">
      <c r="B22" s="350" t="n"/>
      <c r="C22" s="338" t="n"/>
      <c r="D22" s="380" t="n"/>
      <c r="E22" s="23" t="n"/>
      <c r="F22" s="338" t="n"/>
      <c r="G22" s="24" t="n"/>
      <c r="H22" s="23" t="n"/>
      <c r="I22" s="338" t="n"/>
      <c r="J22" s="24" t="n"/>
      <c r="K22" s="23" t="n"/>
      <c r="L22" s="338" t="n"/>
      <c r="M22" s="24" t="n"/>
      <c r="N22" s="23" t="n"/>
      <c r="O22" s="338" t="n"/>
      <c r="P22" s="24" t="n"/>
      <c r="Q22" s="382" t="n"/>
      <c r="R22" s="338" t="n"/>
      <c r="S22" s="380" t="n"/>
      <c r="T22" s="382" t="n"/>
      <c r="U22" s="338" t="n"/>
      <c r="V22" s="380" t="n"/>
      <c r="W22" s="382" t="n"/>
      <c r="X22" s="338" t="n"/>
      <c r="Y22" s="338" t="n"/>
      <c r="Z22" s="338" t="n"/>
      <c r="AA22" s="338" t="n"/>
      <c r="AB22" s="338" t="n"/>
      <c r="AC22" s="338" t="n"/>
      <c r="AD22" s="338" t="n"/>
      <c r="AE22" s="338" t="n"/>
      <c r="AF22" s="338" t="n"/>
      <c r="AG22" s="338" t="n"/>
      <c r="AH22" s="338" t="n"/>
      <c r="AI22" s="338" t="n"/>
      <c r="AJ22" s="338" t="n"/>
      <c r="AK22" s="338" t="n"/>
      <c r="AL22" s="338" t="n"/>
      <c r="AM22" s="338" t="n"/>
      <c r="AN22" s="338" t="n"/>
      <c r="AO22" s="338" t="n"/>
      <c r="AP22" s="338" t="n"/>
      <c r="AQ22" s="338" t="n"/>
      <c r="AR22" s="338" t="n"/>
      <c r="AS22" s="338" t="n"/>
      <c r="AT22" s="338" t="n"/>
      <c r="AU22" s="338" t="n"/>
      <c r="AV22" s="338" t="n"/>
      <c r="AW22" s="338" t="n"/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8" t="n"/>
      <c r="BH22" s="338" t="n"/>
      <c r="BI22" s="338" t="n"/>
      <c r="BJ22" s="338" t="n"/>
      <c r="BK22" s="338" t="n"/>
      <c r="BL22" s="338" t="n"/>
      <c r="BM22" s="338" t="n"/>
      <c r="BN22" s="338" t="n"/>
      <c r="BO22" s="338" t="n"/>
      <c r="BP22" s="338" t="n"/>
      <c r="BQ22" s="338" t="n"/>
      <c r="BR22" s="338" t="n"/>
      <c r="BS22" s="338" t="n"/>
      <c r="BT22" s="338" t="n"/>
      <c r="BU22" s="338" t="n"/>
      <c r="BV22" s="338" t="n"/>
      <c r="BW22" s="338" t="n"/>
      <c r="BX22" s="338" t="n"/>
      <c r="BY22" s="338" t="n"/>
      <c r="BZ22" s="338" t="n"/>
      <c r="CA22" s="338" t="n"/>
      <c r="CB22" s="338" t="n"/>
      <c r="CC22" s="383" t="n"/>
      <c r="CF22" s="253" t="inlineStr">
        <is>
          <t>時間外</t>
        </is>
      </c>
      <c r="CG22" s="384" t="n"/>
      <c r="CH22" s="384" t="n"/>
      <c r="CI22" s="385" t="n"/>
      <c r="CJ22" s="386">
        <f>IF(Q20="作業者1",K23-K20,0)</f>
        <v/>
      </c>
      <c r="CK22" s="387" t="n"/>
      <c r="CL22" s="387" t="n"/>
      <c r="CM22" s="387" t="n"/>
      <c r="CN22" s="388" t="n"/>
      <c r="CP22" s="253" t="inlineStr">
        <is>
          <t>時間外</t>
        </is>
      </c>
      <c r="CQ22" s="384" t="n"/>
      <c r="CR22" s="384" t="n"/>
      <c r="CS22" s="385" t="n"/>
      <c r="CT22" s="386">
        <f>IF(Q20="作業者2",K23-K20,0)</f>
        <v/>
      </c>
      <c r="CU22" s="387" t="n"/>
      <c r="CV22" s="387" t="n"/>
      <c r="CW22" s="387" t="n"/>
      <c r="CX22" s="388" t="n"/>
      <c r="CZ22" s="253" t="inlineStr">
        <is>
          <t>時間外</t>
        </is>
      </c>
      <c r="DA22" s="384" t="n"/>
      <c r="DB22" s="384" t="n"/>
      <c r="DC22" s="385" t="n"/>
      <c r="DD22" s="386">
        <f>IF(Q20="作業者3",K23-K20,0)</f>
        <v/>
      </c>
      <c r="DE22" s="387" t="n"/>
      <c r="DF22" s="387" t="n"/>
      <c r="DG22" s="387" t="n"/>
      <c r="DH22" s="388" t="n"/>
      <c r="DJ22" s="253" t="inlineStr">
        <is>
          <t>時間外</t>
        </is>
      </c>
      <c r="DK22" s="384" t="n"/>
      <c r="DL22" s="384" t="n"/>
      <c r="DM22" s="385" t="n"/>
      <c r="DN22" s="386">
        <f>IF(Q20="作業者4",K23-K20,0)</f>
        <v/>
      </c>
      <c r="DO22" s="387" t="n"/>
      <c r="DP22" s="387" t="n"/>
      <c r="DQ22" s="387" t="n"/>
      <c r="DR22" s="388" t="n"/>
      <c r="DT22" s="253" t="inlineStr">
        <is>
          <t>時間外</t>
        </is>
      </c>
      <c r="DU22" s="384" t="n"/>
      <c r="DV22" s="384" t="n"/>
      <c r="DW22" s="385" t="n"/>
      <c r="DX22" s="386">
        <f>IF(Q20="作業者5",K23-K20,0)</f>
        <v/>
      </c>
      <c r="DY22" s="387" t="n"/>
      <c r="DZ22" s="387" t="n"/>
      <c r="EA22" s="387" t="n"/>
      <c r="EB22" s="388" t="n"/>
    </row>
    <row r="23" ht="9" customHeight="1" s="337">
      <c r="B23" s="389" t="n"/>
      <c r="C23" s="390" t="n"/>
      <c r="D23" s="391" t="n"/>
      <c r="E23" s="392" t="n"/>
      <c r="F23" s="390" t="n"/>
      <c r="G23" s="391" t="n"/>
      <c r="H23" s="392" t="n"/>
      <c r="I23" s="390" t="n"/>
      <c r="J23" s="391" t="n"/>
      <c r="K23" s="392" t="n"/>
      <c r="L23" s="390" t="n"/>
      <c r="M23" s="391" t="n"/>
      <c r="N23" s="392" t="n"/>
      <c r="O23" s="390" t="n"/>
      <c r="P23" s="391" t="n"/>
      <c r="Q23" s="393" t="n"/>
      <c r="R23" s="390" t="n"/>
      <c r="S23" s="391" t="n"/>
      <c r="T23" s="393" t="n"/>
      <c r="U23" s="390" t="n"/>
      <c r="V23" s="391" t="n"/>
      <c r="W23" s="393" t="n"/>
      <c r="X23" s="390" t="n"/>
      <c r="Y23" s="390" t="n"/>
      <c r="Z23" s="390" t="n"/>
      <c r="AA23" s="390" t="n"/>
      <c r="AB23" s="390" t="n"/>
      <c r="AC23" s="390" t="n"/>
      <c r="AD23" s="390" t="n"/>
      <c r="AE23" s="390" t="n"/>
      <c r="AF23" s="390" t="n"/>
      <c r="AG23" s="390" t="n"/>
      <c r="AH23" s="390" t="n"/>
      <c r="AI23" s="390" t="n"/>
      <c r="AJ23" s="390" t="n"/>
      <c r="AK23" s="390" t="n"/>
      <c r="AL23" s="390" t="n"/>
      <c r="AM23" s="390" t="n"/>
      <c r="AN23" s="390" t="n"/>
      <c r="AO23" s="390" t="n"/>
      <c r="AP23" s="390" t="n"/>
      <c r="AQ23" s="390" t="n"/>
      <c r="AR23" s="390" t="n"/>
      <c r="AS23" s="390" t="n"/>
      <c r="AT23" s="390" t="n"/>
      <c r="AU23" s="390" t="n"/>
      <c r="AV23" s="390" t="n"/>
      <c r="AW23" s="390" t="n"/>
      <c r="AX23" s="390" t="n"/>
      <c r="AY23" s="390" t="n"/>
      <c r="AZ23" s="390" t="n"/>
      <c r="BA23" s="390" t="n"/>
      <c r="BB23" s="390" t="n"/>
      <c r="BC23" s="390" t="n"/>
      <c r="BD23" s="390" t="n"/>
      <c r="BE23" s="390" t="n"/>
      <c r="BF23" s="390" t="n"/>
      <c r="BG23" s="390" t="n"/>
      <c r="BH23" s="390" t="n"/>
      <c r="BI23" s="390" t="n"/>
      <c r="BJ23" s="390" t="n"/>
      <c r="BK23" s="390" t="n"/>
      <c r="BL23" s="390" t="n"/>
      <c r="BM23" s="390" t="n"/>
      <c r="BN23" s="390" t="n"/>
      <c r="BO23" s="390" t="n"/>
      <c r="BP23" s="390" t="n"/>
      <c r="BQ23" s="390" t="n"/>
      <c r="BR23" s="390" t="n"/>
      <c r="BS23" s="390" t="n"/>
      <c r="BT23" s="390" t="n"/>
      <c r="BU23" s="390" t="n"/>
      <c r="BV23" s="390" t="n"/>
      <c r="BW23" s="390" t="n"/>
      <c r="BX23" s="390" t="n"/>
      <c r="BY23" s="390" t="n"/>
      <c r="BZ23" s="390" t="n"/>
      <c r="CA23" s="390" t="n"/>
      <c r="CB23" s="390" t="n"/>
      <c r="CC23" s="394" t="n"/>
      <c r="CF23" s="254" t="inlineStr">
        <is>
          <t>休日</t>
        </is>
      </c>
      <c r="CG23" s="395" t="n"/>
      <c r="CH23" s="395" t="n"/>
      <c r="CI23" s="396" t="n"/>
      <c r="CJ23" s="397">
        <f>IF(Q20="作業者1",N23-N20,0)</f>
        <v/>
      </c>
      <c r="CK23" s="395" t="n"/>
      <c r="CL23" s="395" t="n"/>
      <c r="CM23" s="395" t="n"/>
      <c r="CN23" s="396" t="n"/>
      <c r="CP23" s="254" t="inlineStr">
        <is>
          <t>休日</t>
        </is>
      </c>
      <c r="CQ23" s="395" t="n"/>
      <c r="CR23" s="395" t="n"/>
      <c r="CS23" s="396" t="n"/>
      <c r="CT23" s="397">
        <f>IF(Q20="作業者2",N23-N20,0)</f>
        <v/>
      </c>
      <c r="CU23" s="395" t="n"/>
      <c r="CV23" s="395" t="n"/>
      <c r="CW23" s="395" t="n"/>
      <c r="CX23" s="396" t="n"/>
      <c r="CZ23" s="254" t="inlineStr">
        <is>
          <t>休日</t>
        </is>
      </c>
      <c r="DA23" s="395" t="n"/>
      <c r="DB23" s="395" t="n"/>
      <c r="DC23" s="396" t="n"/>
      <c r="DD23" s="397">
        <f>IF(Q20="作業者3",N23-N20,0)</f>
        <v/>
      </c>
      <c r="DE23" s="395" t="n"/>
      <c r="DF23" s="395" t="n"/>
      <c r="DG23" s="395" t="n"/>
      <c r="DH23" s="396" t="n"/>
      <c r="DJ23" s="254" t="inlineStr">
        <is>
          <t>休日</t>
        </is>
      </c>
      <c r="DK23" s="395" t="n"/>
      <c r="DL23" s="395" t="n"/>
      <c r="DM23" s="396" t="n"/>
      <c r="DN23" s="397">
        <f>IF(Q20="作業者4",N23-N20,0)</f>
        <v/>
      </c>
      <c r="DO23" s="395" t="n"/>
      <c r="DP23" s="395" t="n"/>
      <c r="DQ23" s="395" t="n"/>
      <c r="DR23" s="396" t="n"/>
      <c r="DT23" s="254" t="inlineStr">
        <is>
          <t>休日</t>
        </is>
      </c>
      <c r="DU23" s="395" t="n"/>
      <c r="DV23" s="395" t="n"/>
      <c r="DW23" s="396" t="n"/>
      <c r="DX23" s="397">
        <f>IF(Q20="作業者5",N23-N20,0)</f>
        <v/>
      </c>
      <c r="DY23" s="395" t="n"/>
      <c r="DZ23" s="395" t="n"/>
      <c r="EA23" s="395" t="n"/>
      <c r="EB23" s="396" t="n"/>
    </row>
    <row r="24" ht="9" customHeight="1" s="337">
      <c r="B24" s="398" t="n"/>
      <c r="C24" s="372" t="n"/>
      <c r="D24" s="373" t="n"/>
      <c r="E24" s="399" t="n"/>
      <c r="F24" s="372" t="n"/>
      <c r="G24" s="373" t="n"/>
      <c r="H24" s="399" t="n"/>
      <c r="I24" s="372" t="n"/>
      <c r="J24" s="373" t="n"/>
      <c r="K24" s="399" t="n"/>
      <c r="L24" s="372" t="n"/>
      <c r="M24" s="373" t="n"/>
      <c r="N24" s="399" t="n"/>
      <c r="O24" s="372" t="n"/>
      <c r="P24" s="373" t="n"/>
      <c r="Q24" s="371" t="n"/>
      <c r="R24" s="372" t="n"/>
      <c r="S24" s="373" t="n"/>
      <c r="T24" s="371" t="n"/>
      <c r="U24" s="372" t="n"/>
      <c r="V24" s="373" t="n"/>
      <c r="W24" s="443" t="n"/>
      <c r="X24" s="372" t="n"/>
      <c r="Y24" s="372" t="n"/>
      <c r="Z24" s="372" t="n"/>
      <c r="AA24" s="372" t="n"/>
      <c r="AB24" s="372" t="n"/>
      <c r="AC24" s="372" t="n"/>
      <c r="AD24" s="372" t="n"/>
      <c r="AE24" s="372" t="n"/>
      <c r="AF24" s="372" t="n"/>
      <c r="AG24" s="372" t="n"/>
      <c r="AH24" s="372" t="n"/>
      <c r="AI24" s="372" t="n"/>
      <c r="AJ24" s="372" t="n"/>
      <c r="AK24" s="372" t="n"/>
      <c r="AL24" s="372" t="n"/>
      <c r="AM24" s="372" t="n"/>
      <c r="AN24" s="372" t="n"/>
      <c r="AO24" s="372" t="n"/>
      <c r="AP24" s="372" t="n"/>
      <c r="AQ24" s="372" t="n"/>
      <c r="AR24" s="372" t="n"/>
      <c r="AS24" s="372" t="n"/>
      <c r="AT24" s="372" t="n"/>
      <c r="AU24" s="372" t="n"/>
      <c r="AV24" s="372" t="n"/>
      <c r="AW24" s="372" t="n"/>
      <c r="AX24" s="372" t="n"/>
      <c r="AY24" s="372" t="n"/>
      <c r="AZ24" s="372" t="n"/>
      <c r="BA24" s="372" t="n"/>
      <c r="BB24" s="372" t="n"/>
      <c r="BC24" s="372" t="n"/>
      <c r="BD24" s="372" t="n"/>
      <c r="BE24" s="372" t="n"/>
      <c r="BF24" s="372" t="n"/>
      <c r="BG24" s="372" t="n"/>
      <c r="BH24" s="372" t="n"/>
      <c r="BI24" s="372" t="n"/>
      <c r="BJ24" s="372" t="n"/>
      <c r="BK24" s="372" t="n"/>
      <c r="BL24" s="372" t="n"/>
      <c r="BM24" s="372" t="n"/>
      <c r="BN24" s="372" t="n"/>
      <c r="BO24" s="372" t="n"/>
      <c r="BP24" s="372" t="n"/>
      <c r="BQ24" s="372" t="n"/>
      <c r="BR24" s="372" t="n"/>
      <c r="BS24" s="372" t="n"/>
      <c r="BT24" s="372" t="n"/>
      <c r="BU24" s="372" t="n"/>
      <c r="BV24" s="372" t="n"/>
      <c r="BW24" s="372" t="n"/>
      <c r="BX24" s="372" t="n"/>
      <c r="BY24" s="372" t="n"/>
      <c r="BZ24" s="372" t="n"/>
      <c r="CA24" s="372" t="n"/>
      <c r="CB24" s="372" t="n"/>
      <c r="CC24" s="402" t="n"/>
      <c r="CF24" s="248" t="inlineStr">
        <is>
          <t>移動</t>
        </is>
      </c>
      <c r="CG24" s="377" t="n"/>
      <c r="CH24" s="377" t="n"/>
      <c r="CI24" s="378" t="n"/>
      <c r="CJ24" s="379">
        <f>IF(Q24="作業者1",E27-E24,0)</f>
        <v/>
      </c>
      <c r="CK24" s="377" t="n"/>
      <c r="CL24" s="377" t="n"/>
      <c r="CM24" s="377" t="n"/>
      <c r="CN24" s="378" t="n"/>
      <c r="CP24" s="248" t="inlineStr">
        <is>
          <t>移動</t>
        </is>
      </c>
      <c r="CQ24" s="377" t="n"/>
      <c r="CR24" s="377" t="n"/>
      <c r="CS24" s="378" t="n"/>
      <c r="CT24" s="379">
        <f>IF(Q24="作業者2",E27-E24,0)</f>
        <v/>
      </c>
      <c r="CU24" s="377" t="n"/>
      <c r="CV24" s="377" t="n"/>
      <c r="CW24" s="377" t="n"/>
      <c r="CX24" s="378" t="n"/>
      <c r="CZ24" s="259" t="inlineStr">
        <is>
          <t>移動</t>
        </is>
      </c>
      <c r="DA24" s="403" t="n"/>
      <c r="DB24" s="403" t="n"/>
      <c r="DC24" s="404" t="n"/>
      <c r="DD24" s="405">
        <f>IF(Q24="作業者3",E27-E24,0)</f>
        <v/>
      </c>
      <c r="DE24" s="406" t="n"/>
      <c r="DF24" s="406" t="n"/>
      <c r="DG24" s="406" t="n"/>
      <c r="DH24" s="407" t="n"/>
      <c r="DJ24" s="259" t="inlineStr">
        <is>
          <t>移動</t>
        </is>
      </c>
      <c r="DK24" s="403" t="n"/>
      <c r="DL24" s="403" t="n"/>
      <c r="DM24" s="404" t="n"/>
      <c r="DN24" s="379">
        <f>IF(Q24="作業者4",E27-E24,0)</f>
        <v/>
      </c>
      <c r="DO24" s="377" t="n"/>
      <c r="DP24" s="377" t="n"/>
      <c r="DQ24" s="377" t="n"/>
      <c r="DR24" s="378" t="n"/>
      <c r="DT24" s="259" t="inlineStr">
        <is>
          <t>移動</t>
        </is>
      </c>
      <c r="DU24" s="403" t="n"/>
      <c r="DV24" s="403" t="n"/>
      <c r="DW24" s="404" t="n"/>
      <c r="DX24" s="379">
        <f>IF(Q24="作業者5",E27-E24,0)</f>
        <v/>
      </c>
      <c r="DY24" s="377" t="n"/>
      <c r="DZ24" s="377" t="n"/>
      <c r="EA24" s="377" t="n"/>
      <c r="EB24" s="378" t="n"/>
    </row>
    <row r="25" ht="9" customHeight="1" s="337">
      <c r="B25" s="350" t="n"/>
      <c r="C25" s="338" t="n"/>
      <c r="D25" s="380" t="n"/>
      <c r="E25" s="381" t="n"/>
      <c r="F25" s="122" t="inlineStr">
        <is>
          <t>～</t>
        </is>
      </c>
      <c r="G25" s="22" t="n"/>
      <c r="H25" s="381" t="n"/>
      <c r="I25" s="122" t="inlineStr">
        <is>
          <t>～</t>
        </is>
      </c>
      <c r="J25" s="22" t="n"/>
      <c r="K25" s="381" t="n"/>
      <c r="L25" s="122" t="inlineStr">
        <is>
          <t>～</t>
        </is>
      </c>
      <c r="M25" s="22" t="n"/>
      <c r="N25" s="381" t="n"/>
      <c r="O25" s="122" t="inlineStr">
        <is>
          <t>～</t>
        </is>
      </c>
      <c r="P25" s="22" t="n"/>
      <c r="Q25" s="382" t="n"/>
      <c r="R25" s="338" t="n"/>
      <c r="S25" s="380" t="n"/>
      <c r="T25" s="382" t="n"/>
      <c r="U25" s="338" t="n"/>
      <c r="V25" s="380" t="n"/>
      <c r="W25" s="382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8" t="n"/>
      <c r="BH25" s="338" t="n"/>
      <c r="BI25" s="338" t="n"/>
      <c r="BJ25" s="338" t="n"/>
      <c r="BK25" s="338" t="n"/>
      <c r="BL25" s="338" t="n"/>
      <c r="BM25" s="338" t="n"/>
      <c r="BN25" s="338" t="n"/>
      <c r="BO25" s="338" t="n"/>
      <c r="BP25" s="338" t="n"/>
      <c r="BQ25" s="338" t="n"/>
      <c r="BR25" s="338" t="n"/>
      <c r="BS25" s="338" t="n"/>
      <c r="BT25" s="338" t="n"/>
      <c r="BU25" s="338" t="n"/>
      <c r="BV25" s="338" t="n"/>
      <c r="BW25" s="338" t="n"/>
      <c r="BX25" s="338" t="n"/>
      <c r="BY25" s="338" t="n"/>
      <c r="BZ25" s="338" t="n"/>
      <c r="CA25" s="338" t="n"/>
      <c r="CB25" s="338" t="n"/>
      <c r="CC25" s="383" t="n"/>
      <c r="CF25" s="253" t="inlineStr">
        <is>
          <t>時間内</t>
        </is>
      </c>
      <c r="CG25" s="384" t="n"/>
      <c r="CH25" s="384" t="n"/>
      <c r="CI25" s="385" t="n"/>
      <c r="CJ25" s="386">
        <f>IF(Q24="作業者1",H27-H24,0)</f>
        <v/>
      </c>
      <c r="CK25" s="387" t="n"/>
      <c r="CL25" s="387" t="n"/>
      <c r="CM25" s="387" t="n"/>
      <c r="CN25" s="388" t="n"/>
      <c r="CP25" s="253" t="inlineStr">
        <is>
          <t>時間内</t>
        </is>
      </c>
      <c r="CQ25" s="384" t="n"/>
      <c r="CR25" s="384" t="n"/>
      <c r="CS25" s="385" t="n"/>
      <c r="CT25" s="386">
        <f>IF(Q24="作業者2",H27-H24,0)</f>
        <v/>
      </c>
      <c r="CU25" s="387" t="n"/>
      <c r="CV25" s="387" t="n"/>
      <c r="CW25" s="387" t="n"/>
      <c r="CX25" s="388" t="n"/>
      <c r="CZ25" s="253" t="inlineStr">
        <is>
          <t>時間内</t>
        </is>
      </c>
      <c r="DA25" s="384" t="n"/>
      <c r="DB25" s="384" t="n"/>
      <c r="DC25" s="385" t="n"/>
      <c r="DD25" s="386">
        <f>IF(Q24="作業者3",H27-H24,0)</f>
        <v/>
      </c>
      <c r="DE25" s="387" t="n"/>
      <c r="DF25" s="387" t="n"/>
      <c r="DG25" s="387" t="n"/>
      <c r="DH25" s="388" t="n"/>
      <c r="DJ25" s="253" t="inlineStr">
        <is>
          <t>時間内</t>
        </is>
      </c>
      <c r="DK25" s="384" t="n"/>
      <c r="DL25" s="384" t="n"/>
      <c r="DM25" s="385" t="n"/>
      <c r="DN25" s="386">
        <f>IF(Q24="作業者4",H27-H24,0)</f>
        <v/>
      </c>
      <c r="DO25" s="387" t="n"/>
      <c r="DP25" s="387" t="n"/>
      <c r="DQ25" s="387" t="n"/>
      <c r="DR25" s="388" t="n"/>
      <c r="DT25" s="253" t="inlineStr">
        <is>
          <t>時間内</t>
        </is>
      </c>
      <c r="DU25" s="384" t="n"/>
      <c r="DV25" s="384" t="n"/>
      <c r="DW25" s="385" t="n"/>
      <c r="DX25" s="386">
        <f>IF(Q24="作業者5",H27-H24,0)</f>
        <v/>
      </c>
      <c r="DY25" s="387" t="n"/>
      <c r="DZ25" s="387" t="n"/>
      <c r="EA25" s="387" t="n"/>
      <c r="EB25" s="388" t="n"/>
    </row>
    <row r="26" ht="9" customHeight="1" s="337">
      <c r="B26" s="350" t="n"/>
      <c r="C26" s="338" t="n"/>
      <c r="D26" s="380" t="n"/>
      <c r="E26" s="23" t="n"/>
      <c r="F26" s="338" t="n"/>
      <c r="G26" s="24" t="n"/>
      <c r="H26" s="23" t="n"/>
      <c r="I26" s="338" t="n"/>
      <c r="J26" s="24" t="n"/>
      <c r="K26" s="23" t="n"/>
      <c r="L26" s="338" t="n"/>
      <c r="M26" s="24" t="n"/>
      <c r="N26" s="23" t="n"/>
      <c r="O26" s="338" t="n"/>
      <c r="P26" s="24" t="n"/>
      <c r="Q26" s="382" t="n"/>
      <c r="R26" s="338" t="n"/>
      <c r="S26" s="380" t="n"/>
      <c r="T26" s="382" t="n"/>
      <c r="U26" s="338" t="n"/>
      <c r="V26" s="380" t="n"/>
      <c r="W26" s="382" t="n"/>
      <c r="X26" s="338" t="n"/>
      <c r="Y26" s="338" t="n"/>
      <c r="Z26" s="338" t="n"/>
      <c r="AA26" s="338" t="n"/>
      <c r="AB26" s="338" t="n"/>
      <c r="AC26" s="338" t="n"/>
      <c r="AD26" s="338" t="n"/>
      <c r="AE26" s="338" t="n"/>
      <c r="AF26" s="338" t="n"/>
      <c r="AG26" s="338" t="n"/>
      <c r="AH26" s="338" t="n"/>
      <c r="AI26" s="338" t="n"/>
      <c r="AJ26" s="338" t="n"/>
      <c r="AK26" s="338" t="n"/>
      <c r="AL26" s="338" t="n"/>
      <c r="AM26" s="338" t="n"/>
      <c r="AN26" s="338" t="n"/>
      <c r="AO26" s="338" t="n"/>
      <c r="AP26" s="338" t="n"/>
      <c r="AQ26" s="338" t="n"/>
      <c r="AR26" s="338" t="n"/>
      <c r="AS26" s="338" t="n"/>
      <c r="AT26" s="338" t="n"/>
      <c r="AU26" s="338" t="n"/>
      <c r="AV26" s="338" t="n"/>
      <c r="AW26" s="338" t="n"/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8" t="n"/>
      <c r="BH26" s="338" t="n"/>
      <c r="BI26" s="338" t="n"/>
      <c r="BJ26" s="338" t="n"/>
      <c r="BK26" s="338" t="n"/>
      <c r="BL26" s="338" t="n"/>
      <c r="BM26" s="338" t="n"/>
      <c r="BN26" s="338" t="n"/>
      <c r="BO26" s="338" t="n"/>
      <c r="BP26" s="338" t="n"/>
      <c r="BQ26" s="338" t="n"/>
      <c r="BR26" s="338" t="n"/>
      <c r="BS26" s="338" t="n"/>
      <c r="BT26" s="338" t="n"/>
      <c r="BU26" s="338" t="n"/>
      <c r="BV26" s="338" t="n"/>
      <c r="BW26" s="338" t="n"/>
      <c r="BX26" s="338" t="n"/>
      <c r="BY26" s="338" t="n"/>
      <c r="BZ26" s="338" t="n"/>
      <c r="CA26" s="338" t="n"/>
      <c r="CB26" s="338" t="n"/>
      <c r="CC26" s="383" t="n"/>
      <c r="CF26" s="253" t="inlineStr">
        <is>
          <t>時間外</t>
        </is>
      </c>
      <c r="CG26" s="384" t="n"/>
      <c r="CH26" s="384" t="n"/>
      <c r="CI26" s="385" t="n"/>
      <c r="CJ26" s="386">
        <f>IF(Q24="作業者1",K27-K24,0)</f>
        <v/>
      </c>
      <c r="CK26" s="387" t="n"/>
      <c r="CL26" s="387" t="n"/>
      <c r="CM26" s="387" t="n"/>
      <c r="CN26" s="388" t="n"/>
      <c r="CP26" s="253" t="inlineStr">
        <is>
          <t>時間外</t>
        </is>
      </c>
      <c r="CQ26" s="384" t="n"/>
      <c r="CR26" s="384" t="n"/>
      <c r="CS26" s="385" t="n"/>
      <c r="CT26" s="386">
        <f>IF(Q24="作業者2",K27-K24,0)</f>
        <v/>
      </c>
      <c r="CU26" s="387" t="n"/>
      <c r="CV26" s="387" t="n"/>
      <c r="CW26" s="387" t="n"/>
      <c r="CX26" s="388" t="n"/>
      <c r="CZ26" s="253" t="inlineStr">
        <is>
          <t>時間外</t>
        </is>
      </c>
      <c r="DA26" s="384" t="n"/>
      <c r="DB26" s="384" t="n"/>
      <c r="DC26" s="385" t="n"/>
      <c r="DD26" s="386">
        <f>IF(Q24="作業者3",K27-K24,0)</f>
        <v/>
      </c>
      <c r="DE26" s="387" t="n"/>
      <c r="DF26" s="387" t="n"/>
      <c r="DG26" s="387" t="n"/>
      <c r="DH26" s="388" t="n"/>
      <c r="DJ26" s="253" t="inlineStr">
        <is>
          <t>時間外</t>
        </is>
      </c>
      <c r="DK26" s="384" t="n"/>
      <c r="DL26" s="384" t="n"/>
      <c r="DM26" s="385" t="n"/>
      <c r="DN26" s="386">
        <f>IF(Q24="作業者4",K27-K24,0)</f>
        <v/>
      </c>
      <c r="DO26" s="387" t="n"/>
      <c r="DP26" s="387" t="n"/>
      <c r="DQ26" s="387" t="n"/>
      <c r="DR26" s="388" t="n"/>
      <c r="DT26" s="253" t="inlineStr">
        <is>
          <t>時間外</t>
        </is>
      </c>
      <c r="DU26" s="384" t="n"/>
      <c r="DV26" s="384" t="n"/>
      <c r="DW26" s="385" t="n"/>
      <c r="DX26" s="386">
        <f>IF(Q24="作業者5",K27-K24,0)</f>
        <v/>
      </c>
      <c r="DY26" s="387" t="n"/>
      <c r="DZ26" s="387" t="n"/>
      <c r="EA26" s="387" t="n"/>
      <c r="EB26" s="388" t="n"/>
    </row>
    <row r="27" ht="9" customHeight="1" s="337">
      <c r="B27" s="389" t="n"/>
      <c r="C27" s="390" t="n"/>
      <c r="D27" s="391" t="n"/>
      <c r="E27" s="392" t="n"/>
      <c r="F27" s="390" t="n"/>
      <c r="G27" s="391" t="n"/>
      <c r="H27" s="392" t="n"/>
      <c r="I27" s="390" t="n"/>
      <c r="J27" s="391" t="n"/>
      <c r="K27" s="392" t="n"/>
      <c r="L27" s="390" t="n"/>
      <c r="M27" s="391" t="n"/>
      <c r="N27" s="392" t="n"/>
      <c r="O27" s="390" t="n"/>
      <c r="P27" s="391" t="n"/>
      <c r="Q27" s="393" t="n"/>
      <c r="R27" s="390" t="n"/>
      <c r="S27" s="391" t="n"/>
      <c r="T27" s="393" t="n"/>
      <c r="U27" s="390" t="n"/>
      <c r="V27" s="391" t="n"/>
      <c r="W27" s="393" t="n"/>
      <c r="X27" s="390" t="n"/>
      <c r="Y27" s="390" t="n"/>
      <c r="Z27" s="390" t="n"/>
      <c r="AA27" s="390" t="n"/>
      <c r="AB27" s="390" t="n"/>
      <c r="AC27" s="390" t="n"/>
      <c r="AD27" s="390" t="n"/>
      <c r="AE27" s="390" t="n"/>
      <c r="AF27" s="390" t="n"/>
      <c r="AG27" s="390" t="n"/>
      <c r="AH27" s="390" t="n"/>
      <c r="AI27" s="390" t="n"/>
      <c r="AJ27" s="390" t="n"/>
      <c r="AK27" s="390" t="n"/>
      <c r="AL27" s="390" t="n"/>
      <c r="AM27" s="390" t="n"/>
      <c r="AN27" s="390" t="n"/>
      <c r="AO27" s="390" t="n"/>
      <c r="AP27" s="390" t="n"/>
      <c r="AQ27" s="390" t="n"/>
      <c r="AR27" s="390" t="n"/>
      <c r="AS27" s="390" t="n"/>
      <c r="AT27" s="390" t="n"/>
      <c r="AU27" s="390" t="n"/>
      <c r="AV27" s="390" t="n"/>
      <c r="AW27" s="390" t="n"/>
      <c r="AX27" s="390" t="n"/>
      <c r="AY27" s="390" t="n"/>
      <c r="AZ27" s="390" t="n"/>
      <c r="BA27" s="390" t="n"/>
      <c r="BB27" s="390" t="n"/>
      <c r="BC27" s="390" t="n"/>
      <c r="BD27" s="390" t="n"/>
      <c r="BE27" s="390" t="n"/>
      <c r="BF27" s="390" t="n"/>
      <c r="BG27" s="390" t="n"/>
      <c r="BH27" s="390" t="n"/>
      <c r="BI27" s="390" t="n"/>
      <c r="BJ27" s="390" t="n"/>
      <c r="BK27" s="390" t="n"/>
      <c r="BL27" s="390" t="n"/>
      <c r="BM27" s="390" t="n"/>
      <c r="BN27" s="390" t="n"/>
      <c r="BO27" s="390" t="n"/>
      <c r="BP27" s="390" t="n"/>
      <c r="BQ27" s="390" t="n"/>
      <c r="BR27" s="390" t="n"/>
      <c r="BS27" s="390" t="n"/>
      <c r="BT27" s="390" t="n"/>
      <c r="BU27" s="390" t="n"/>
      <c r="BV27" s="390" t="n"/>
      <c r="BW27" s="390" t="n"/>
      <c r="BX27" s="390" t="n"/>
      <c r="BY27" s="390" t="n"/>
      <c r="BZ27" s="390" t="n"/>
      <c r="CA27" s="390" t="n"/>
      <c r="CB27" s="390" t="n"/>
      <c r="CC27" s="394" t="n"/>
      <c r="CF27" s="254" t="inlineStr">
        <is>
          <t>休日</t>
        </is>
      </c>
      <c r="CG27" s="395" t="n"/>
      <c r="CH27" s="395" t="n"/>
      <c r="CI27" s="396" t="n"/>
      <c r="CJ27" s="397">
        <f>IF(Q24="作業者1",N27-N24,0)</f>
        <v/>
      </c>
      <c r="CK27" s="395" t="n"/>
      <c r="CL27" s="395" t="n"/>
      <c r="CM27" s="395" t="n"/>
      <c r="CN27" s="396" t="n"/>
      <c r="CP27" s="254" t="inlineStr">
        <is>
          <t>休日</t>
        </is>
      </c>
      <c r="CQ27" s="395" t="n"/>
      <c r="CR27" s="395" t="n"/>
      <c r="CS27" s="396" t="n"/>
      <c r="CT27" s="397">
        <f>IF(Q24="作業者2",N27-N24,0)</f>
        <v/>
      </c>
      <c r="CU27" s="395" t="n"/>
      <c r="CV27" s="395" t="n"/>
      <c r="CW27" s="395" t="n"/>
      <c r="CX27" s="396" t="n"/>
      <c r="CZ27" s="254" t="inlineStr">
        <is>
          <t>休日</t>
        </is>
      </c>
      <c r="DA27" s="395" t="n"/>
      <c r="DB27" s="395" t="n"/>
      <c r="DC27" s="396" t="n"/>
      <c r="DD27" s="397">
        <f>IF(Q24="作業者3",N27-N24,0)</f>
        <v/>
      </c>
      <c r="DE27" s="395" t="n"/>
      <c r="DF27" s="395" t="n"/>
      <c r="DG27" s="395" t="n"/>
      <c r="DH27" s="396" t="n"/>
      <c r="DJ27" s="254" t="inlineStr">
        <is>
          <t>休日</t>
        </is>
      </c>
      <c r="DK27" s="395" t="n"/>
      <c r="DL27" s="395" t="n"/>
      <c r="DM27" s="396" t="n"/>
      <c r="DN27" s="397">
        <f>IF(Q24="作業者4",N27-N24,0)</f>
        <v/>
      </c>
      <c r="DO27" s="395" t="n"/>
      <c r="DP27" s="395" t="n"/>
      <c r="DQ27" s="395" t="n"/>
      <c r="DR27" s="396" t="n"/>
      <c r="DT27" s="254" t="inlineStr">
        <is>
          <t>休日</t>
        </is>
      </c>
      <c r="DU27" s="395" t="n"/>
      <c r="DV27" s="395" t="n"/>
      <c r="DW27" s="396" t="n"/>
      <c r="DX27" s="397">
        <f>IF(Q24="作業者5",N27-N24,0)</f>
        <v/>
      </c>
      <c r="DY27" s="395" t="n"/>
      <c r="DZ27" s="395" t="n"/>
      <c r="EA27" s="395" t="n"/>
      <c r="EB27" s="396" t="n"/>
    </row>
    <row r="28" ht="9" customHeight="1" s="337">
      <c r="B28" s="398" t="n"/>
      <c r="C28" s="372" t="n"/>
      <c r="D28" s="373" t="n"/>
      <c r="E28" s="399" t="n"/>
      <c r="F28" s="372" t="n"/>
      <c r="G28" s="373" t="n"/>
      <c r="H28" s="399" t="n"/>
      <c r="I28" s="372" t="n"/>
      <c r="J28" s="373" t="n"/>
      <c r="K28" s="399" t="n"/>
      <c r="L28" s="372" t="n"/>
      <c r="M28" s="373" t="n"/>
      <c r="N28" s="399" t="n"/>
      <c r="O28" s="372" t="n"/>
      <c r="P28" s="373" t="n"/>
      <c r="Q28" s="371" t="n"/>
      <c r="R28" s="372" t="n"/>
      <c r="S28" s="373" t="n"/>
      <c r="T28" s="371" t="n"/>
      <c r="U28" s="372" t="n"/>
      <c r="V28" s="373" t="n"/>
      <c r="W28" s="443" t="n"/>
      <c r="X28" s="372" t="n"/>
      <c r="Y28" s="372" t="n"/>
      <c r="Z28" s="372" t="n"/>
      <c r="AA28" s="372" t="n"/>
      <c r="AB28" s="372" t="n"/>
      <c r="AC28" s="372" t="n"/>
      <c r="AD28" s="372" t="n"/>
      <c r="AE28" s="372" t="n"/>
      <c r="AF28" s="372" t="n"/>
      <c r="AG28" s="372" t="n"/>
      <c r="AH28" s="372" t="n"/>
      <c r="AI28" s="372" t="n"/>
      <c r="AJ28" s="372" t="n"/>
      <c r="AK28" s="372" t="n"/>
      <c r="AL28" s="372" t="n"/>
      <c r="AM28" s="372" t="n"/>
      <c r="AN28" s="372" t="n"/>
      <c r="AO28" s="372" t="n"/>
      <c r="AP28" s="372" t="n"/>
      <c r="AQ28" s="372" t="n"/>
      <c r="AR28" s="372" t="n"/>
      <c r="AS28" s="372" t="n"/>
      <c r="AT28" s="372" t="n"/>
      <c r="AU28" s="372" t="n"/>
      <c r="AV28" s="372" t="n"/>
      <c r="AW28" s="372" t="n"/>
      <c r="AX28" s="372" t="n"/>
      <c r="AY28" s="372" t="n"/>
      <c r="AZ28" s="372" t="n"/>
      <c r="BA28" s="372" t="n"/>
      <c r="BB28" s="372" t="n"/>
      <c r="BC28" s="372" t="n"/>
      <c r="BD28" s="372" t="n"/>
      <c r="BE28" s="372" t="n"/>
      <c r="BF28" s="372" t="n"/>
      <c r="BG28" s="372" t="n"/>
      <c r="BH28" s="372" t="n"/>
      <c r="BI28" s="372" t="n"/>
      <c r="BJ28" s="372" t="n"/>
      <c r="BK28" s="372" t="n"/>
      <c r="BL28" s="372" t="n"/>
      <c r="BM28" s="372" t="n"/>
      <c r="BN28" s="372" t="n"/>
      <c r="BO28" s="372" t="n"/>
      <c r="BP28" s="372" t="n"/>
      <c r="BQ28" s="372" t="n"/>
      <c r="BR28" s="372" t="n"/>
      <c r="BS28" s="372" t="n"/>
      <c r="BT28" s="372" t="n"/>
      <c r="BU28" s="372" t="n"/>
      <c r="BV28" s="372" t="n"/>
      <c r="BW28" s="372" t="n"/>
      <c r="BX28" s="372" t="n"/>
      <c r="BY28" s="372" t="n"/>
      <c r="BZ28" s="372" t="n"/>
      <c r="CA28" s="372" t="n"/>
      <c r="CB28" s="372" t="n"/>
      <c r="CC28" s="402" t="n"/>
      <c r="CF28" s="248" t="inlineStr">
        <is>
          <t>移動</t>
        </is>
      </c>
      <c r="CG28" s="377" t="n"/>
      <c r="CH28" s="377" t="n"/>
      <c r="CI28" s="378" t="n"/>
      <c r="CJ28" s="379">
        <f>IF(Q28="作業者1",E31-E28,0)</f>
        <v/>
      </c>
      <c r="CK28" s="377" t="n"/>
      <c r="CL28" s="377" t="n"/>
      <c r="CM28" s="377" t="n"/>
      <c r="CN28" s="378" t="n"/>
      <c r="CP28" s="248" t="inlineStr">
        <is>
          <t>移動</t>
        </is>
      </c>
      <c r="CQ28" s="377" t="n"/>
      <c r="CR28" s="377" t="n"/>
      <c r="CS28" s="378" t="n"/>
      <c r="CT28" s="379">
        <f>IF(Q28="作業者2",E31-E28,0)</f>
        <v/>
      </c>
      <c r="CU28" s="377" t="n"/>
      <c r="CV28" s="377" t="n"/>
      <c r="CW28" s="377" t="n"/>
      <c r="CX28" s="378" t="n"/>
      <c r="CZ28" s="259" t="inlineStr">
        <is>
          <t>移動</t>
        </is>
      </c>
      <c r="DA28" s="403" t="n"/>
      <c r="DB28" s="403" t="n"/>
      <c r="DC28" s="404" t="n"/>
      <c r="DD28" s="405">
        <f>IF(Q28="作業者3",E31-E28,0)</f>
        <v/>
      </c>
      <c r="DE28" s="406" t="n"/>
      <c r="DF28" s="406" t="n"/>
      <c r="DG28" s="406" t="n"/>
      <c r="DH28" s="407" t="n"/>
      <c r="DJ28" s="259" t="inlineStr">
        <is>
          <t>移動</t>
        </is>
      </c>
      <c r="DK28" s="403" t="n"/>
      <c r="DL28" s="403" t="n"/>
      <c r="DM28" s="404" t="n"/>
      <c r="DN28" s="379">
        <f>IF(Q28="作業者4",E31-E28,0)</f>
        <v/>
      </c>
      <c r="DO28" s="377" t="n"/>
      <c r="DP28" s="377" t="n"/>
      <c r="DQ28" s="377" t="n"/>
      <c r="DR28" s="378" t="n"/>
      <c r="DT28" s="259" t="inlineStr">
        <is>
          <t>移動</t>
        </is>
      </c>
      <c r="DU28" s="403" t="n"/>
      <c r="DV28" s="403" t="n"/>
      <c r="DW28" s="404" t="n"/>
      <c r="DX28" s="379">
        <f>IF(Q28="作業者5",E31-E28,0)</f>
        <v/>
      </c>
      <c r="DY28" s="377" t="n"/>
      <c r="DZ28" s="377" t="n"/>
      <c r="EA28" s="377" t="n"/>
      <c r="EB28" s="378" t="n"/>
    </row>
    <row r="29" ht="9" customHeight="1" s="337">
      <c r="B29" s="350" t="n"/>
      <c r="C29" s="338" t="n"/>
      <c r="D29" s="380" t="n"/>
      <c r="E29" s="381" t="n"/>
      <c r="F29" s="122" t="inlineStr">
        <is>
          <t>～</t>
        </is>
      </c>
      <c r="G29" s="22" t="n"/>
      <c r="H29" s="381" t="n"/>
      <c r="I29" s="122" t="inlineStr">
        <is>
          <t>～</t>
        </is>
      </c>
      <c r="J29" s="22" t="n"/>
      <c r="K29" s="381" t="n"/>
      <c r="L29" s="122" t="inlineStr">
        <is>
          <t>～</t>
        </is>
      </c>
      <c r="M29" s="22" t="n"/>
      <c r="N29" s="381" t="n"/>
      <c r="O29" s="122" t="inlineStr">
        <is>
          <t>～</t>
        </is>
      </c>
      <c r="P29" s="22" t="n"/>
      <c r="Q29" s="382" t="n"/>
      <c r="R29" s="338" t="n"/>
      <c r="S29" s="380" t="n"/>
      <c r="T29" s="382" t="n"/>
      <c r="U29" s="338" t="n"/>
      <c r="V29" s="380" t="n"/>
      <c r="W29" s="382" t="n"/>
      <c r="X29" s="338" t="n"/>
      <c r="Y29" s="338" t="n"/>
      <c r="Z29" s="338" t="n"/>
      <c r="AA29" s="338" t="n"/>
      <c r="AB29" s="338" t="n"/>
      <c r="AC29" s="338" t="n"/>
      <c r="AD29" s="338" t="n"/>
      <c r="AE29" s="338" t="n"/>
      <c r="AF29" s="338" t="n"/>
      <c r="AG29" s="338" t="n"/>
      <c r="AH29" s="338" t="n"/>
      <c r="AI29" s="338" t="n"/>
      <c r="AJ29" s="338" t="n"/>
      <c r="AK29" s="338" t="n"/>
      <c r="AL29" s="338" t="n"/>
      <c r="AM29" s="338" t="n"/>
      <c r="AN29" s="338" t="n"/>
      <c r="AO29" s="338" t="n"/>
      <c r="AP29" s="338" t="n"/>
      <c r="AQ29" s="338" t="n"/>
      <c r="AR29" s="338" t="n"/>
      <c r="AS29" s="338" t="n"/>
      <c r="AT29" s="338" t="n"/>
      <c r="AU29" s="338" t="n"/>
      <c r="AV29" s="338" t="n"/>
      <c r="AW29" s="338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8" t="n"/>
      <c r="BH29" s="338" t="n"/>
      <c r="BI29" s="338" t="n"/>
      <c r="BJ29" s="338" t="n"/>
      <c r="BK29" s="338" t="n"/>
      <c r="BL29" s="338" t="n"/>
      <c r="BM29" s="338" t="n"/>
      <c r="BN29" s="338" t="n"/>
      <c r="BO29" s="338" t="n"/>
      <c r="BP29" s="338" t="n"/>
      <c r="BQ29" s="338" t="n"/>
      <c r="BR29" s="338" t="n"/>
      <c r="BS29" s="338" t="n"/>
      <c r="BT29" s="338" t="n"/>
      <c r="BU29" s="338" t="n"/>
      <c r="BV29" s="338" t="n"/>
      <c r="BW29" s="338" t="n"/>
      <c r="BX29" s="338" t="n"/>
      <c r="BY29" s="338" t="n"/>
      <c r="BZ29" s="338" t="n"/>
      <c r="CA29" s="338" t="n"/>
      <c r="CB29" s="338" t="n"/>
      <c r="CC29" s="383" t="n"/>
      <c r="CF29" s="253" t="inlineStr">
        <is>
          <t>時間内</t>
        </is>
      </c>
      <c r="CG29" s="384" t="n"/>
      <c r="CH29" s="384" t="n"/>
      <c r="CI29" s="385" t="n"/>
      <c r="CJ29" s="386">
        <f>IF(Q28="作業者1",H31-H28,0)</f>
        <v/>
      </c>
      <c r="CK29" s="387" t="n"/>
      <c r="CL29" s="387" t="n"/>
      <c r="CM29" s="387" t="n"/>
      <c r="CN29" s="388" t="n"/>
      <c r="CP29" s="253" t="inlineStr">
        <is>
          <t>時間内</t>
        </is>
      </c>
      <c r="CQ29" s="384" t="n"/>
      <c r="CR29" s="384" t="n"/>
      <c r="CS29" s="385" t="n"/>
      <c r="CT29" s="386">
        <f>IF(Q28="作業者2",H31-H28,0)</f>
        <v/>
      </c>
      <c r="CU29" s="387" t="n"/>
      <c r="CV29" s="387" t="n"/>
      <c r="CW29" s="387" t="n"/>
      <c r="CX29" s="388" t="n"/>
      <c r="CZ29" s="253" t="inlineStr">
        <is>
          <t>時間内</t>
        </is>
      </c>
      <c r="DA29" s="384" t="n"/>
      <c r="DB29" s="384" t="n"/>
      <c r="DC29" s="385" t="n"/>
      <c r="DD29" s="386">
        <f>IF(Q28="作業者3",H31-H28,0)</f>
        <v/>
      </c>
      <c r="DE29" s="387" t="n"/>
      <c r="DF29" s="387" t="n"/>
      <c r="DG29" s="387" t="n"/>
      <c r="DH29" s="388" t="n"/>
      <c r="DJ29" s="253" t="inlineStr">
        <is>
          <t>時間内</t>
        </is>
      </c>
      <c r="DK29" s="384" t="n"/>
      <c r="DL29" s="384" t="n"/>
      <c r="DM29" s="385" t="n"/>
      <c r="DN29" s="386">
        <f>IF(Q28="作業者4",H31-H28,0)</f>
        <v/>
      </c>
      <c r="DO29" s="387" t="n"/>
      <c r="DP29" s="387" t="n"/>
      <c r="DQ29" s="387" t="n"/>
      <c r="DR29" s="388" t="n"/>
      <c r="DT29" s="253" t="inlineStr">
        <is>
          <t>時間内</t>
        </is>
      </c>
      <c r="DU29" s="384" t="n"/>
      <c r="DV29" s="384" t="n"/>
      <c r="DW29" s="385" t="n"/>
      <c r="DX29" s="386">
        <f>IF(Q28="作業者5",H31-H28,0)</f>
        <v/>
      </c>
      <c r="DY29" s="387" t="n"/>
      <c r="DZ29" s="387" t="n"/>
      <c r="EA29" s="387" t="n"/>
      <c r="EB29" s="388" t="n"/>
    </row>
    <row r="30" ht="9" customHeight="1" s="337">
      <c r="B30" s="350" t="n"/>
      <c r="C30" s="338" t="n"/>
      <c r="D30" s="380" t="n"/>
      <c r="E30" s="23" t="n"/>
      <c r="F30" s="338" t="n"/>
      <c r="G30" s="24" t="n"/>
      <c r="H30" s="23" t="n"/>
      <c r="I30" s="338" t="n"/>
      <c r="J30" s="24" t="n"/>
      <c r="K30" s="23" t="n"/>
      <c r="L30" s="338" t="n"/>
      <c r="M30" s="24" t="n"/>
      <c r="N30" s="23" t="n"/>
      <c r="O30" s="338" t="n"/>
      <c r="P30" s="24" t="n"/>
      <c r="Q30" s="382" t="n"/>
      <c r="R30" s="338" t="n"/>
      <c r="S30" s="380" t="n"/>
      <c r="T30" s="382" t="n"/>
      <c r="U30" s="338" t="n"/>
      <c r="V30" s="380" t="n"/>
      <c r="W30" s="382" t="n"/>
      <c r="X30" s="338" t="n"/>
      <c r="Y30" s="338" t="n"/>
      <c r="Z30" s="338" t="n"/>
      <c r="AA30" s="338" t="n"/>
      <c r="AB30" s="338" t="n"/>
      <c r="AC30" s="338" t="n"/>
      <c r="AD30" s="338" t="n"/>
      <c r="AE30" s="338" t="n"/>
      <c r="AF30" s="338" t="n"/>
      <c r="AG30" s="338" t="n"/>
      <c r="AH30" s="338" t="n"/>
      <c r="AI30" s="338" t="n"/>
      <c r="AJ30" s="338" t="n"/>
      <c r="AK30" s="338" t="n"/>
      <c r="AL30" s="338" t="n"/>
      <c r="AM30" s="338" t="n"/>
      <c r="AN30" s="338" t="n"/>
      <c r="AO30" s="338" t="n"/>
      <c r="AP30" s="338" t="n"/>
      <c r="AQ30" s="338" t="n"/>
      <c r="AR30" s="338" t="n"/>
      <c r="AS30" s="338" t="n"/>
      <c r="AT30" s="338" t="n"/>
      <c r="AU30" s="338" t="n"/>
      <c r="AV30" s="338" t="n"/>
      <c r="AW30" s="338" t="n"/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8" t="n"/>
      <c r="BH30" s="338" t="n"/>
      <c r="BI30" s="338" t="n"/>
      <c r="BJ30" s="338" t="n"/>
      <c r="BK30" s="338" t="n"/>
      <c r="BL30" s="338" t="n"/>
      <c r="BM30" s="338" t="n"/>
      <c r="BN30" s="338" t="n"/>
      <c r="BO30" s="338" t="n"/>
      <c r="BP30" s="338" t="n"/>
      <c r="BQ30" s="338" t="n"/>
      <c r="BR30" s="338" t="n"/>
      <c r="BS30" s="338" t="n"/>
      <c r="BT30" s="338" t="n"/>
      <c r="BU30" s="338" t="n"/>
      <c r="BV30" s="338" t="n"/>
      <c r="BW30" s="338" t="n"/>
      <c r="BX30" s="338" t="n"/>
      <c r="BY30" s="338" t="n"/>
      <c r="BZ30" s="338" t="n"/>
      <c r="CA30" s="338" t="n"/>
      <c r="CB30" s="338" t="n"/>
      <c r="CC30" s="383" t="n"/>
      <c r="CF30" s="253" t="inlineStr">
        <is>
          <t>時間外</t>
        </is>
      </c>
      <c r="CG30" s="384" t="n"/>
      <c r="CH30" s="384" t="n"/>
      <c r="CI30" s="385" t="n"/>
      <c r="CJ30" s="386">
        <f>IF(Q28="作業者1",K31-K28,0)</f>
        <v/>
      </c>
      <c r="CK30" s="387" t="n"/>
      <c r="CL30" s="387" t="n"/>
      <c r="CM30" s="387" t="n"/>
      <c r="CN30" s="388" t="n"/>
      <c r="CP30" s="253" t="inlineStr">
        <is>
          <t>時間外</t>
        </is>
      </c>
      <c r="CQ30" s="384" t="n"/>
      <c r="CR30" s="384" t="n"/>
      <c r="CS30" s="385" t="n"/>
      <c r="CT30" s="386">
        <f>IF(Q28="作業者2",K31-K28,0)</f>
        <v/>
      </c>
      <c r="CU30" s="387" t="n"/>
      <c r="CV30" s="387" t="n"/>
      <c r="CW30" s="387" t="n"/>
      <c r="CX30" s="388" t="n"/>
      <c r="CZ30" s="253" t="inlineStr">
        <is>
          <t>時間外</t>
        </is>
      </c>
      <c r="DA30" s="384" t="n"/>
      <c r="DB30" s="384" t="n"/>
      <c r="DC30" s="385" t="n"/>
      <c r="DD30" s="386">
        <f>IF(Q28="作業者3",K31-K28,0)</f>
        <v/>
      </c>
      <c r="DE30" s="387" t="n"/>
      <c r="DF30" s="387" t="n"/>
      <c r="DG30" s="387" t="n"/>
      <c r="DH30" s="388" t="n"/>
      <c r="DJ30" s="253" t="inlineStr">
        <is>
          <t>時間外</t>
        </is>
      </c>
      <c r="DK30" s="384" t="n"/>
      <c r="DL30" s="384" t="n"/>
      <c r="DM30" s="385" t="n"/>
      <c r="DN30" s="386">
        <f>IF(Q28="作業者4",K31-K28,0)</f>
        <v/>
      </c>
      <c r="DO30" s="387" t="n"/>
      <c r="DP30" s="387" t="n"/>
      <c r="DQ30" s="387" t="n"/>
      <c r="DR30" s="388" t="n"/>
      <c r="DT30" s="253" t="inlineStr">
        <is>
          <t>時間外</t>
        </is>
      </c>
      <c r="DU30" s="384" t="n"/>
      <c r="DV30" s="384" t="n"/>
      <c r="DW30" s="385" t="n"/>
      <c r="DX30" s="386">
        <f>IF(Q28="作業者5",K31-K28,0)</f>
        <v/>
      </c>
      <c r="DY30" s="387" t="n"/>
      <c r="DZ30" s="387" t="n"/>
      <c r="EA30" s="387" t="n"/>
      <c r="EB30" s="388" t="n"/>
    </row>
    <row r="31" ht="9" customHeight="1" s="337">
      <c r="B31" s="389" t="n"/>
      <c r="C31" s="390" t="n"/>
      <c r="D31" s="391" t="n"/>
      <c r="E31" s="392" t="n"/>
      <c r="F31" s="390" t="n"/>
      <c r="G31" s="391" t="n"/>
      <c r="H31" s="392" t="n"/>
      <c r="I31" s="390" t="n"/>
      <c r="J31" s="391" t="n"/>
      <c r="K31" s="392" t="n"/>
      <c r="L31" s="390" t="n"/>
      <c r="M31" s="391" t="n"/>
      <c r="N31" s="392" t="n"/>
      <c r="O31" s="390" t="n"/>
      <c r="P31" s="391" t="n"/>
      <c r="Q31" s="393" t="n"/>
      <c r="R31" s="390" t="n"/>
      <c r="S31" s="391" t="n"/>
      <c r="T31" s="393" t="n"/>
      <c r="U31" s="390" t="n"/>
      <c r="V31" s="391" t="n"/>
      <c r="W31" s="393" t="n"/>
      <c r="X31" s="390" t="n"/>
      <c r="Y31" s="390" t="n"/>
      <c r="Z31" s="390" t="n"/>
      <c r="AA31" s="390" t="n"/>
      <c r="AB31" s="390" t="n"/>
      <c r="AC31" s="390" t="n"/>
      <c r="AD31" s="390" t="n"/>
      <c r="AE31" s="390" t="n"/>
      <c r="AF31" s="390" t="n"/>
      <c r="AG31" s="390" t="n"/>
      <c r="AH31" s="390" t="n"/>
      <c r="AI31" s="390" t="n"/>
      <c r="AJ31" s="390" t="n"/>
      <c r="AK31" s="390" t="n"/>
      <c r="AL31" s="390" t="n"/>
      <c r="AM31" s="390" t="n"/>
      <c r="AN31" s="390" t="n"/>
      <c r="AO31" s="390" t="n"/>
      <c r="AP31" s="390" t="n"/>
      <c r="AQ31" s="390" t="n"/>
      <c r="AR31" s="390" t="n"/>
      <c r="AS31" s="390" t="n"/>
      <c r="AT31" s="390" t="n"/>
      <c r="AU31" s="390" t="n"/>
      <c r="AV31" s="390" t="n"/>
      <c r="AW31" s="390" t="n"/>
      <c r="AX31" s="390" t="n"/>
      <c r="AY31" s="390" t="n"/>
      <c r="AZ31" s="390" t="n"/>
      <c r="BA31" s="390" t="n"/>
      <c r="BB31" s="390" t="n"/>
      <c r="BC31" s="390" t="n"/>
      <c r="BD31" s="390" t="n"/>
      <c r="BE31" s="390" t="n"/>
      <c r="BF31" s="390" t="n"/>
      <c r="BG31" s="390" t="n"/>
      <c r="BH31" s="390" t="n"/>
      <c r="BI31" s="390" t="n"/>
      <c r="BJ31" s="390" t="n"/>
      <c r="BK31" s="390" t="n"/>
      <c r="BL31" s="390" t="n"/>
      <c r="BM31" s="390" t="n"/>
      <c r="BN31" s="390" t="n"/>
      <c r="BO31" s="390" t="n"/>
      <c r="BP31" s="390" t="n"/>
      <c r="BQ31" s="390" t="n"/>
      <c r="BR31" s="390" t="n"/>
      <c r="BS31" s="390" t="n"/>
      <c r="BT31" s="390" t="n"/>
      <c r="BU31" s="390" t="n"/>
      <c r="BV31" s="390" t="n"/>
      <c r="BW31" s="390" t="n"/>
      <c r="BX31" s="390" t="n"/>
      <c r="BY31" s="390" t="n"/>
      <c r="BZ31" s="390" t="n"/>
      <c r="CA31" s="390" t="n"/>
      <c r="CB31" s="390" t="n"/>
      <c r="CC31" s="394" t="n"/>
      <c r="CF31" s="254" t="inlineStr">
        <is>
          <t>休日</t>
        </is>
      </c>
      <c r="CG31" s="395" t="n"/>
      <c r="CH31" s="395" t="n"/>
      <c r="CI31" s="396" t="n"/>
      <c r="CJ31" s="397">
        <f>IF(Q28="作業者1",N31-N28,0)</f>
        <v/>
      </c>
      <c r="CK31" s="395" t="n"/>
      <c r="CL31" s="395" t="n"/>
      <c r="CM31" s="395" t="n"/>
      <c r="CN31" s="396" t="n"/>
      <c r="CP31" s="254" t="inlineStr">
        <is>
          <t>休日</t>
        </is>
      </c>
      <c r="CQ31" s="395" t="n"/>
      <c r="CR31" s="395" t="n"/>
      <c r="CS31" s="396" t="n"/>
      <c r="CT31" s="397">
        <f>IF(Q28="作業者2",N31-N28,0)</f>
        <v/>
      </c>
      <c r="CU31" s="395" t="n"/>
      <c r="CV31" s="395" t="n"/>
      <c r="CW31" s="395" t="n"/>
      <c r="CX31" s="396" t="n"/>
      <c r="CZ31" s="254" t="inlineStr">
        <is>
          <t>休日</t>
        </is>
      </c>
      <c r="DA31" s="395" t="n"/>
      <c r="DB31" s="395" t="n"/>
      <c r="DC31" s="396" t="n"/>
      <c r="DD31" s="397">
        <f>IF(Q28="作業者3",N31-N28,0)</f>
        <v/>
      </c>
      <c r="DE31" s="395" t="n"/>
      <c r="DF31" s="395" t="n"/>
      <c r="DG31" s="395" t="n"/>
      <c r="DH31" s="396" t="n"/>
      <c r="DJ31" s="254" t="inlineStr">
        <is>
          <t>休日</t>
        </is>
      </c>
      <c r="DK31" s="395" t="n"/>
      <c r="DL31" s="395" t="n"/>
      <c r="DM31" s="396" t="n"/>
      <c r="DN31" s="397">
        <f>IF(Q28="作業者4",N31-N28,0)</f>
        <v/>
      </c>
      <c r="DO31" s="395" t="n"/>
      <c r="DP31" s="395" t="n"/>
      <c r="DQ31" s="395" t="n"/>
      <c r="DR31" s="396" t="n"/>
      <c r="DT31" s="254" t="inlineStr">
        <is>
          <t>休日</t>
        </is>
      </c>
      <c r="DU31" s="395" t="n"/>
      <c r="DV31" s="395" t="n"/>
      <c r="DW31" s="396" t="n"/>
      <c r="DX31" s="397">
        <f>IF(Q28="作業者5",N31-N28,0)</f>
        <v/>
      </c>
      <c r="DY31" s="395" t="n"/>
      <c r="DZ31" s="395" t="n"/>
      <c r="EA31" s="395" t="n"/>
      <c r="EB31" s="396" t="n"/>
    </row>
    <row r="32" ht="9" customHeight="1" s="337">
      <c r="B32" s="398" t="n"/>
      <c r="C32" s="372" t="n"/>
      <c r="D32" s="373" t="n"/>
      <c r="E32" s="399" t="n"/>
      <c r="F32" s="372" t="n"/>
      <c r="G32" s="373" t="n"/>
      <c r="H32" s="399" t="n"/>
      <c r="I32" s="372" t="n"/>
      <c r="J32" s="373" t="n"/>
      <c r="K32" s="399" t="n"/>
      <c r="L32" s="372" t="n"/>
      <c r="M32" s="373" t="n"/>
      <c r="N32" s="399" t="n"/>
      <c r="O32" s="372" t="n"/>
      <c r="P32" s="373" t="n"/>
      <c r="Q32" s="371" t="n"/>
      <c r="R32" s="372" t="n"/>
      <c r="S32" s="373" t="n"/>
      <c r="T32" s="371" t="n"/>
      <c r="U32" s="372" t="n"/>
      <c r="V32" s="373" t="n"/>
      <c r="W32" s="443" t="n"/>
      <c r="X32" s="372" t="n"/>
      <c r="Y32" s="372" t="n"/>
      <c r="Z32" s="372" t="n"/>
      <c r="AA32" s="372" t="n"/>
      <c r="AB32" s="372" t="n"/>
      <c r="AC32" s="372" t="n"/>
      <c r="AD32" s="372" t="n"/>
      <c r="AE32" s="372" t="n"/>
      <c r="AF32" s="372" t="n"/>
      <c r="AG32" s="372" t="n"/>
      <c r="AH32" s="372" t="n"/>
      <c r="AI32" s="372" t="n"/>
      <c r="AJ32" s="372" t="n"/>
      <c r="AK32" s="372" t="n"/>
      <c r="AL32" s="372" t="n"/>
      <c r="AM32" s="372" t="n"/>
      <c r="AN32" s="372" t="n"/>
      <c r="AO32" s="372" t="n"/>
      <c r="AP32" s="372" t="n"/>
      <c r="AQ32" s="372" t="n"/>
      <c r="AR32" s="372" t="n"/>
      <c r="AS32" s="372" t="n"/>
      <c r="AT32" s="372" t="n"/>
      <c r="AU32" s="372" t="n"/>
      <c r="AV32" s="372" t="n"/>
      <c r="AW32" s="372" t="n"/>
      <c r="AX32" s="372" t="n"/>
      <c r="AY32" s="372" t="n"/>
      <c r="AZ32" s="372" t="n"/>
      <c r="BA32" s="372" t="n"/>
      <c r="BB32" s="372" t="n"/>
      <c r="BC32" s="372" t="n"/>
      <c r="BD32" s="372" t="n"/>
      <c r="BE32" s="372" t="n"/>
      <c r="BF32" s="372" t="n"/>
      <c r="BG32" s="372" t="n"/>
      <c r="BH32" s="372" t="n"/>
      <c r="BI32" s="372" t="n"/>
      <c r="BJ32" s="372" t="n"/>
      <c r="BK32" s="372" t="n"/>
      <c r="BL32" s="372" t="n"/>
      <c r="BM32" s="372" t="n"/>
      <c r="BN32" s="372" t="n"/>
      <c r="BO32" s="372" t="n"/>
      <c r="BP32" s="372" t="n"/>
      <c r="BQ32" s="372" t="n"/>
      <c r="BR32" s="372" t="n"/>
      <c r="BS32" s="372" t="n"/>
      <c r="BT32" s="372" t="n"/>
      <c r="BU32" s="372" t="n"/>
      <c r="BV32" s="372" t="n"/>
      <c r="BW32" s="372" t="n"/>
      <c r="BX32" s="372" t="n"/>
      <c r="BY32" s="372" t="n"/>
      <c r="BZ32" s="372" t="n"/>
      <c r="CA32" s="372" t="n"/>
      <c r="CB32" s="372" t="n"/>
      <c r="CC32" s="402" t="n"/>
      <c r="CF32" s="248" t="inlineStr">
        <is>
          <t>移動</t>
        </is>
      </c>
      <c r="CG32" s="377" t="n"/>
      <c r="CH32" s="377" t="n"/>
      <c r="CI32" s="378" t="n"/>
      <c r="CJ32" s="379">
        <f>IF(Q32="作業者1",E35-E32,0)</f>
        <v/>
      </c>
      <c r="CK32" s="377" t="n"/>
      <c r="CL32" s="377" t="n"/>
      <c r="CM32" s="377" t="n"/>
      <c r="CN32" s="378" t="n"/>
      <c r="CP32" s="248" t="inlineStr">
        <is>
          <t>移動</t>
        </is>
      </c>
      <c r="CQ32" s="377" t="n"/>
      <c r="CR32" s="377" t="n"/>
      <c r="CS32" s="378" t="n"/>
      <c r="CT32" s="379">
        <f>IF(Q32="作業者2",E35-E32,0)</f>
        <v/>
      </c>
      <c r="CU32" s="377" t="n"/>
      <c r="CV32" s="377" t="n"/>
      <c r="CW32" s="377" t="n"/>
      <c r="CX32" s="378" t="n"/>
      <c r="CZ32" s="259" t="inlineStr">
        <is>
          <t>移動</t>
        </is>
      </c>
      <c r="DA32" s="403" t="n"/>
      <c r="DB32" s="403" t="n"/>
      <c r="DC32" s="404" t="n"/>
      <c r="DD32" s="405">
        <f>IF(Q32="作業者3",E35-E32,0)</f>
        <v/>
      </c>
      <c r="DE32" s="406" t="n"/>
      <c r="DF32" s="406" t="n"/>
      <c r="DG32" s="406" t="n"/>
      <c r="DH32" s="407" t="n"/>
      <c r="DJ32" s="259" t="inlineStr">
        <is>
          <t>移動</t>
        </is>
      </c>
      <c r="DK32" s="403" t="n"/>
      <c r="DL32" s="403" t="n"/>
      <c r="DM32" s="404" t="n"/>
      <c r="DN32" s="379">
        <f>IF(Q32="作業者4",E35-E32,0)</f>
        <v/>
      </c>
      <c r="DO32" s="377" t="n"/>
      <c r="DP32" s="377" t="n"/>
      <c r="DQ32" s="377" t="n"/>
      <c r="DR32" s="378" t="n"/>
      <c r="DT32" s="259" t="inlineStr">
        <is>
          <t>移動</t>
        </is>
      </c>
      <c r="DU32" s="403" t="n"/>
      <c r="DV32" s="403" t="n"/>
      <c r="DW32" s="404" t="n"/>
      <c r="DX32" s="379">
        <f>IF(Q32="作業者5",E35-E32,0)</f>
        <v/>
      </c>
      <c r="DY32" s="377" t="n"/>
      <c r="DZ32" s="377" t="n"/>
      <c r="EA32" s="377" t="n"/>
      <c r="EB32" s="378" t="n"/>
    </row>
    <row r="33" ht="9" customHeight="1" s="337">
      <c r="B33" s="350" t="n"/>
      <c r="C33" s="338" t="n"/>
      <c r="D33" s="380" t="n"/>
      <c r="E33" s="381" t="n"/>
      <c r="F33" s="122" t="inlineStr">
        <is>
          <t>～</t>
        </is>
      </c>
      <c r="G33" s="22" t="n"/>
      <c r="H33" s="381" t="n"/>
      <c r="I33" s="122" t="inlineStr">
        <is>
          <t>～</t>
        </is>
      </c>
      <c r="J33" s="22" t="n"/>
      <c r="K33" s="381" t="n"/>
      <c r="L33" s="122" t="inlineStr">
        <is>
          <t>～</t>
        </is>
      </c>
      <c r="M33" s="22" t="n"/>
      <c r="N33" s="381" t="n"/>
      <c r="O33" s="122" t="inlineStr">
        <is>
          <t>～</t>
        </is>
      </c>
      <c r="P33" s="22" t="n"/>
      <c r="Q33" s="382" t="n"/>
      <c r="R33" s="338" t="n"/>
      <c r="S33" s="380" t="n"/>
      <c r="T33" s="382" t="n"/>
      <c r="U33" s="338" t="n"/>
      <c r="V33" s="380" t="n"/>
      <c r="W33" s="382" t="n"/>
      <c r="X33" s="338" t="n"/>
      <c r="Y33" s="338" t="n"/>
      <c r="Z33" s="338" t="n"/>
      <c r="AA33" s="338" t="n"/>
      <c r="AB33" s="338" t="n"/>
      <c r="AC33" s="338" t="n"/>
      <c r="AD33" s="338" t="n"/>
      <c r="AE33" s="338" t="n"/>
      <c r="AF33" s="338" t="n"/>
      <c r="AG33" s="338" t="n"/>
      <c r="AH33" s="338" t="n"/>
      <c r="AI33" s="338" t="n"/>
      <c r="AJ33" s="338" t="n"/>
      <c r="AK33" s="338" t="n"/>
      <c r="AL33" s="338" t="n"/>
      <c r="AM33" s="338" t="n"/>
      <c r="AN33" s="338" t="n"/>
      <c r="AO33" s="338" t="n"/>
      <c r="AP33" s="338" t="n"/>
      <c r="AQ33" s="338" t="n"/>
      <c r="AR33" s="338" t="n"/>
      <c r="AS33" s="338" t="n"/>
      <c r="AT33" s="338" t="n"/>
      <c r="AU33" s="338" t="n"/>
      <c r="AV33" s="338" t="n"/>
      <c r="AW33" s="338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8" t="n"/>
      <c r="BH33" s="338" t="n"/>
      <c r="BI33" s="338" t="n"/>
      <c r="BJ33" s="338" t="n"/>
      <c r="BK33" s="338" t="n"/>
      <c r="BL33" s="338" t="n"/>
      <c r="BM33" s="338" t="n"/>
      <c r="BN33" s="338" t="n"/>
      <c r="BO33" s="338" t="n"/>
      <c r="BP33" s="338" t="n"/>
      <c r="BQ33" s="338" t="n"/>
      <c r="BR33" s="338" t="n"/>
      <c r="BS33" s="338" t="n"/>
      <c r="BT33" s="338" t="n"/>
      <c r="BU33" s="338" t="n"/>
      <c r="BV33" s="338" t="n"/>
      <c r="BW33" s="338" t="n"/>
      <c r="BX33" s="338" t="n"/>
      <c r="BY33" s="338" t="n"/>
      <c r="BZ33" s="338" t="n"/>
      <c r="CA33" s="338" t="n"/>
      <c r="CB33" s="338" t="n"/>
      <c r="CC33" s="383" t="n"/>
      <c r="CF33" s="253" t="inlineStr">
        <is>
          <t>時間内</t>
        </is>
      </c>
      <c r="CG33" s="384" t="n"/>
      <c r="CH33" s="384" t="n"/>
      <c r="CI33" s="385" t="n"/>
      <c r="CJ33" s="386">
        <f>IF(Q32="作業者1",H35-H32,0)</f>
        <v/>
      </c>
      <c r="CK33" s="387" t="n"/>
      <c r="CL33" s="387" t="n"/>
      <c r="CM33" s="387" t="n"/>
      <c r="CN33" s="388" t="n"/>
      <c r="CP33" s="253" t="inlineStr">
        <is>
          <t>時間内</t>
        </is>
      </c>
      <c r="CQ33" s="384" t="n"/>
      <c r="CR33" s="384" t="n"/>
      <c r="CS33" s="385" t="n"/>
      <c r="CT33" s="386">
        <f>IF(Q32="作業者2",H35-H32,0)</f>
        <v/>
      </c>
      <c r="CU33" s="387" t="n"/>
      <c r="CV33" s="387" t="n"/>
      <c r="CW33" s="387" t="n"/>
      <c r="CX33" s="388" t="n"/>
      <c r="CZ33" s="253" t="inlineStr">
        <is>
          <t>時間内</t>
        </is>
      </c>
      <c r="DA33" s="384" t="n"/>
      <c r="DB33" s="384" t="n"/>
      <c r="DC33" s="385" t="n"/>
      <c r="DD33" s="386">
        <f>IF(Q32="作業者3",H35-H32,0)</f>
        <v/>
      </c>
      <c r="DE33" s="387" t="n"/>
      <c r="DF33" s="387" t="n"/>
      <c r="DG33" s="387" t="n"/>
      <c r="DH33" s="388" t="n"/>
      <c r="DJ33" s="253" t="inlineStr">
        <is>
          <t>時間内</t>
        </is>
      </c>
      <c r="DK33" s="384" t="n"/>
      <c r="DL33" s="384" t="n"/>
      <c r="DM33" s="385" t="n"/>
      <c r="DN33" s="386">
        <f>IF(Q32="作業者4",H35-H32,0)</f>
        <v/>
      </c>
      <c r="DO33" s="387" t="n"/>
      <c r="DP33" s="387" t="n"/>
      <c r="DQ33" s="387" t="n"/>
      <c r="DR33" s="388" t="n"/>
      <c r="DT33" s="253" t="inlineStr">
        <is>
          <t>時間内</t>
        </is>
      </c>
      <c r="DU33" s="384" t="n"/>
      <c r="DV33" s="384" t="n"/>
      <c r="DW33" s="385" t="n"/>
      <c r="DX33" s="386">
        <f>IF(Q32="作業者5",H35-H32,0)</f>
        <v/>
      </c>
      <c r="DY33" s="387" t="n"/>
      <c r="DZ33" s="387" t="n"/>
      <c r="EA33" s="387" t="n"/>
      <c r="EB33" s="388" t="n"/>
    </row>
    <row r="34" ht="9" customHeight="1" s="337">
      <c r="B34" s="350" t="n"/>
      <c r="C34" s="338" t="n"/>
      <c r="D34" s="380" t="n"/>
      <c r="E34" s="23" t="n"/>
      <c r="F34" s="338" t="n"/>
      <c r="G34" s="24" t="n"/>
      <c r="H34" s="23" t="n"/>
      <c r="I34" s="338" t="n"/>
      <c r="J34" s="24" t="n"/>
      <c r="K34" s="23" t="n"/>
      <c r="L34" s="338" t="n"/>
      <c r="M34" s="24" t="n"/>
      <c r="N34" s="23" t="n"/>
      <c r="O34" s="338" t="n"/>
      <c r="P34" s="24" t="n"/>
      <c r="Q34" s="382" t="n"/>
      <c r="R34" s="338" t="n"/>
      <c r="S34" s="380" t="n"/>
      <c r="T34" s="382" t="n"/>
      <c r="U34" s="338" t="n"/>
      <c r="V34" s="380" t="n"/>
      <c r="W34" s="382" t="n"/>
      <c r="X34" s="338" t="n"/>
      <c r="Y34" s="338" t="n"/>
      <c r="Z34" s="338" t="n"/>
      <c r="AA34" s="338" t="n"/>
      <c r="AB34" s="338" t="n"/>
      <c r="AC34" s="338" t="n"/>
      <c r="AD34" s="338" t="n"/>
      <c r="AE34" s="338" t="n"/>
      <c r="AF34" s="338" t="n"/>
      <c r="AG34" s="338" t="n"/>
      <c r="AH34" s="338" t="n"/>
      <c r="AI34" s="338" t="n"/>
      <c r="AJ34" s="338" t="n"/>
      <c r="AK34" s="338" t="n"/>
      <c r="AL34" s="338" t="n"/>
      <c r="AM34" s="338" t="n"/>
      <c r="AN34" s="338" t="n"/>
      <c r="AO34" s="338" t="n"/>
      <c r="AP34" s="338" t="n"/>
      <c r="AQ34" s="338" t="n"/>
      <c r="AR34" s="338" t="n"/>
      <c r="AS34" s="338" t="n"/>
      <c r="AT34" s="338" t="n"/>
      <c r="AU34" s="338" t="n"/>
      <c r="AV34" s="338" t="n"/>
      <c r="AW34" s="338" t="n"/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8" t="n"/>
      <c r="BH34" s="338" t="n"/>
      <c r="BI34" s="338" t="n"/>
      <c r="BJ34" s="338" t="n"/>
      <c r="BK34" s="338" t="n"/>
      <c r="BL34" s="338" t="n"/>
      <c r="BM34" s="338" t="n"/>
      <c r="BN34" s="338" t="n"/>
      <c r="BO34" s="338" t="n"/>
      <c r="BP34" s="338" t="n"/>
      <c r="BQ34" s="338" t="n"/>
      <c r="BR34" s="338" t="n"/>
      <c r="BS34" s="338" t="n"/>
      <c r="BT34" s="338" t="n"/>
      <c r="BU34" s="338" t="n"/>
      <c r="BV34" s="338" t="n"/>
      <c r="BW34" s="338" t="n"/>
      <c r="BX34" s="338" t="n"/>
      <c r="BY34" s="338" t="n"/>
      <c r="BZ34" s="338" t="n"/>
      <c r="CA34" s="338" t="n"/>
      <c r="CB34" s="338" t="n"/>
      <c r="CC34" s="383" t="n"/>
      <c r="CF34" s="253" t="inlineStr">
        <is>
          <t>時間外</t>
        </is>
      </c>
      <c r="CG34" s="384" t="n"/>
      <c r="CH34" s="384" t="n"/>
      <c r="CI34" s="385" t="n"/>
      <c r="CJ34" s="386">
        <f>IF(Q32="作業者1",K35-K32,0)</f>
        <v/>
      </c>
      <c r="CK34" s="387" t="n"/>
      <c r="CL34" s="387" t="n"/>
      <c r="CM34" s="387" t="n"/>
      <c r="CN34" s="388" t="n"/>
      <c r="CP34" s="253" t="inlineStr">
        <is>
          <t>時間外</t>
        </is>
      </c>
      <c r="CQ34" s="384" t="n"/>
      <c r="CR34" s="384" t="n"/>
      <c r="CS34" s="385" t="n"/>
      <c r="CT34" s="386">
        <f>IF(Q32="作業者2",K35-K32,0)</f>
        <v/>
      </c>
      <c r="CU34" s="387" t="n"/>
      <c r="CV34" s="387" t="n"/>
      <c r="CW34" s="387" t="n"/>
      <c r="CX34" s="388" t="n"/>
      <c r="CZ34" s="253" t="inlineStr">
        <is>
          <t>時間外</t>
        </is>
      </c>
      <c r="DA34" s="384" t="n"/>
      <c r="DB34" s="384" t="n"/>
      <c r="DC34" s="385" t="n"/>
      <c r="DD34" s="386">
        <f>IF(Q32="作業者3",K35-K32,0)</f>
        <v/>
      </c>
      <c r="DE34" s="387" t="n"/>
      <c r="DF34" s="387" t="n"/>
      <c r="DG34" s="387" t="n"/>
      <c r="DH34" s="388" t="n"/>
      <c r="DJ34" s="253" t="inlineStr">
        <is>
          <t>時間外</t>
        </is>
      </c>
      <c r="DK34" s="384" t="n"/>
      <c r="DL34" s="384" t="n"/>
      <c r="DM34" s="385" t="n"/>
      <c r="DN34" s="386">
        <f>IF(Q32="作業者4",K35-K32,0)</f>
        <v/>
      </c>
      <c r="DO34" s="387" t="n"/>
      <c r="DP34" s="387" t="n"/>
      <c r="DQ34" s="387" t="n"/>
      <c r="DR34" s="388" t="n"/>
      <c r="DT34" s="253" t="inlineStr">
        <is>
          <t>時間外</t>
        </is>
      </c>
      <c r="DU34" s="384" t="n"/>
      <c r="DV34" s="384" t="n"/>
      <c r="DW34" s="385" t="n"/>
      <c r="DX34" s="386">
        <f>IF(Q32="作業者5",K35-K32,0)</f>
        <v/>
      </c>
      <c r="DY34" s="387" t="n"/>
      <c r="DZ34" s="387" t="n"/>
      <c r="EA34" s="387" t="n"/>
      <c r="EB34" s="388" t="n"/>
    </row>
    <row r="35" ht="9" customHeight="1" s="337">
      <c r="B35" s="389" t="n"/>
      <c r="C35" s="390" t="n"/>
      <c r="D35" s="391" t="n"/>
      <c r="E35" s="392" t="n"/>
      <c r="F35" s="390" t="n"/>
      <c r="G35" s="391" t="n"/>
      <c r="H35" s="392" t="n"/>
      <c r="I35" s="390" t="n"/>
      <c r="J35" s="391" t="n"/>
      <c r="K35" s="392" t="n"/>
      <c r="L35" s="390" t="n"/>
      <c r="M35" s="391" t="n"/>
      <c r="N35" s="392" t="n"/>
      <c r="O35" s="390" t="n"/>
      <c r="P35" s="391" t="n"/>
      <c r="Q35" s="393" t="n"/>
      <c r="R35" s="390" t="n"/>
      <c r="S35" s="391" t="n"/>
      <c r="T35" s="393" t="n"/>
      <c r="U35" s="390" t="n"/>
      <c r="V35" s="391" t="n"/>
      <c r="W35" s="393" t="n"/>
      <c r="X35" s="390" t="n"/>
      <c r="Y35" s="390" t="n"/>
      <c r="Z35" s="390" t="n"/>
      <c r="AA35" s="390" t="n"/>
      <c r="AB35" s="390" t="n"/>
      <c r="AC35" s="390" t="n"/>
      <c r="AD35" s="390" t="n"/>
      <c r="AE35" s="390" t="n"/>
      <c r="AF35" s="390" t="n"/>
      <c r="AG35" s="390" t="n"/>
      <c r="AH35" s="390" t="n"/>
      <c r="AI35" s="390" t="n"/>
      <c r="AJ35" s="390" t="n"/>
      <c r="AK35" s="390" t="n"/>
      <c r="AL35" s="390" t="n"/>
      <c r="AM35" s="390" t="n"/>
      <c r="AN35" s="390" t="n"/>
      <c r="AO35" s="390" t="n"/>
      <c r="AP35" s="390" t="n"/>
      <c r="AQ35" s="390" t="n"/>
      <c r="AR35" s="390" t="n"/>
      <c r="AS35" s="390" t="n"/>
      <c r="AT35" s="390" t="n"/>
      <c r="AU35" s="390" t="n"/>
      <c r="AV35" s="390" t="n"/>
      <c r="AW35" s="390" t="n"/>
      <c r="AX35" s="390" t="n"/>
      <c r="AY35" s="390" t="n"/>
      <c r="AZ35" s="390" t="n"/>
      <c r="BA35" s="390" t="n"/>
      <c r="BB35" s="390" t="n"/>
      <c r="BC35" s="390" t="n"/>
      <c r="BD35" s="390" t="n"/>
      <c r="BE35" s="390" t="n"/>
      <c r="BF35" s="390" t="n"/>
      <c r="BG35" s="390" t="n"/>
      <c r="BH35" s="390" t="n"/>
      <c r="BI35" s="390" t="n"/>
      <c r="BJ35" s="390" t="n"/>
      <c r="BK35" s="390" t="n"/>
      <c r="BL35" s="390" t="n"/>
      <c r="BM35" s="390" t="n"/>
      <c r="BN35" s="390" t="n"/>
      <c r="BO35" s="390" t="n"/>
      <c r="BP35" s="390" t="n"/>
      <c r="BQ35" s="390" t="n"/>
      <c r="BR35" s="390" t="n"/>
      <c r="BS35" s="390" t="n"/>
      <c r="BT35" s="390" t="n"/>
      <c r="BU35" s="390" t="n"/>
      <c r="BV35" s="390" t="n"/>
      <c r="BW35" s="390" t="n"/>
      <c r="BX35" s="390" t="n"/>
      <c r="BY35" s="390" t="n"/>
      <c r="BZ35" s="390" t="n"/>
      <c r="CA35" s="390" t="n"/>
      <c r="CB35" s="390" t="n"/>
      <c r="CC35" s="394" t="n"/>
      <c r="CF35" s="254" t="inlineStr">
        <is>
          <t>休日</t>
        </is>
      </c>
      <c r="CG35" s="395" t="n"/>
      <c r="CH35" s="395" t="n"/>
      <c r="CI35" s="396" t="n"/>
      <c r="CJ35" s="397">
        <f>IF(Q32="作業者1",N35-N32,0)</f>
        <v/>
      </c>
      <c r="CK35" s="395" t="n"/>
      <c r="CL35" s="395" t="n"/>
      <c r="CM35" s="395" t="n"/>
      <c r="CN35" s="396" t="n"/>
      <c r="CP35" s="254" t="inlineStr">
        <is>
          <t>休日</t>
        </is>
      </c>
      <c r="CQ35" s="395" t="n"/>
      <c r="CR35" s="395" t="n"/>
      <c r="CS35" s="396" t="n"/>
      <c r="CT35" s="397">
        <f>IF(Q32="作業者2",N35-N32,0)</f>
        <v/>
      </c>
      <c r="CU35" s="395" t="n"/>
      <c r="CV35" s="395" t="n"/>
      <c r="CW35" s="395" t="n"/>
      <c r="CX35" s="396" t="n"/>
      <c r="CZ35" s="254" t="inlineStr">
        <is>
          <t>休日</t>
        </is>
      </c>
      <c r="DA35" s="395" t="n"/>
      <c r="DB35" s="395" t="n"/>
      <c r="DC35" s="396" t="n"/>
      <c r="DD35" s="397">
        <f>IF(Q32="作業者3",N35-N32,0)</f>
        <v/>
      </c>
      <c r="DE35" s="395" t="n"/>
      <c r="DF35" s="395" t="n"/>
      <c r="DG35" s="395" t="n"/>
      <c r="DH35" s="396" t="n"/>
      <c r="DJ35" s="254" t="inlineStr">
        <is>
          <t>休日</t>
        </is>
      </c>
      <c r="DK35" s="395" t="n"/>
      <c r="DL35" s="395" t="n"/>
      <c r="DM35" s="396" t="n"/>
      <c r="DN35" s="397">
        <f>IF(Q32="作業者4",N35-N32,0)</f>
        <v/>
      </c>
      <c r="DO35" s="395" t="n"/>
      <c r="DP35" s="395" t="n"/>
      <c r="DQ35" s="395" t="n"/>
      <c r="DR35" s="396" t="n"/>
      <c r="DT35" s="254" t="inlineStr">
        <is>
          <t>休日</t>
        </is>
      </c>
      <c r="DU35" s="395" t="n"/>
      <c r="DV35" s="395" t="n"/>
      <c r="DW35" s="396" t="n"/>
      <c r="DX35" s="397">
        <f>IF(Q32="作業者5",N35-N32,0)</f>
        <v/>
      </c>
      <c r="DY35" s="395" t="n"/>
      <c r="DZ35" s="395" t="n"/>
      <c r="EA35" s="395" t="n"/>
      <c r="EB35" s="396" t="n"/>
    </row>
    <row r="36" ht="9" customHeight="1" s="337">
      <c r="B36" s="398" t="n"/>
      <c r="C36" s="372" t="n"/>
      <c r="D36" s="373" t="n"/>
      <c r="E36" s="399" t="n"/>
      <c r="F36" s="372" t="n"/>
      <c r="G36" s="373" t="n"/>
      <c r="H36" s="399" t="n"/>
      <c r="I36" s="372" t="n"/>
      <c r="J36" s="373" t="n"/>
      <c r="K36" s="399" t="n"/>
      <c r="L36" s="372" t="n"/>
      <c r="M36" s="373" t="n"/>
      <c r="N36" s="399" t="n"/>
      <c r="O36" s="372" t="n"/>
      <c r="P36" s="373" t="n"/>
      <c r="Q36" s="371" t="n"/>
      <c r="R36" s="372" t="n"/>
      <c r="S36" s="373" t="n"/>
      <c r="T36" s="371" t="n"/>
      <c r="U36" s="372" t="n"/>
      <c r="V36" s="373" t="n"/>
      <c r="W36" s="443" t="n"/>
      <c r="X36" s="372" t="n"/>
      <c r="Y36" s="372" t="n"/>
      <c r="Z36" s="372" t="n"/>
      <c r="AA36" s="372" t="n"/>
      <c r="AB36" s="372" t="n"/>
      <c r="AC36" s="372" t="n"/>
      <c r="AD36" s="372" t="n"/>
      <c r="AE36" s="372" t="n"/>
      <c r="AF36" s="372" t="n"/>
      <c r="AG36" s="372" t="n"/>
      <c r="AH36" s="372" t="n"/>
      <c r="AI36" s="372" t="n"/>
      <c r="AJ36" s="372" t="n"/>
      <c r="AK36" s="372" t="n"/>
      <c r="AL36" s="372" t="n"/>
      <c r="AM36" s="372" t="n"/>
      <c r="AN36" s="372" t="n"/>
      <c r="AO36" s="372" t="n"/>
      <c r="AP36" s="372" t="n"/>
      <c r="AQ36" s="372" t="n"/>
      <c r="AR36" s="372" t="n"/>
      <c r="AS36" s="372" t="n"/>
      <c r="AT36" s="372" t="n"/>
      <c r="AU36" s="372" t="n"/>
      <c r="AV36" s="372" t="n"/>
      <c r="AW36" s="372" t="n"/>
      <c r="AX36" s="372" t="n"/>
      <c r="AY36" s="372" t="n"/>
      <c r="AZ36" s="372" t="n"/>
      <c r="BA36" s="372" t="n"/>
      <c r="BB36" s="372" t="n"/>
      <c r="BC36" s="372" t="n"/>
      <c r="BD36" s="372" t="n"/>
      <c r="BE36" s="372" t="n"/>
      <c r="BF36" s="372" t="n"/>
      <c r="BG36" s="372" t="n"/>
      <c r="BH36" s="372" t="n"/>
      <c r="BI36" s="372" t="n"/>
      <c r="BJ36" s="372" t="n"/>
      <c r="BK36" s="372" t="n"/>
      <c r="BL36" s="372" t="n"/>
      <c r="BM36" s="372" t="n"/>
      <c r="BN36" s="372" t="n"/>
      <c r="BO36" s="372" t="n"/>
      <c r="BP36" s="372" t="n"/>
      <c r="BQ36" s="372" t="n"/>
      <c r="BR36" s="372" t="n"/>
      <c r="BS36" s="372" t="n"/>
      <c r="BT36" s="372" t="n"/>
      <c r="BU36" s="372" t="n"/>
      <c r="BV36" s="372" t="n"/>
      <c r="BW36" s="372" t="n"/>
      <c r="BX36" s="372" t="n"/>
      <c r="BY36" s="372" t="n"/>
      <c r="BZ36" s="372" t="n"/>
      <c r="CA36" s="372" t="n"/>
      <c r="CB36" s="372" t="n"/>
      <c r="CC36" s="402" t="n"/>
      <c r="CF36" s="248" t="inlineStr">
        <is>
          <t>移動</t>
        </is>
      </c>
      <c r="CG36" s="377" t="n"/>
      <c r="CH36" s="377" t="n"/>
      <c r="CI36" s="378" t="n"/>
      <c r="CJ36" s="379">
        <f>IF(Q36="作業者1",E39-E36,0)</f>
        <v/>
      </c>
      <c r="CK36" s="377" t="n"/>
      <c r="CL36" s="377" t="n"/>
      <c r="CM36" s="377" t="n"/>
      <c r="CN36" s="378" t="n"/>
      <c r="CP36" s="248" t="inlineStr">
        <is>
          <t>移動</t>
        </is>
      </c>
      <c r="CQ36" s="377" t="n"/>
      <c r="CR36" s="377" t="n"/>
      <c r="CS36" s="378" t="n"/>
      <c r="CT36" s="379">
        <f>IF(Q36="作業者2",E39-E36,0)</f>
        <v/>
      </c>
      <c r="CU36" s="377" t="n"/>
      <c r="CV36" s="377" t="n"/>
      <c r="CW36" s="377" t="n"/>
      <c r="CX36" s="378" t="n"/>
      <c r="CZ36" s="259" t="inlineStr">
        <is>
          <t>移動</t>
        </is>
      </c>
      <c r="DA36" s="403" t="n"/>
      <c r="DB36" s="403" t="n"/>
      <c r="DC36" s="404" t="n"/>
      <c r="DD36" s="405">
        <f>IF(Q36="作業者3",E39-E36,0)</f>
        <v/>
      </c>
      <c r="DE36" s="406" t="n"/>
      <c r="DF36" s="406" t="n"/>
      <c r="DG36" s="406" t="n"/>
      <c r="DH36" s="407" t="n"/>
      <c r="DJ36" s="259" t="inlineStr">
        <is>
          <t>移動</t>
        </is>
      </c>
      <c r="DK36" s="403" t="n"/>
      <c r="DL36" s="403" t="n"/>
      <c r="DM36" s="404" t="n"/>
      <c r="DN36" s="379">
        <f>IF(Q36="作業者4",E39-E36,0)</f>
        <v/>
      </c>
      <c r="DO36" s="377" t="n"/>
      <c r="DP36" s="377" t="n"/>
      <c r="DQ36" s="377" t="n"/>
      <c r="DR36" s="378" t="n"/>
      <c r="DT36" s="259" t="inlineStr">
        <is>
          <t>移動</t>
        </is>
      </c>
      <c r="DU36" s="403" t="n"/>
      <c r="DV36" s="403" t="n"/>
      <c r="DW36" s="404" t="n"/>
      <c r="DX36" s="379">
        <f>IF(Q36="作業者5",E39-E36,0)</f>
        <v/>
      </c>
      <c r="DY36" s="377" t="n"/>
      <c r="DZ36" s="377" t="n"/>
      <c r="EA36" s="377" t="n"/>
      <c r="EB36" s="378" t="n"/>
    </row>
    <row r="37" ht="9" customHeight="1" s="337">
      <c r="B37" s="350" t="n"/>
      <c r="C37" s="338" t="n"/>
      <c r="D37" s="380" t="n"/>
      <c r="E37" s="381" t="n"/>
      <c r="F37" s="122" t="inlineStr">
        <is>
          <t>～</t>
        </is>
      </c>
      <c r="G37" s="22" t="n"/>
      <c r="H37" s="381" t="n"/>
      <c r="I37" s="122" t="inlineStr">
        <is>
          <t>～</t>
        </is>
      </c>
      <c r="J37" s="22" t="n"/>
      <c r="K37" s="381" t="n"/>
      <c r="L37" s="122" t="inlineStr">
        <is>
          <t>～</t>
        </is>
      </c>
      <c r="M37" s="22" t="n"/>
      <c r="N37" s="381" t="n"/>
      <c r="O37" s="122" t="inlineStr">
        <is>
          <t>～</t>
        </is>
      </c>
      <c r="P37" s="22" t="n"/>
      <c r="Q37" s="382" t="n"/>
      <c r="R37" s="338" t="n"/>
      <c r="S37" s="380" t="n"/>
      <c r="T37" s="382" t="n"/>
      <c r="U37" s="338" t="n"/>
      <c r="V37" s="380" t="n"/>
      <c r="W37" s="382" t="n"/>
      <c r="X37" s="338" t="n"/>
      <c r="Y37" s="338" t="n"/>
      <c r="Z37" s="338" t="n"/>
      <c r="AA37" s="338" t="n"/>
      <c r="AB37" s="338" t="n"/>
      <c r="AC37" s="338" t="n"/>
      <c r="AD37" s="338" t="n"/>
      <c r="AE37" s="338" t="n"/>
      <c r="AF37" s="338" t="n"/>
      <c r="AG37" s="338" t="n"/>
      <c r="AH37" s="338" t="n"/>
      <c r="AI37" s="338" t="n"/>
      <c r="AJ37" s="338" t="n"/>
      <c r="AK37" s="338" t="n"/>
      <c r="AL37" s="338" t="n"/>
      <c r="AM37" s="338" t="n"/>
      <c r="AN37" s="338" t="n"/>
      <c r="AO37" s="338" t="n"/>
      <c r="AP37" s="338" t="n"/>
      <c r="AQ37" s="338" t="n"/>
      <c r="AR37" s="338" t="n"/>
      <c r="AS37" s="338" t="n"/>
      <c r="AT37" s="338" t="n"/>
      <c r="AU37" s="338" t="n"/>
      <c r="AV37" s="338" t="n"/>
      <c r="AW37" s="338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8" t="n"/>
      <c r="BH37" s="338" t="n"/>
      <c r="BI37" s="338" t="n"/>
      <c r="BJ37" s="338" t="n"/>
      <c r="BK37" s="338" t="n"/>
      <c r="BL37" s="338" t="n"/>
      <c r="BM37" s="338" t="n"/>
      <c r="BN37" s="338" t="n"/>
      <c r="BO37" s="338" t="n"/>
      <c r="BP37" s="338" t="n"/>
      <c r="BQ37" s="338" t="n"/>
      <c r="BR37" s="338" t="n"/>
      <c r="BS37" s="338" t="n"/>
      <c r="BT37" s="338" t="n"/>
      <c r="BU37" s="338" t="n"/>
      <c r="BV37" s="338" t="n"/>
      <c r="BW37" s="338" t="n"/>
      <c r="BX37" s="338" t="n"/>
      <c r="BY37" s="338" t="n"/>
      <c r="BZ37" s="338" t="n"/>
      <c r="CA37" s="338" t="n"/>
      <c r="CB37" s="338" t="n"/>
      <c r="CC37" s="383" t="n"/>
      <c r="CF37" s="253" t="inlineStr">
        <is>
          <t>時間内</t>
        </is>
      </c>
      <c r="CG37" s="384" t="n"/>
      <c r="CH37" s="384" t="n"/>
      <c r="CI37" s="385" t="n"/>
      <c r="CJ37" s="386">
        <f>IF(Q36="作業者1",H39-H36,0)</f>
        <v/>
      </c>
      <c r="CK37" s="387" t="n"/>
      <c r="CL37" s="387" t="n"/>
      <c r="CM37" s="387" t="n"/>
      <c r="CN37" s="388" t="n"/>
      <c r="CP37" s="253" t="inlineStr">
        <is>
          <t>時間内</t>
        </is>
      </c>
      <c r="CQ37" s="384" t="n"/>
      <c r="CR37" s="384" t="n"/>
      <c r="CS37" s="385" t="n"/>
      <c r="CT37" s="386">
        <f>IF(Q36="作業者2",H39-H36,0)</f>
        <v/>
      </c>
      <c r="CU37" s="387" t="n"/>
      <c r="CV37" s="387" t="n"/>
      <c r="CW37" s="387" t="n"/>
      <c r="CX37" s="388" t="n"/>
      <c r="CZ37" s="253" t="inlineStr">
        <is>
          <t>時間内</t>
        </is>
      </c>
      <c r="DA37" s="384" t="n"/>
      <c r="DB37" s="384" t="n"/>
      <c r="DC37" s="385" t="n"/>
      <c r="DD37" s="386">
        <f>IF(Q36="作業者3",H39-H36,0)</f>
        <v/>
      </c>
      <c r="DE37" s="387" t="n"/>
      <c r="DF37" s="387" t="n"/>
      <c r="DG37" s="387" t="n"/>
      <c r="DH37" s="388" t="n"/>
      <c r="DJ37" s="253" t="inlineStr">
        <is>
          <t>時間内</t>
        </is>
      </c>
      <c r="DK37" s="384" t="n"/>
      <c r="DL37" s="384" t="n"/>
      <c r="DM37" s="385" t="n"/>
      <c r="DN37" s="386">
        <f>IF(Q36="作業者4",H39-H36,0)</f>
        <v/>
      </c>
      <c r="DO37" s="387" t="n"/>
      <c r="DP37" s="387" t="n"/>
      <c r="DQ37" s="387" t="n"/>
      <c r="DR37" s="388" t="n"/>
      <c r="DT37" s="253" t="inlineStr">
        <is>
          <t>時間内</t>
        </is>
      </c>
      <c r="DU37" s="384" t="n"/>
      <c r="DV37" s="384" t="n"/>
      <c r="DW37" s="385" t="n"/>
      <c r="DX37" s="386">
        <f>IF(Q36="作業者5",H39-H36,0)</f>
        <v/>
      </c>
      <c r="DY37" s="387" t="n"/>
      <c r="DZ37" s="387" t="n"/>
      <c r="EA37" s="387" t="n"/>
      <c r="EB37" s="388" t="n"/>
    </row>
    <row r="38" ht="9" customHeight="1" s="337">
      <c r="B38" s="350" t="n"/>
      <c r="C38" s="338" t="n"/>
      <c r="D38" s="380" t="n"/>
      <c r="E38" s="23" t="n"/>
      <c r="F38" s="338" t="n"/>
      <c r="G38" s="24" t="n"/>
      <c r="H38" s="23" t="n"/>
      <c r="I38" s="338" t="n"/>
      <c r="J38" s="24" t="n"/>
      <c r="K38" s="23" t="n"/>
      <c r="L38" s="338" t="n"/>
      <c r="M38" s="24" t="n"/>
      <c r="N38" s="23" t="n"/>
      <c r="O38" s="338" t="n"/>
      <c r="P38" s="24" t="n"/>
      <c r="Q38" s="382" t="n"/>
      <c r="R38" s="338" t="n"/>
      <c r="S38" s="380" t="n"/>
      <c r="T38" s="382" t="n"/>
      <c r="U38" s="338" t="n"/>
      <c r="V38" s="380" t="n"/>
      <c r="W38" s="382" t="n"/>
      <c r="X38" s="338" t="n"/>
      <c r="Y38" s="338" t="n"/>
      <c r="Z38" s="338" t="n"/>
      <c r="AA38" s="338" t="n"/>
      <c r="AB38" s="338" t="n"/>
      <c r="AC38" s="338" t="n"/>
      <c r="AD38" s="338" t="n"/>
      <c r="AE38" s="338" t="n"/>
      <c r="AF38" s="338" t="n"/>
      <c r="AG38" s="338" t="n"/>
      <c r="AH38" s="338" t="n"/>
      <c r="AI38" s="338" t="n"/>
      <c r="AJ38" s="338" t="n"/>
      <c r="AK38" s="338" t="n"/>
      <c r="AL38" s="338" t="n"/>
      <c r="AM38" s="338" t="n"/>
      <c r="AN38" s="338" t="n"/>
      <c r="AO38" s="338" t="n"/>
      <c r="AP38" s="338" t="n"/>
      <c r="AQ38" s="338" t="n"/>
      <c r="AR38" s="338" t="n"/>
      <c r="AS38" s="338" t="n"/>
      <c r="AT38" s="338" t="n"/>
      <c r="AU38" s="338" t="n"/>
      <c r="AV38" s="338" t="n"/>
      <c r="AW38" s="338" t="n"/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8" t="n"/>
      <c r="BH38" s="338" t="n"/>
      <c r="BI38" s="338" t="n"/>
      <c r="BJ38" s="338" t="n"/>
      <c r="BK38" s="338" t="n"/>
      <c r="BL38" s="338" t="n"/>
      <c r="BM38" s="338" t="n"/>
      <c r="BN38" s="338" t="n"/>
      <c r="BO38" s="338" t="n"/>
      <c r="BP38" s="338" t="n"/>
      <c r="BQ38" s="338" t="n"/>
      <c r="BR38" s="338" t="n"/>
      <c r="BS38" s="338" t="n"/>
      <c r="BT38" s="338" t="n"/>
      <c r="BU38" s="338" t="n"/>
      <c r="BV38" s="338" t="n"/>
      <c r="BW38" s="338" t="n"/>
      <c r="BX38" s="338" t="n"/>
      <c r="BY38" s="338" t="n"/>
      <c r="BZ38" s="338" t="n"/>
      <c r="CA38" s="338" t="n"/>
      <c r="CB38" s="338" t="n"/>
      <c r="CC38" s="383" t="n"/>
      <c r="CF38" s="253" t="inlineStr">
        <is>
          <t>時間外</t>
        </is>
      </c>
      <c r="CG38" s="384" t="n"/>
      <c r="CH38" s="384" t="n"/>
      <c r="CI38" s="385" t="n"/>
      <c r="CJ38" s="386">
        <f>IF(Q36="作業者1",K39-K36,0)</f>
        <v/>
      </c>
      <c r="CK38" s="387" t="n"/>
      <c r="CL38" s="387" t="n"/>
      <c r="CM38" s="387" t="n"/>
      <c r="CN38" s="388" t="n"/>
      <c r="CP38" s="253" t="inlineStr">
        <is>
          <t>時間外</t>
        </is>
      </c>
      <c r="CQ38" s="384" t="n"/>
      <c r="CR38" s="384" t="n"/>
      <c r="CS38" s="385" t="n"/>
      <c r="CT38" s="386">
        <f>IF(Q36="作業者2",K39-K36,0)</f>
        <v/>
      </c>
      <c r="CU38" s="387" t="n"/>
      <c r="CV38" s="387" t="n"/>
      <c r="CW38" s="387" t="n"/>
      <c r="CX38" s="388" t="n"/>
      <c r="CZ38" s="253" t="inlineStr">
        <is>
          <t>時間外</t>
        </is>
      </c>
      <c r="DA38" s="384" t="n"/>
      <c r="DB38" s="384" t="n"/>
      <c r="DC38" s="385" t="n"/>
      <c r="DD38" s="386">
        <f>IF(Q36="作業者3",K39-K36,0)</f>
        <v/>
      </c>
      <c r="DE38" s="387" t="n"/>
      <c r="DF38" s="387" t="n"/>
      <c r="DG38" s="387" t="n"/>
      <c r="DH38" s="388" t="n"/>
      <c r="DJ38" s="253" t="inlineStr">
        <is>
          <t>時間外</t>
        </is>
      </c>
      <c r="DK38" s="384" t="n"/>
      <c r="DL38" s="384" t="n"/>
      <c r="DM38" s="385" t="n"/>
      <c r="DN38" s="386">
        <f>IF(Q36="作業者4",K39-K36,0)</f>
        <v/>
      </c>
      <c r="DO38" s="387" t="n"/>
      <c r="DP38" s="387" t="n"/>
      <c r="DQ38" s="387" t="n"/>
      <c r="DR38" s="388" t="n"/>
      <c r="DT38" s="253" t="inlineStr">
        <is>
          <t>時間外</t>
        </is>
      </c>
      <c r="DU38" s="384" t="n"/>
      <c r="DV38" s="384" t="n"/>
      <c r="DW38" s="385" t="n"/>
      <c r="DX38" s="386">
        <f>IF(Q36="作業者5",K39-K36,0)</f>
        <v/>
      </c>
      <c r="DY38" s="387" t="n"/>
      <c r="DZ38" s="387" t="n"/>
      <c r="EA38" s="387" t="n"/>
      <c r="EB38" s="388" t="n"/>
    </row>
    <row r="39" ht="9" customHeight="1" s="337">
      <c r="B39" s="389" t="n"/>
      <c r="C39" s="390" t="n"/>
      <c r="D39" s="391" t="n"/>
      <c r="E39" s="392" t="n"/>
      <c r="F39" s="390" t="n"/>
      <c r="G39" s="391" t="n"/>
      <c r="H39" s="392" t="n"/>
      <c r="I39" s="390" t="n"/>
      <c r="J39" s="391" t="n"/>
      <c r="K39" s="392" t="n"/>
      <c r="L39" s="390" t="n"/>
      <c r="M39" s="391" t="n"/>
      <c r="N39" s="392" t="n"/>
      <c r="O39" s="390" t="n"/>
      <c r="P39" s="391" t="n"/>
      <c r="Q39" s="393" t="n"/>
      <c r="R39" s="390" t="n"/>
      <c r="S39" s="391" t="n"/>
      <c r="T39" s="393" t="n"/>
      <c r="U39" s="390" t="n"/>
      <c r="V39" s="391" t="n"/>
      <c r="W39" s="393" t="n"/>
      <c r="X39" s="390" t="n"/>
      <c r="Y39" s="390" t="n"/>
      <c r="Z39" s="390" t="n"/>
      <c r="AA39" s="390" t="n"/>
      <c r="AB39" s="390" t="n"/>
      <c r="AC39" s="390" t="n"/>
      <c r="AD39" s="390" t="n"/>
      <c r="AE39" s="390" t="n"/>
      <c r="AF39" s="390" t="n"/>
      <c r="AG39" s="390" t="n"/>
      <c r="AH39" s="390" t="n"/>
      <c r="AI39" s="390" t="n"/>
      <c r="AJ39" s="390" t="n"/>
      <c r="AK39" s="390" t="n"/>
      <c r="AL39" s="390" t="n"/>
      <c r="AM39" s="390" t="n"/>
      <c r="AN39" s="390" t="n"/>
      <c r="AO39" s="390" t="n"/>
      <c r="AP39" s="390" t="n"/>
      <c r="AQ39" s="390" t="n"/>
      <c r="AR39" s="390" t="n"/>
      <c r="AS39" s="390" t="n"/>
      <c r="AT39" s="390" t="n"/>
      <c r="AU39" s="390" t="n"/>
      <c r="AV39" s="390" t="n"/>
      <c r="AW39" s="390" t="n"/>
      <c r="AX39" s="390" t="n"/>
      <c r="AY39" s="390" t="n"/>
      <c r="AZ39" s="390" t="n"/>
      <c r="BA39" s="390" t="n"/>
      <c r="BB39" s="390" t="n"/>
      <c r="BC39" s="390" t="n"/>
      <c r="BD39" s="390" t="n"/>
      <c r="BE39" s="390" t="n"/>
      <c r="BF39" s="390" t="n"/>
      <c r="BG39" s="390" t="n"/>
      <c r="BH39" s="390" t="n"/>
      <c r="BI39" s="390" t="n"/>
      <c r="BJ39" s="390" t="n"/>
      <c r="BK39" s="390" t="n"/>
      <c r="BL39" s="390" t="n"/>
      <c r="BM39" s="390" t="n"/>
      <c r="BN39" s="390" t="n"/>
      <c r="BO39" s="390" t="n"/>
      <c r="BP39" s="390" t="n"/>
      <c r="BQ39" s="390" t="n"/>
      <c r="BR39" s="390" t="n"/>
      <c r="BS39" s="390" t="n"/>
      <c r="BT39" s="390" t="n"/>
      <c r="BU39" s="390" t="n"/>
      <c r="BV39" s="390" t="n"/>
      <c r="BW39" s="390" t="n"/>
      <c r="BX39" s="390" t="n"/>
      <c r="BY39" s="390" t="n"/>
      <c r="BZ39" s="390" t="n"/>
      <c r="CA39" s="390" t="n"/>
      <c r="CB39" s="390" t="n"/>
      <c r="CC39" s="394" t="n"/>
      <c r="CF39" s="254" t="inlineStr">
        <is>
          <t>休日</t>
        </is>
      </c>
      <c r="CG39" s="395" t="n"/>
      <c r="CH39" s="395" t="n"/>
      <c r="CI39" s="396" t="n"/>
      <c r="CJ39" s="397">
        <f>IF(Q36="作業者1",N39-N36,0)</f>
        <v/>
      </c>
      <c r="CK39" s="395" t="n"/>
      <c r="CL39" s="395" t="n"/>
      <c r="CM39" s="395" t="n"/>
      <c r="CN39" s="396" t="n"/>
      <c r="CP39" s="254" t="inlineStr">
        <is>
          <t>休日</t>
        </is>
      </c>
      <c r="CQ39" s="395" t="n"/>
      <c r="CR39" s="395" t="n"/>
      <c r="CS39" s="396" t="n"/>
      <c r="CT39" s="397">
        <f>IF(Q36="作業者2",N39-N36,0)</f>
        <v/>
      </c>
      <c r="CU39" s="395" t="n"/>
      <c r="CV39" s="395" t="n"/>
      <c r="CW39" s="395" t="n"/>
      <c r="CX39" s="396" t="n"/>
      <c r="CZ39" s="254" t="inlineStr">
        <is>
          <t>休日</t>
        </is>
      </c>
      <c r="DA39" s="395" t="n"/>
      <c r="DB39" s="395" t="n"/>
      <c r="DC39" s="396" t="n"/>
      <c r="DD39" s="397">
        <f>IF(Q36="作業者3",N39-N36,0)</f>
        <v/>
      </c>
      <c r="DE39" s="395" t="n"/>
      <c r="DF39" s="395" t="n"/>
      <c r="DG39" s="395" t="n"/>
      <c r="DH39" s="396" t="n"/>
      <c r="DJ39" s="254" t="inlineStr">
        <is>
          <t>休日</t>
        </is>
      </c>
      <c r="DK39" s="395" t="n"/>
      <c r="DL39" s="395" t="n"/>
      <c r="DM39" s="396" t="n"/>
      <c r="DN39" s="397">
        <f>IF(Q36="作業者4",N39-N36,0)</f>
        <v/>
      </c>
      <c r="DO39" s="395" t="n"/>
      <c r="DP39" s="395" t="n"/>
      <c r="DQ39" s="395" t="n"/>
      <c r="DR39" s="396" t="n"/>
      <c r="DT39" s="254" t="inlineStr">
        <is>
          <t>休日</t>
        </is>
      </c>
      <c r="DU39" s="395" t="n"/>
      <c r="DV39" s="395" t="n"/>
      <c r="DW39" s="396" t="n"/>
      <c r="DX39" s="397">
        <f>IF(Q36="作業者5",N39-N36,0)</f>
        <v/>
      </c>
      <c r="DY39" s="395" t="n"/>
      <c r="DZ39" s="395" t="n"/>
      <c r="EA39" s="395" t="n"/>
      <c r="EB39" s="396" t="n"/>
    </row>
    <row r="40" ht="9" customHeight="1" s="337">
      <c r="B40" s="398" t="n"/>
      <c r="C40" s="372" t="n"/>
      <c r="D40" s="373" t="n"/>
      <c r="E40" s="399" t="n"/>
      <c r="F40" s="372" t="n"/>
      <c r="G40" s="373" t="n"/>
      <c r="H40" s="399" t="n"/>
      <c r="I40" s="372" t="n"/>
      <c r="J40" s="373" t="n"/>
      <c r="K40" s="399" t="n"/>
      <c r="L40" s="372" t="n"/>
      <c r="M40" s="373" t="n"/>
      <c r="N40" s="399" t="n"/>
      <c r="O40" s="372" t="n"/>
      <c r="P40" s="373" t="n"/>
      <c r="Q40" s="371" t="n"/>
      <c r="R40" s="372" t="n"/>
      <c r="S40" s="373" t="n"/>
      <c r="T40" s="371" t="n"/>
      <c r="U40" s="372" t="n"/>
      <c r="V40" s="373" t="n"/>
      <c r="W40" s="443" t="n"/>
      <c r="X40" s="372" t="n"/>
      <c r="Y40" s="372" t="n"/>
      <c r="Z40" s="372" t="n"/>
      <c r="AA40" s="372" t="n"/>
      <c r="AB40" s="372" t="n"/>
      <c r="AC40" s="372" t="n"/>
      <c r="AD40" s="372" t="n"/>
      <c r="AE40" s="372" t="n"/>
      <c r="AF40" s="372" t="n"/>
      <c r="AG40" s="372" t="n"/>
      <c r="AH40" s="372" t="n"/>
      <c r="AI40" s="372" t="n"/>
      <c r="AJ40" s="372" t="n"/>
      <c r="AK40" s="372" t="n"/>
      <c r="AL40" s="372" t="n"/>
      <c r="AM40" s="372" t="n"/>
      <c r="AN40" s="372" t="n"/>
      <c r="AO40" s="372" t="n"/>
      <c r="AP40" s="372" t="n"/>
      <c r="AQ40" s="372" t="n"/>
      <c r="AR40" s="372" t="n"/>
      <c r="AS40" s="372" t="n"/>
      <c r="AT40" s="372" t="n"/>
      <c r="AU40" s="372" t="n"/>
      <c r="AV40" s="372" t="n"/>
      <c r="AW40" s="372" t="n"/>
      <c r="AX40" s="372" t="n"/>
      <c r="AY40" s="372" t="n"/>
      <c r="AZ40" s="372" t="n"/>
      <c r="BA40" s="372" t="n"/>
      <c r="BB40" s="372" t="n"/>
      <c r="BC40" s="372" t="n"/>
      <c r="BD40" s="372" t="n"/>
      <c r="BE40" s="372" t="n"/>
      <c r="BF40" s="372" t="n"/>
      <c r="BG40" s="372" t="n"/>
      <c r="BH40" s="372" t="n"/>
      <c r="BI40" s="372" t="n"/>
      <c r="BJ40" s="372" t="n"/>
      <c r="BK40" s="372" t="n"/>
      <c r="BL40" s="372" t="n"/>
      <c r="BM40" s="372" t="n"/>
      <c r="BN40" s="372" t="n"/>
      <c r="BO40" s="372" t="n"/>
      <c r="BP40" s="372" t="n"/>
      <c r="BQ40" s="372" t="n"/>
      <c r="BR40" s="372" t="n"/>
      <c r="BS40" s="372" t="n"/>
      <c r="BT40" s="372" t="n"/>
      <c r="BU40" s="372" t="n"/>
      <c r="BV40" s="372" t="n"/>
      <c r="BW40" s="372" t="n"/>
      <c r="BX40" s="372" t="n"/>
      <c r="BY40" s="372" t="n"/>
      <c r="BZ40" s="372" t="n"/>
      <c r="CA40" s="372" t="n"/>
      <c r="CB40" s="372" t="n"/>
      <c r="CC40" s="402" t="n"/>
      <c r="CF40" s="248" t="inlineStr">
        <is>
          <t>移動</t>
        </is>
      </c>
      <c r="CG40" s="377" t="n"/>
      <c r="CH40" s="377" t="n"/>
      <c r="CI40" s="378" t="n"/>
      <c r="CJ40" s="379">
        <f>IF(Q40="作業者1",E43-E40,0)</f>
        <v/>
      </c>
      <c r="CK40" s="377" t="n"/>
      <c r="CL40" s="377" t="n"/>
      <c r="CM40" s="377" t="n"/>
      <c r="CN40" s="378" t="n"/>
      <c r="CP40" s="248" t="inlineStr">
        <is>
          <t>移動</t>
        </is>
      </c>
      <c r="CQ40" s="377" t="n"/>
      <c r="CR40" s="377" t="n"/>
      <c r="CS40" s="378" t="n"/>
      <c r="CT40" s="379">
        <f>IF(Q40="作業者2",E43-E40,0)</f>
        <v/>
      </c>
      <c r="CU40" s="377" t="n"/>
      <c r="CV40" s="377" t="n"/>
      <c r="CW40" s="377" t="n"/>
      <c r="CX40" s="378" t="n"/>
      <c r="CZ40" s="259" t="inlineStr">
        <is>
          <t>移動</t>
        </is>
      </c>
      <c r="DA40" s="403" t="n"/>
      <c r="DB40" s="403" t="n"/>
      <c r="DC40" s="404" t="n"/>
      <c r="DD40" s="405">
        <f>IF(Q40="作業者3",E43-E40,0)</f>
        <v/>
      </c>
      <c r="DE40" s="406" t="n"/>
      <c r="DF40" s="406" t="n"/>
      <c r="DG40" s="406" t="n"/>
      <c r="DH40" s="407" t="n"/>
      <c r="DJ40" s="259" t="inlineStr">
        <is>
          <t>移動</t>
        </is>
      </c>
      <c r="DK40" s="403" t="n"/>
      <c r="DL40" s="403" t="n"/>
      <c r="DM40" s="404" t="n"/>
      <c r="DN40" s="379">
        <f>IF(Q40="作業者4",E43-E40,0)</f>
        <v/>
      </c>
      <c r="DO40" s="377" t="n"/>
      <c r="DP40" s="377" t="n"/>
      <c r="DQ40" s="377" t="n"/>
      <c r="DR40" s="378" t="n"/>
      <c r="DT40" s="259" t="inlineStr">
        <is>
          <t>移動</t>
        </is>
      </c>
      <c r="DU40" s="403" t="n"/>
      <c r="DV40" s="403" t="n"/>
      <c r="DW40" s="404" t="n"/>
      <c r="DX40" s="379">
        <f>IF(Q40="作業者5",E43-E40,0)</f>
        <v/>
      </c>
      <c r="DY40" s="377" t="n"/>
      <c r="DZ40" s="377" t="n"/>
      <c r="EA40" s="377" t="n"/>
      <c r="EB40" s="378" t="n"/>
    </row>
    <row r="41" ht="9" customHeight="1" s="337">
      <c r="B41" s="350" t="n"/>
      <c r="C41" s="338" t="n"/>
      <c r="D41" s="380" t="n"/>
      <c r="E41" s="381" t="n"/>
      <c r="F41" s="122" t="inlineStr">
        <is>
          <t>～</t>
        </is>
      </c>
      <c r="G41" s="22" t="n"/>
      <c r="H41" s="381" t="n"/>
      <c r="I41" s="122" t="inlineStr">
        <is>
          <t>～</t>
        </is>
      </c>
      <c r="J41" s="22" t="n"/>
      <c r="K41" s="381" t="n"/>
      <c r="L41" s="122" t="inlineStr">
        <is>
          <t>～</t>
        </is>
      </c>
      <c r="M41" s="22" t="n"/>
      <c r="N41" s="381" t="n"/>
      <c r="O41" s="122" t="inlineStr">
        <is>
          <t>～</t>
        </is>
      </c>
      <c r="P41" s="22" t="n"/>
      <c r="Q41" s="382" t="n"/>
      <c r="R41" s="338" t="n"/>
      <c r="S41" s="380" t="n"/>
      <c r="T41" s="382" t="n"/>
      <c r="U41" s="338" t="n"/>
      <c r="V41" s="380" t="n"/>
      <c r="W41" s="382" t="n"/>
      <c r="X41" s="338" t="n"/>
      <c r="Y41" s="338" t="n"/>
      <c r="Z41" s="338" t="n"/>
      <c r="AA41" s="338" t="n"/>
      <c r="AB41" s="338" t="n"/>
      <c r="AC41" s="338" t="n"/>
      <c r="AD41" s="338" t="n"/>
      <c r="AE41" s="338" t="n"/>
      <c r="AF41" s="338" t="n"/>
      <c r="AG41" s="338" t="n"/>
      <c r="AH41" s="338" t="n"/>
      <c r="AI41" s="338" t="n"/>
      <c r="AJ41" s="338" t="n"/>
      <c r="AK41" s="338" t="n"/>
      <c r="AL41" s="338" t="n"/>
      <c r="AM41" s="338" t="n"/>
      <c r="AN41" s="338" t="n"/>
      <c r="AO41" s="338" t="n"/>
      <c r="AP41" s="338" t="n"/>
      <c r="AQ41" s="338" t="n"/>
      <c r="AR41" s="338" t="n"/>
      <c r="AS41" s="338" t="n"/>
      <c r="AT41" s="338" t="n"/>
      <c r="AU41" s="338" t="n"/>
      <c r="AV41" s="338" t="n"/>
      <c r="AW41" s="338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8" t="n"/>
      <c r="BH41" s="338" t="n"/>
      <c r="BI41" s="338" t="n"/>
      <c r="BJ41" s="338" t="n"/>
      <c r="BK41" s="338" t="n"/>
      <c r="BL41" s="338" t="n"/>
      <c r="BM41" s="338" t="n"/>
      <c r="BN41" s="338" t="n"/>
      <c r="BO41" s="338" t="n"/>
      <c r="BP41" s="338" t="n"/>
      <c r="BQ41" s="338" t="n"/>
      <c r="BR41" s="338" t="n"/>
      <c r="BS41" s="338" t="n"/>
      <c r="BT41" s="338" t="n"/>
      <c r="BU41" s="338" t="n"/>
      <c r="BV41" s="338" t="n"/>
      <c r="BW41" s="338" t="n"/>
      <c r="BX41" s="338" t="n"/>
      <c r="BY41" s="338" t="n"/>
      <c r="BZ41" s="338" t="n"/>
      <c r="CA41" s="338" t="n"/>
      <c r="CB41" s="338" t="n"/>
      <c r="CC41" s="383" t="n"/>
      <c r="CF41" s="253" t="inlineStr">
        <is>
          <t>時間内</t>
        </is>
      </c>
      <c r="CG41" s="384" t="n"/>
      <c r="CH41" s="384" t="n"/>
      <c r="CI41" s="385" t="n"/>
      <c r="CJ41" s="386">
        <f>IF(Q40="作業者1",H43-H40,0)</f>
        <v/>
      </c>
      <c r="CK41" s="387" t="n"/>
      <c r="CL41" s="387" t="n"/>
      <c r="CM41" s="387" t="n"/>
      <c r="CN41" s="388" t="n"/>
      <c r="CP41" s="253" t="inlineStr">
        <is>
          <t>時間内</t>
        </is>
      </c>
      <c r="CQ41" s="384" t="n"/>
      <c r="CR41" s="384" t="n"/>
      <c r="CS41" s="385" t="n"/>
      <c r="CT41" s="386">
        <f>IF(Q40="作業者2",H43-H40,0)</f>
        <v/>
      </c>
      <c r="CU41" s="387" t="n"/>
      <c r="CV41" s="387" t="n"/>
      <c r="CW41" s="387" t="n"/>
      <c r="CX41" s="388" t="n"/>
      <c r="CZ41" s="253" t="inlineStr">
        <is>
          <t>時間内</t>
        </is>
      </c>
      <c r="DA41" s="384" t="n"/>
      <c r="DB41" s="384" t="n"/>
      <c r="DC41" s="385" t="n"/>
      <c r="DD41" s="386">
        <f>IF(Q40="作業者3",H43-H40,0)</f>
        <v/>
      </c>
      <c r="DE41" s="387" t="n"/>
      <c r="DF41" s="387" t="n"/>
      <c r="DG41" s="387" t="n"/>
      <c r="DH41" s="388" t="n"/>
      <c r="DJ41" s="253" t="inlineStr">
        <is>
          <t>時間内</t>
        </is>
      </c>
      <c r="DK41" s="384" t="n"/>
      <c r="DL41" s="384" t="n"/>
      <c r="DM41" s="385" t="n"/>
      <c r="DN41" s="386">
        <f>IF(Q40="作業者4",H43-H40,0)</f>
        <v/>
      </c>
      <c r="DO41" s="387" t="n"/>
      <c r="DP41" s="387" t="n"/>
      <c r="DQ41" s="387" t="n"/>
      <c r="DR41" s="388" t="n"/>
      <c r="DT41" s="253" t="inlineStr">
        <is>
          <t>時間内</t>
        </is>
      </c>
      <c r="DU41" s="384" t="n"/>
      <c r="DV41" s="384" t="n"/>
      <c r="DW41" s="385" t="n"/>
      <c r="DX41" s="386">
        <f>IF(Q40="作業者5",H43-H40,0)</f>
        <v/>
      </c>
      <c r="DY41" s="387" t="n"/>
      <c r="DZ41" s="387" t="n"/>
      <c r="EA41" s="387" t="n"/>
      <c r="EB41" s="388" t="n"/>
    </row>
    <row r="42" ht="9" customHeight="1" s="337">
      <c r="B42" s="350" t="n"/>
      <c r="C42" s="338" t="n"/>
      <c r="D42" s="380" t="n"/>
      <c r="E42" s="23" t="n"/>
      <c r="F42" s="338" t="n"/>
      <c r="G42" s="24" t="n"/>
      <c r="H42" s="23" t="n"/>
      <c r="I42" s="338" t="n"/>
      <c r="J42" s="24" t="n"/>
      <c r="K42" s="23" t="n"/>
      <c r="L42" s="338" t="n"/>
      <c r="M42" s="24" t="n"/>
      <c r="N42" s="23" t="n"/>
      <c r="O42" s="338" t="n"/>
      <c r="P42" s="24" t="n"/>
      <c r="Q42" s="382" t="n"/>
      <c r="R42" s="338" t="n"/>
      <c r="S42" s="380" t="n"/>
      <c r="T42" s="382" t="n"/>
      <c r="U42" s="338" t="n"/>
      <c r="V42" s="380" t="n"/>
      <c r="W42" s="382" t="n"/>
      <c r="X42" s="338" t="n"/>
      <c r="Y42" s="338" t="n"/>
      <c r="Z42" s="338" t="n"/>
      <c r="AA42" s="338" t="n"/>
      <c r="AB42" s="338" t="n"/>
      <c r="AC42" s="338" t="n"/>
      <c r="AD42" s="338" t="n"/>
      <c r="AE42" s="338" t="n"/>
      <c r="AF42" s="338" t="n"/>
      <c r="AG42" s="338" t="n"/>
      <c r="AH42" s="338" t="n"/>
      <c r="AI42" s="338" t="n"/>
      <c r="AJ42" s="338" t="n"/>
      <c r="AK42" s="338" t="n"/>
      <c r="AL42" s="338" t="n"/>
      <c r="AM42" s="338" t="n"/>
      <c r="AN42" s="338" t="n"/>
      <c r="AO42" s="338" t="n"/>
      <c r="AP42" s="338" t="n"/>
      <c r="AQ42" s="338" t="n"/>
      <c r="AR42" s="338" t="n"/>
      <c r="AS42" s="338" t="n"/>
      <c r="AT42" s="338" t="n"/>
      <c r="AU42" s="338" t="n"/>
      <c r="AV42" s="338" t="n"/>
      <c r="AW42" s="338" t="n"/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8" t="n"/>
      <c r="BH42" s="338" t="n"/>
      <c r="BI42" s="338" t="n"/>
      <c r="BJ42" s="338" t="n"/>
      <c r="BK42" s="338" t="n"/>
      <c r="BL42" s="338" t="n"/>
      <c r="BM42" s="338" t="n"/>
      <c r="BN42" s="338" t="n"/>
      <c r="BO42" s="338" t="n"/>
      <c r="BP42" s="338" t="n"/>
      <c r="BQ42" s="338" t="n"/>
      <c r="BR42" s="338" t="n"/>
      <c r="BS42" s="338" t="n"/>
      <c r="BT42" s="338" t="n"/>
      <c r="BU42" s="338" t="n"/>
      <c r="BV42" s="338" t="n"/>
      <c r="BW42" s="338" t="n"/>
      <c r="BX42" s="338" t="n"/>
      <c r="BY42" s="338" t="n"/>
      <c r="BZ42" s="338" t="n"/>
      <c r="CA42" s="338" t="n"/>
      <c r="CB42" s="338" t="n"/>
      <c r="CC42" s="383" t="n"/>
      <c r="CF42" s="253" t="inlineStr">
        <is>
          <t>時間外</t>
        </is>
      </c>
      <c r="CG42" s="384" t="n"/>
      <c r="CH42" s="384" t="n"/>
      <c r="CI42" s="385" t="n"/>
      <c r="CJ42" s="386">
        <f>IF(Q40="作業者1",K43-K40,0)</f>
        <v/>
      </c>
      <c r="CK42" s="387" t="n"/>
      <c r="CL42" s="387" t="n"/>
      <c r="CM42" s="387" t="n"/>
      <c r="CN42" s="388" t="n"/>
      <c r="CP42" s="253" t="inlineStr">
        <is>
          <t>時間外</t>
        </is>
      </c>
      <c r="CQ42" s="384" t="n"/>
      <c r="CR42" s="384" t="n"/>
      <c r="CS42" s="385" t="n"/>
      <c r="CT42" s="386">
        <f>IF(Q40="作業者2",K43-K40,0)</f>
        <v/>
      </c>
      <c r="CU42" s="387" t="n"/>
      <c r="CV42" s="387" t="n"/>
      <c r="CW42" s="387" t="n"/>
      <c r="CX42" s="388" t="n"/>
      <c r="CZ42" s="253" t="inlineStr">
        <is>
          <t>時間外</t>
        </is>
      </c>
      <c r="DA42" s="384" t="n"/>
      <c r="DB42" s="384" t="n"/>
      <c r="DC42" s="385" t="n"/>
      <c r="DD42" s="386">
        <f>IF(Q40="作業者3",K43-K40,0)</f>
        <v/>
      </c>
      <c r="DE42" s="387" t="n"/>
      <c r="DF42" s="387" t="n"/>
      <c r="DG42" s="387" t="n"/>
      <c r="DH42" s="388" t="n"/>
      <c r="DJ42" s="253" t="inlineStr">
        <is>
          <t>時間外</t>
        </is>
      </c>
      <c r="DK42" s="384" t="n"/>
      <c r="DL42" s="384" t="n"/>
      <c r="DM42" s="385" t="n"/>
      <c r="DN42" s="386">
        <f>IF(Q40="作業者4",K43-K40,0)</f>
        <v/>
      </c>
      <c r="DO42" s="387" t="n"/>
      <c r="DP42" s="387" t="n"/>
      <c r="DQ42" s="387" t="n"/>
      <c r="DR42" s="388" t="n"/>
      <c r="DT42" s="253" t="inlineStr">
        <is>
          <t>時間外</t>
        </is>
      </c>
      <c r="DU42" s="384" t="n"/>
      <c r="DV42" s="384" t="n"/>
      <c r="DW42" s="385" t="n"/>
      <c r="DX42" s="386">
        <f>IF(Q40="作業者5",K43-K40,0)</f>
        <v/>
      </c>
      <c r="DY42" s="387" t="n"/>
      <c r="DZ42" s="387" t="n"/>
      <c r="EA42" s="387" t="n"/>
      <c r="EB42" s="388" t="n"/>
    </row>
    <row r="43" ht="9" customHeight="1" s="337">
      <c r="B43" s="389" t="n"/>
      <c r="C43" s="390" t="n"/>
      <c r="D43" s="391" t="n"/>
      <c r="E43" s="392" t="n"/>
      <c r="F43" s="390" t="n"/>
      <c r="G43" s="391" t="n"/>
      <c r="H43" s="392" t="n"/>
      <c r="I43" s="390" t="n"/>
      <c r="J43" s="391" t="n"/>
      <c r="K43" s="392" t="n"/>
      <c r="L43" s="390" t="n"/>
      <c r="M43" s="391" t="n"/>
      <c r="N43" s="392" t="n"/>
      <c r="O43" s="390" t="n"/>
      <c r="P43" s="391" t="n"/>
      <c r="Q43" s="393" t="n"/>
      <c r="R43" s="390" t="n"/>
      <c r="S43" s="391" t="n"/>
      <c r="T43" s="393" t="n"/>
      <c r="U43" s="390" t="n"/>
      <c r="V43" s="391" t="n"/>
      <c r="W43" s="393" t="n"/>
      <c r="X43" s="390" t="n"/>
      <c r="Y43" s="390" t="n"/>
      <c r="Z43" s="390" t="n"/>
      <c r="AA43" s="390" t="n"/>
      <c r="AB43" s="390" t="n"/>
      <c r="AC43" s="390" t="n"/>
      <c r="AD43" s="390" t="n"/>
      <c r="AE43" s="390" t="n"/>
      <c r="AF43" s="390" t="n"/>
      <c r="AG43" s="390" t="n"/>
      <c r="AH43" s="390" t="n"/>
      <c r="AI43" s="390" t="n"/>
      <c r="AJ43" s="390" t="n"/>
      <c r="AK43" s="390" t="n"/>
      <c r="AL43" s="390" t="n"/>
      <c r="AM43" s="390" t="n"/>
      <c r="AN43" s="390" t="n"/>
      <c r="AO43" s="390" t="n"/>
      <c r="AP43" s="390" t="n"/>
      <c r="AQ43" s="390" t="n"/>
      <c r="AR43" s="390" t="n"/>
      <c r="AS43" s="390" t="n"/>
      <c r="AT43" s="390" t="n"/>
      <c r="AU43" s="390" t="n"/>
      <c r="AV43" s="390" t="n"/>
      <c r="AW43" s="390" t="n"/>
      <c r="AX43" s="390" t="n"/>
      <c r="AY43" s="390" t="n"/>
      <c r="AZ43" s="390" t="n"/>
      <c r="BA43" s="390" t="n"/>
      <c r="BB43" s="390" t="n"/>
      <c r="BC43" s="390" t="n"/>
      <c r="BD43" s="390" t="n"/>
      <c r="BE43" s="390" t="n"/>
      <c r="BF43" s="390" t="n"/>
      <c r="BG43" s="390" t="n"/>
      <c r="BH43" s="390" t="n"/>
      <c r="BI43" s="390" t="n"/>
      <c r="BJ43" s="390" t="n"/>
      <c r="BK43" s="390" t="n"/>
      <c r="BL43" s="390" t="n"/>
      <c r="BM43" s="390" t="n"/>
      <c r="BN43" s="390" t="n"/>
      <c r="BO43" s="390" t="n"/>
      <c r="BP43" s="390" t="n"/>
      <c r="BQ43" s="390" t="n"/>
      <c r="BR43" s="390" t="n"/>
      <c r="BS43" s="390" t="n"/>
      <c r="BT43" s="390" t="n"/>
      <c r="BU43" s="390" t="n"/>
      <c r="BV43" s="390" t="n"/>
      <c r="BW43" s="390" t="n"/>
      <c r="BX43" s="390" t="n"/>
      <c r="BY43" s="390" t="n"/>
      <c r="BZ43" s="390" t="n"/>
      <c r="CA43" s="390" t="n"/>
      <c r="CB43" s="390" t="n"/>
      <c r="CC43" s="394" t="n"/>
      <c r="CF43" s="254" t="inlineStr">
        <is>
          <t>休日</t>
        </is>
      </c>
      <c r="CG43" s="395" t="n"/>
      <c r="CH43" s="395" t="n"/>
      <c r="CI43" s="396" t="n"/>
      <c r="CJ43" s="397">
        <f>IF(Q40="作業者1",N43-N40,0)</f>
        <v/>
      </c>
      <c r="CK43" s="395" t="n"/>
      <c r="CL43" s="395" t="n"/>
      <c r="CM43" s="395" t="n"/>
      <c r="CN43" s="396" t="n"/>
      <c r="CP43" s="254" t="inlineStr">
        <is>
          <t>休日</t>
        </is>
      </c>
      <c r="CQ43" s="395" t="n"/>
      <c r="CR43" s="395" t="n"/>
      <c r="CS43" s="396" t="n"/>
      <c r="CT43" s="397">
        <f>IF(Q40="作業者2",N43-N40,0)</f>
        <v/>
      </c>
      <c r="CU43" s="395" t="n"/>
      <c r="CV43" s="395" t="n"/>
      <c r="CW43" s="395" t="n"/>
      <c r="CX43" s="396" t="n"/>
      <c r="CZ43" s="254" t="inlineStr">
        <is>
          <t>休日</t>
        </is>
      </c>
      <c r="DA43" s="395" t="n"/>
      <c r="DB43" s="395" t="n"/>
      <c r="DC43" s="396" t="n"/>
      <c r="DD43" s="397">
        <f>IF(Q40="作業者3",N43-N40,0)</f>
        <v/>
      </c>
      <c r="DE43" s="395" t="n"/>
      <c r="DF43" s="395" t="n"/>
      <c r="DG43" s="395" t="n"/>
      <c r="DH43" s="396" t="n"/>
      <c r="DJ43" s="254" t="inlineStr">
        <is>
          <t>休日</t>
        </is>
      </c>
      <c r="DK43" s="395" t="n"/>
      <c r="DL43" s="395" t="n"/>
      <c r="DM43" s="396" t="n"/>
      <c r="DN43" s="397">
        <f>IF(Q40="作業者4",N43-N40,0)</f>
        <v/>
      </c>
      <c r="DO43" s="395" t="n"/>
      <c r="DP43" s="395" t="n"/>
      <c r="DQ43" s="395" t="n"/>
      <c r="DR43" s="396" t="n"/>
      <c r="DT43" s="254" t="inlineStr">
        <is>
          <t>休日</t>
        </is>
      </c>
      <c r="DU43" s="395" t="n"/>
      <c r="DV43" s="395" t="n"/>
      <c r="DW43" s="396" t="n"/>
      <c r="DX43" s="397">
        <f>IF(Q40="作業者5",N43-N40,0)</f>
        <v/>
      </c>
      <c r="DY43" s="395" t="n"/>
      <c r="DZ43" s="395" t="n"/>
      <c r="EA43" s="395" t="n"/>
      <c r="EB43" s="396" t="n"/>
    </row>
    <row r="44" ht="9" customHeight="1" s="337">
      <c r="B44" s="398" t="n"/>
      <c r="C44" s="372" t="n"/>
      <c r="D44" s="373" t="n"/>
      <c r="E44" s="399" t="n"/>
      <c r="F44" s="372" t="n"/>
      <c r="G44" s="373" t="n"/>
      <c r="H44" s="399" t="n"/>
      <c r="I44" s="372" t="n"/>
      <c r="J44" s="373" t="n"/>
      <c r="K44" s="399" t="n"/>
      <c r="L44" s="372" t="n"/>
      <c r="M44" s="373" t="n"/>
      <c r="N44" s="399" t="n"/>
      <c r="O44" s="372" t="n"/>
      <c r="P44" s="373" t="n"/>
      <c r="Q44" s="371" t="n"/>
      <c r="R44" s="372" t="n"/>
      <c r="S44" s="373" t="n"/>
      <c r="T44" s="371" t="n"/>
      <c r="U44" s="372" t="n"/>
      <c r="V44" s="373" t="n"/>
      <c r="W44" s="443" t="n"/>
      <c r="X44" s="372" t="n"/>
      <c r="Y44" s="372" t="n"/>
      <c r="Z44" s="372" t="n"/>
      <c r="AA44" s="372" t="n"/>
      <c r="AB44" s="372" t="n"/>
      <c r="AC44" s="372" t="n"/>
      <c r="AD44" s="372" t="n"/>
      <c r="AE44" s="372" t="n"/>
      <c r="AF44" s="372" t="n"/>
      <c r="AG44" s="372" t="n"/>
      <c r="AH44" s="372" t="n"/>
      <c r="AI44" s="372" t="n"/>
      <c r="AJ44" s="372" t="n"/>
      <c r="AK44" s="372" t="n"/>
      <c r="AL44" s="372" t="n"/>
      <c r="AM44" s="372" t="n"/>
      <c r="AN44" s="372" t="n"/>
      <c r="AO44" s="372" t="n"/>
      <c r="AP44" s="372" t="n"/>
      <c r="AQ44" s="372" t="n"/>
      <c r="AR44" s="372" t="n"/>
      <c r="AS44" s="372" t="n"/>
      <c r="AT44" s="372" t="n"/>
      <c r="AU44" s="372" t="n"/>
      <c r="AV44" s="372" t="n"/>
      <c r="AW44" s="372" t="n"/>
      <c r="AX44" s="372" t="n"/>
      <c r="AY44" s="372" t="n"/>
      <c r="AZ44" s="372" t="n"/>
      <c r="BA44" s="372" t="n"/>
      <c r="BB44" s="372" t="n"/>
      <c r="BC44" s="372" t="n"/>
      <c r="BD44" s="372" t="n"/>
      <c r="BE44" s="372" t="n"/>
      <c r="BF44" s="372" t="n"/>
      <c r="BG44" s="372" t="n"/>
      <c r="BH44" s="372" t="n"/>
      <c r="BI44" s="372" t="n"/>
      <c r="BJ44" s="372" t="n"/>
      <c r="BK44" s="372" t="n"/>
      <c r="BL44" s="372" t="n"/>
      <c r="BM44" s="372" t="n"/>
      <c r="BN44" s="372" t="n"/>
      <c r="BO44" s="372" t="n"/>
      <c r="BP44" s="372" t="n"/>
      <c r="BQ44" s="372" t="n"/>
      <c r="BR44" s="372" t="n"/>
      <c r="BS44" s="372" t="n"/>
      <c r="BT44" s="372" t="n"/>
      <c r="BU44" s="372" t="n"/>
      <c r="BV44" s="372" t="n"/>
      <c r="BW44" s="372" t="n"/>
      <c r="BX44" s="372" t="n"/>
      <c r="BY44" s="372" t="n"/>
      <c r="BZ44" s="372" t="n"/>
      <c r="CA44" s="372" t="n"/>
      <c r="CB44" s="372" t="n"/>
      <c r="CC44" s="402" t="n"/>
      <c r="CF44" s="248" t="inlineStr">
        <is>
          <t>移動</t>
        </is>
      </c>
      <c r="CG44" s="377" t="n"/>
      <c r="CH44" s="377" t="n"/>
      <c r="CI44" s="378" t="n"/>
      <c r="CJ44" s="379">
        <f>IF(Q44="作業者1",E47-E44,0)</f>
        <v/>
      </c>
      <c r="CK44" s="377" t="n"/>
      <c r="CL44" s="377" t="n"/>
      <c r="CM44" s="377" t="n"/>
      <c r="CN44" s="378" t="n"/>
      <c r="CP44" s="248" t="inlineStr">
        <is>
          <t>移動</t>
        </is>
      </c>
      <c r="CQ44" s="377" t="n"/>
      <c r="CR44" s="377" t="n"/>
      <c r="CS44" s="378" t="n"/>
      <c r="CT44" s="379">
        <f>IF(Q44="作業者2",E47-E44,0)</f>
        <v/>
      </c>
      <c r="CU44" s="377" t="n"/>
      <c r="CV44" s="377" t="n"/>
      <c r="CW44" s="377" t="n"/>
      <c r="CX44" s="378" t="n"/>
      <c r="CZ44" s="259" t="inlineStr">
        <is>
          <t>移動</t>
        </is>
      </c>
      <c r="DA44" s="403" t="n"/>
      <c r="DB44" s="403" t="n"/>
      <c r="DC44" s="404" t="n"/>
      <c r="DD44" s="405">
        <f>IF(Q44="作業者3",E47-E44,0)</f>
        <v/>
      </c>
      <c r="DE44" s="406" t="n"/>
      <c r="DF44" s="406" t="n"/>
      <c r="DG44" s="406" t="n"/>
      <c r="DH44" s="407" t="n"/>
      <c r="DJ44" s="259" t="inlineStr">
        <is>
          <t>移動</t>
        </is>
      </c>
      <c r="DK44" s="403" t="n"/>
      <c r="DL44" s="403" t="n"/>
      <c r="DM44" s="404" t="n"/>
      <c r="DN44" s="379">
        <f>IF(Q44="作業者4",E47-E44,0)</f>
        <v/>
      </c>
      <c r="DO44" s="377" t="n"/>
      <c r="DP44" s="377" t="n"/>
      <c r="DQ44" s="377" t="n"/>
      <c r="DR44" s="378" t="n"/>
      <c r="DT44" s="259" t="inlineStr">
        <is>
          <t>移動</t>
        </is>
      </c>
      <c r="DU44" s="403" t="n"/>
      <c r="DV44" s="403" t="n"/>
      <c r="DW44" s="404" t="n"/>
      <c r="DX44" s="379">
        <f>IF(Q44="作業者5",E47-E44,0)</f>
        <v/>
      </c>
      <c r="DY44" s="377" t="n"/>
      <c r="DZ44" s="377" t="n"/>
      <c r="EA44" s="377" t="n"/>
      <c r="EB44" s="378" t="n"/>
    </row>
    <row r="45" ht="9" customHeight="1" s="337">
      <c r="B45" s="350" t="n"/>
      <c r="C45" s="338" t="n"/>
      <c r="D45" s="380" t="n"/>
      <c r="E45" s="381" t="n"/>
      <c r="F45" s="122" t="inlineStr">
        <is>
          <t>～</t>
        </is>
      </c>
      <c r="G45" s="22" t="n"/>
      <c r="H45" s="381" t="n"/>
      <c r="I45" s="122" t="inlineStr">
        <is>
          <t>～</t>
        </is>
      </c>
      <c r="J45" s="22" t="n"/>
      <c r="K45" s="381" t="n"/>
      <c r="L45" s="122" t="inlineStr">
        <is>
          <t>～</t>
        </is>
      </c>
      <c r="M45" s="22" t="n"/>
      <c r="N45" s="381" t="n"/>
      <c r="O45" s="122" t="inlineStr">
        <is>
          <t>～</t>
        </is>
      </c>
      <c r="P45" s="22" t="n"/>
      <c r="Q45" s="382" t="n"/>
      <c r="R45" s="338" t="n"/>
      <c r="S45" s="380" t="n"/>
      <c r="T45" s="382" t="n"/>
      <c r="U45" s="338" t="n"/>
      <c r="V45" s="380" t="n"/>
      <c r="W45" s="382" t="n"/>
      <c r="X45" s="338" t="n"/>
      <c r="Y45" s="338" t="n"/>
      <c r="Z45" s="338" t="n"/>
      <c r="AA45" s="338" t="n"/>
      <c r="AB45" s="338" t="n"/>
      <c r="AC45" s="338" t="n"/>
      <c r="AD45" s="338" t="n"/>
      <c r="AE45" s="338" t="n"/>
      <c r="AF45" s="338" t="n"/>
      <c r="AG45" s="338" t="n"/>
      <c r="AH45" s="338" t="n"/>
      <c r="AI45" s="338" t="n"/>
      <c r="AJ45" s="338" t="n"/>
      <c r="AK45" s="338" t="n"/>
      <c r="AL45" s="338" t="n"/>
      <c r="AM45" s="338" t="n"/>
      <c r="AN45" s="338" t="n"/>
      <c r="AO45" s="338" t="n"/>
      <c r="AP45" s="338" t="n"/>
      <c r="AQ45" s="338" t="n"/>
      <c r="AR45" s="338" t="n"/>
      <c r="AS45" s="338" t="n"/>
      <c r="AT45" s="338" t="n"/>
      <c r="AU45" s="338" t="n"/>
      <c r="AV45" s="338" t="n"/>
      <c r="AW45" s="338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8" t="n"/>
      <c r="BH45" s="338" t="n"/>
      <c r="BI45" s="338" t="n"/>
      <c r="BJ45" s="338" t="n"/>
      <c r="BK45" s="338" t="n"/>
      <c r="BL45" s="338" t="n"/>
      <c r="BM45" s="338" t="n"/>
      <c r="BN45" s="338" t="n"/>
      <c r="BO45" s="338" t="n"/>
      <c r="BP45" s="338" t="n"/>
      <c r="BQ45" s="338" t="n"/>
      <c r="BR45" s="338" t="n"/>
      <c r="BS45" s="338" t="n"/>
      <c r="BT45" s="338" t="n"/>
      <c r="BU45" s="338" t="n"/>
      <c r="BV45" s="338" t="n"/>
      <c r="BW45" s="338" t="n"/>
      <c r="BX45" s="338" t="n"/>
      <c r="BY45" s="338" t="n"/>
      <c r="BZ45" s="338" t="n"/>
      <c r="CA45" s="338" t="n"/>
      <c r="CB45" s="338" t="n"/>
      <c r="CC45" s="383" t="n"/>
      <c r="CF45" s="253" t="inlineStr">
        <is>
          <t>時間内</t>
        </is>
      </c>
      <c r="CG45" s="384" t="n"/>
      <c r="CH45" s="384" t="n"/>
      <c r="CI45" s="385" t="n"/>
      <c r="CJ45" s="386">
        <f>IF(Q44="作業者1",H47-H44,0)</f>
        <v/>
      </c>
      <c r="CK45" s="387" t="n"/>
      <c r="CL45" s="387" t="n"/>
      <c r="CM45" s="387" t="n"/>
      <c r="CN45" s="388" t="n"/>
      <c r="CP45" s="253" t="inlineStr">
        <is>
          <t>時間内</t>
        </is>
      </c>
      <c r="CQ45" s="384" t="n"/>
      <c r="CR45" s="384" t="n"/>
      <c r="CS45" s="385" t="n"/>
      <c r="CT45" s="386">
        <f>IF(Q44="作業者2",H47-H44,0)</f>
        <v/>
      </c>
      <c r="CU45" s="387" t="n"/>
      <c r="CV45" s="387" t="n"/>
      <c r="CW45" s="387" t="n"/>
      <c r="CX45" s="388" t="n"/>
      <c r="CZ45" s="253" t="inlineStr">
        <is>
          <t>時間内</t>
        </is>
      </c>
      <c r="DA45" s="384" t="n"/>
      <c r="DB45" s="384" t="n"/>
      <c r="DC45" s="385" t="n"/>
      <c r="DD45" s="386">
        <f>IF(Q44="作業者3",H47-H44,0)</f>
        <v/>
      </c>
      <c r="DE45" s="387" t="n"/>
      <c r="DF45" s="387" t="n"/>
      <c r="DG45" s="387" t="n"/>
      <c r="DH45" s="388" t="n"/>
      <c r="DJ45" s="253" t="inlineStr">
        <is>
          <t>時間内</t>
        </is>
      </c>
      <c r="DK45" s="384" t="n"/>
      <c r="DL45" s="384" t="n"/>
      <c r="DM45" s="385" t="n"/>
      <c r="DN45" s="386">
        <f>IF(Q44="作業者4",H47-H44,0)</f>
        <v/>
      </c>
      <c r="DO45" s="387" t="n"/>
      <c r="DP45" s="387" t="n"/>
      <c r="DQ45" s="387" t="n"/>
      <c r="DR45" s="388" t="n"/>
      <c r="DT45" s="253" t="inlineStr">
        <is>
          <t>時間内</t>
        </is>
      </c>
      <c r="DU45" s="384" t="n"/>
      <c r="DV45" s="384" t="n"/>
      <c r="DW45" s="385" t="n"/>
      <c r="DX45" s="386">
        <f>IF(Q44="作業者5",H47-H44,0)</f>
        <v/>
      </c>
      <c r="DY45" s="387" t="n"/>
      <c r="DZ45" s="387" t="n"/>
      <c r="EA45" s="387" t="n"/>
      <c r="EB45" s="388" t="n"/>
    </row>
    <row r="46" ht="9" customHeight="1" s="337">
      <c r="B46" s="350" t="n"/>
      <c r="C46" s="338" t="n"/>
      <c r="D46" s="380" t="n"/>
      <c r="E46" s="23" t="n"/>
      <c r="F46" s="338" t="n"/>
      <c r="G46" s="24" t="n"/>
      <c r="H46" s="23" t="n"/>
      <c r="I46" s="338" t="n"/>
      <c r="J46" s="24" t="n"/>
      <c r="K46" s="23" t="n"/>
      <c r="L46" s="338" t="n"/>
      <c r="M46" s="24" t="n"/>
      <c r="N46" s="23" t="n"/>
      <c r="O46" s="338" t="n"/>
      <c r="P46" s="24" t="n"/>
      <c r="Q46" s="382" t="n"/>
      <c r="R46" s="338" t="n"/>
      <c r="S46" s="380" t="n"/>
      <c r="T46" s="382" t="n"/>
      <c r="U46" s="338" t="n"/>
      <c r="V46" s="380" t="n"/>
      <c r="W46" s="382" t="n"/>
      <c r="X46" s="338" t="n"/>
      <c r="Y46" s="338" t="n"/>
      <c r="Z46" s="338" t="n"/>
      <c r="AA46" s="338" t="n"/>
      <c r="AB46" s="338" t="n"/>
      <c r="AC46" s="338" t="n"/>
      <c r="AD46" s="338" t="n"/>
      <c r="AE46" s="338" t="n"/>
      <c r="AF46" s="338" t="n"/>
      <c r="AG46" s="338" t="n"/>
      <c r="AH46" s="338" t="n"/>
      <c r="AI46" s="338" t="n"/>
      <c r="AJ46" s="338" t="n"/>
      <c r="AK46" s="338" t="n"/>
      <c r="AL46" s="338" t="n"/>
      <c r="AM46" s="338" t="n"/>
      <c r="AN46" s="338" t="n"/>
      <c r="AO46" s="338" t="n"/>
      <c r="AP46" s="338" t="n"/>
      <c r="AQ46" s="338" t="n"/>
      <c r="AR46" s="338" t="n"/>
      <c r="AS46" s="338" t="n"/>
      <c r="AT46" s="338" t="n"/>
      <c r="AU46" s="338" t="n"/>
      <c r="AV46" s="338" t="n"/>
      <c r="AW46" s="338" t="n"/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8" t="n"/>
      <c r="BH46" s="338" t="n"/>
      <c r="BI46" s="338" t="n"/>
      <c r="BJ46" s="338" t="n"/>
      <c r="BK46" s="338" t="n"/>
      <c r="BL46" s="338" t="n"/>
      <c r="BM46" s="338" t="n"/>
      <c r="BN46" s="338" t="n"/>
      <c r="BO46" s="338" t="n"/>
      <c r="BP46" s="338" t="n"/>
      <c r="BQ46" s="338" t="n"/>
      <c r="BR46" s="338" t="n"/>
      <c r="BS46" s="338" t="n"/>
      <c r="BT46" s="338" t="n"/>
      <c r="BU46" s="338" t="n"/>
      <c r="BV46" s="338" t="n"/>
      <c r="BW46" s="338" t="n"/>
      <c r="BX46" s="338" t="n"/>
      <c r="BY46" s="338" t="n"/>
      <c r="BZ46" s="338" t="n"/>
      <c r="CA46" s="338" t="n"/>
      <c r="CB46" s="338" t="n"/>
      <c r="CC46" s="383" t="n"/>
      <c r="CF46" s="253" t="inlineStr">
        <is>
          <t>時間外</t>
        </is>
      </c>
      <c r="CG46" s="384" t="n"/>
      <c r="CH46" s="384" t="n"/>
      <c r="CI46" s="385" t="n"/>
      <c r="CJ46" s="386">
        <f>IF(Q44="作業者1",K47-K44,0)</f>
        <v/>
      </c>
      <c r="CK46" s="387" t="n"/>
      <c r="CL46" s="387" t="n"/>
      <c r="CM46" s="387" t="n"/>
      <c r="CN46" s="388" t="n"/>
      <c r="CP46" s="253" t="inlineStr">
        <is>
          <t>時間外</t>
        </is>
      </c>
      <c r="CQ46" s="384" t="n"/>
      <c r="CR46" s="384" t="n"/>
      <c r="CS46" s="385" t="n"/>
      <c r="CT46" s="386">
        <f>IF(Q44="作業者2",K47-K44,0)</f>
        <v/>
      </c>
      <c r="CU46" s="387" t="n"/>
      <c r="CV46" s="387" t="n"/>
      <c r="CW46" s="387" t="n"/>
      <c r="CX46" s="388" t="n"/>
      <c r="CZ46" s="253" t="inlineStr">
        <is>
          <t>時間外</t>
        </is>
      </c>
      <c r="DA46" s="384" t="n"/>
      <c r="DB46" s="384" t="n"/>
      <c r="DC46" s="385" t="n"/>
      <c r="DD46" s="386">
        <f>IF(Q44="作業者3",K47-K44,0)</f>
        <v/>
      </c>
      <c r="DE46" s="387" t="n"/>
      <c r="DF46" s="387" t="n"/>
      <c r="DG46" s="387" t="n"/>
      <c r="DH46" s="388" t="n"/>
      <c r="DJ46" s="253" t="inlineStr">
        <is>
          <t>時間外</t>
        </is>
      </c>
      <c r="DK46" s="384" t="n"/>
      <c r="DL46" s="384" t="n"/>
      <c r="DM46" s="385" t="n"/>
      <c r="DN46" s="386">
        <f>IF(Q44="作業者4",K47-K44,0)</f>
        <v/>
      </c>
      <c r="DO46" s="387" t="n"/>
      <c r="DP46" s="387" t="n"/>
      <c r="DQ46" s="387" t="n"/>
      <c r="DR46" s="388" t="n"/>
      <c r="DT46" s="253" t="inlineStr">
        <is>
          <t>時間外</t>
        </is>
      </c>
      <c r="DU46" s="384" t="n"/>
      <c r="DV46" s="384" t="n"/>
      <c r="DW46" s="385" t="n"/>
      <c r="DX46" s="386">
        <f>IF(Q44="作業者5",K47-K44,0)</f>
        <v/>
      </c>
      <c r="DY46" s="387" t="n"/>
      <c r="DZ46" s="387" t="n"/>
      <c r="EA46" s="387" t="n"/>
      <c r="EB46" s="388" t="n"/>
    </row>
    <row r="47" ht="9" customHeight="1" s="337">
      <c r="B47" s="389" t="n"/>
      <c r="C47" s="390" t="n"/>
      <c r="D47" s="391" t="n"/>
      <c r="E47" s="392" t="n"/>
      <c r="F47" s="390" t="n"/>
      <c r="G47" s="391" t="n"/>
      <c r="H47" s="392" t="n"/>
      <c r="I47" s="390" t="n"/>
      <c r="J47" s="391" t="n"/>
      <c r="K47" s="392" t="n"/>
      <c r="L47" s="390" t="n"/>
      <c r="M47" s="391" t="n"/>
      <c r="N47" s="392" t="n"/>
      <c r="O47" s="390" t="n"/>
      <c r="P47" s="391" t="n"/>
      <c r="Q47" s="393" t="n"/>
      <c r="R47" s="390" t="n"/>
      <c r="S47" s="391" t="n"/>
      <c r="T47" s="393" t="n"/>
      <c r="U47" s="390" t="n"/>
      <c r="V47" s="391" t="n"/>
      <c r="W47" s="393" t="n"/>
      <c r="X47" s="390" t="n"/>
      <c r="Y47" s="390" t="n"/>
      <c r="Z47" s="390" t="n"/>
      <c r="AA47" s="390" t="n"/>
      <c r="AB47" s="390" t="n"/>
      <c r="AC47" s="390" t="n"/>
      <c r="AD47" s="390" t="n"/>
      <c r="AE47" s="390" t="n"/>
      <c r="AF47" s="390" t="n"/>
      <c r="AG47" s="390" t="n"/>
      <c r="AH47" s="390" t="n"/>
      <c r="AI47" s="390" t="n"/>
      <c r="AJ47" s="390" t="n"/>
      <c r="AK47" s="390" t="n"/>
      <c r="AL47" s="390" t="n"/>
      <c r="AM47" s="390" t="n"/>
      <c r="AN47" s="390" t="n"/>
      <c r="AO47" s="390" t="n"/>
      <c r="AP47" s="390" t="n"/>
      <c r="AQ47" s="390" t="n"/>
      <c r="AR47" s="390" t="n"/>
      <c r="AS47" s="390" t="n"/>
      <c r="AT47" s="390" t="n"/>
      <c r="AU47" s="390" t="n"/>
      <c r="AV47" s="390" t="n"/>
      <c r="AW47" s="390" t="n"/>
      <c r="AX47" s="390" t="n"/>
      <c r="AY47" s="390" t="n"/>
      <c r="AZ47" s="390" t="n"/>
      <c r="BA47" s="390" t="n"/>
      <c r="BB47" s="390" t="n"/>
      <c r="BC47" s="390" t="n"/>
      <c r="BD47" s="390" t="n"/>
      <c r="BE47" s="390" t="n"/>
      <c r="BF47" s="390" t="n"/>
      <c r="BG47" s="390" t="n"/>
      <c r="BH47" s="390" t="n"/>
      <c r="BI47" s="390" t="n"/>
      <c r="BJ47" s="390" t="n"/>
      <c r="BK47" s="390" t="n"/>
      <c r="BL47" s="390" t="n"/>
      <c r="BM47" s="390" t="n"/>
      <c r="BN47" s="390" t="n"/>
      <c r="BO47" s="390" t="n"/>
      <c r="BP47" s="390" t="n"/>
      <c r="BQ47" s="390" t="n"/>
      <c r="BR47" s="390" t="n"/>
      <c r="BS47" s="390" t="n"/>
      <c r="BT47" s="390" t="n"/>
      <c r="BU47" s="390" t="n"/>
      <c r="BV47" s="390" t="n"/>
      <c r="BW47" s="390" t="n"/>
      <c r="BX47" s="390" t="n"/>
      <c r="BY47" s="390" t="n"/>
      <c r="BZ47" s="390" t="n"/>
      <c r="CA47" s="390" t="n"/>
      <c r="CB47" s="390" t="n"/>
      <c r="CC47" s="394" t="n"/>
      <c r="CF47" s="254" t="inlineStr">
        <is>
          <t>休日</t>
        </is>
      </c>
      <c r="CG47" s="395" t="n"/>
      <c r="CH47" s="395" t="n"/>
      <c r="CI47" s="396" t="n"/>
      <c r="CJ47" s="397">
        <f>IF(Q44="作業者1",N47-N44,0)</f>
        <v/>
      </c>
      <c r="CK47" s="395" t="n"/>
      <c r="CL47" s="395" t="n"/>
      <c r="CM47" s="395" t="n"/>
      <c r="CN47" s="396" t="n"/>
      <c r="CP47" s="254" t="inlineStr">
        <is>
          <t>休日</t>
        </is>
      </c>
      <c r="CQ47" s="395" t="n"/>
      <c r="CR47" s="395" t="n"/>
      <c r="CS47" s="396" t="n"/>
      <c r="CT47" s="397">
        <f>IF(Q44="作業者2",N47-N44,0)</f>
        <v/>
      </c>
      <c r="CU47" s="395" t="n"/>
      <c r="CV47" s="395" t="n"/>
      <c r="CW47" s="395" t="n"/>
      <c r="CX47" s="396" t="n"/>
      <c r="CZ47" s="254" t="inlineStr">
        <is>
          <t>休日</t>
        </is>
      </c>
      <c r="DA47" s="395" t="n"/>
      <c r="DB47" s="395" t="n"/>
      <c r="DC47" s="396" t="n"/>
      <c r="DD47" s="397">
        <f>IF(Q44="作業者3",N47-N44,0)</f>
        <v/>
      </c>
      <c r="DE47" s="395" t="n"/>
      <c r="DF47" s="395" t="n"/>
      <c r="DG47" s="395" t="n"/>
      <c r="DH47" s="396" t="n"/>
      <c r="DJ47" s="254" t="inlineStr">
        <is>
          <t>休日</t>
        </is>
      </c>
      <c r="DK47" s="395" t="n"/>
      <c r="DL47" s="395" t="n"/>
      <c r="DM47" s="396" t="n"/>
      <c r="DN47" s="397">
        <f>IF(Q44="作業者4",N47-N44,0)</f>
        <v/>
      </c>
      <c r="DO47" s="395" t="n"/>
      <c r="DP47" s="395" t="n"/>
      <c r="DQ47" s="395" t="n"/>
      <c r="DR47" s="396" t="n"/>
      <c r="DT47" s="254" t="inlineStr">
        <is>
          <t>休日</t>
        </is>
      </c>
      <c r="DU47" s="395" t="n"/>
      <c r="DV47" s="395" t="n"/>
      <c r="DW47" s="396" t="n"/>
      <c r="DX47" s="397">
        <f>IF(Q44="作業者5",N47-N44,0)</f>
        <v/>
      </c>
      <c r="DY47" s="395" t="n"/>
      <c r="DZ47" s="395" t="n"/>
      <c r="EA47" s="395" t="n"/>
      <c r="EB47" s="396" t="n"/>
    </row>
    <row r="48" ht="9" customHeight="1" s="337">
      <c r="B48" s="398" t="n"/>
      <c r="C48" s="372" t="n"/>
      <c r="D48" s="373" t="n"/>
      <c r="E48" s="399" t="n"/>
      <c r="F48" s="372" t="n"/>
      <c r="G48" s="373" t="n"/>
      <c r="H48" s="399" t="n"/>
      <c r="I48" s="372" t="n"/>
      <c r="J48" s="373" t="n"/>
      <c r="K48" s="399" t="n"/>
      <c r="L48" s="372" t="n"/>
      <c r="M48" s="373" t="n"/>
      <c r="N48" s="399" t="n"/>
      <c r="O48" s="372" t="n"/>
      <c r="P48" s="373" t="n"/>
      <c r="Q48" s="371" t="n"/>
      <c r="R48" s="372" t="n"/>
      <c r="S48" s="373" t="n"/>
      <c r="T48" s="371" t="n"/>
      <c r="U48" s="372" t="n"/>
      <c r="V48" s="373" t="n"/>
      <c r="W48" s="443" t="n"/>
      <c r="X48" s="372" t="n"/>
      <c r="Y48" s="372" t="n"/>
      <c r="Z48" s="372" t="n"/>
      <c r="AA48" s="372" t="n"/>
      <c r="AB48" s="372" t="n"/>
      <c r="AC48" s="372" t="n"/>
      <c r="AD48" s="372" t="n"/>
      <c r="AE48" s="372" t="n"/>
      <c r="AF48" s="372" t="n"/>
      <c r="AG48" s="372" t="n"/>
      <c r="AH48" s="372" t="n"/>
      <c r="AI48" s="372" t="n"/>
      <c r="AJ48" s="372" t="n"/>
      <c r="AK48" s="372" t="n"/>
      <c r="AL48" s="372" t="n"/>
      <c r="AM48" s="372" t="n"/>
      <c r="AN48" s="372" t="n"/>
      <c r="AO48" s="372" t="n"/>
      <c r="AP48" s="372" t="n"/>
      <c r="AQ48" s="372" t="n"/>
      <c r="AR48" s="372" t="n"/>
      <c r="AS48" s="372" t="n"/>
      <c r="AT48" s="372" t="n"/>
      <c r="AU48" s="372" t="n"/>
      <c r="AV48" s="372" t="n"/>
      <c r="AW48" s="372" t="n"/>
      <c r="AX48" s="372" t="n"/>
      <c r="AY48" s="372" t="n"/>
      <c r="AZ48" s="372" t="n"/>
      <c r="BA48" s="372" t="n"/>
      <c r="BB48" s="372" t="n"/>
      <c r="BC48" s="372" t="n"/>
      <c r="BD48" s="372" t="n"/>
      <c r="BE48" s="372" t="n"/>
      <c r="BF48" s="372" t="n"/>
      <c r="BG48" s="372" t="n"/>
      <c r="BH48" s="372" t="n"/>
      <c r="BI48" s="372" t="n"/>
      <c r="BJ48" s="372" t="n"/>
      <c r="BK48" s="372" t="n"/>
      <c r="BL48" s="372" t="n"/>
      <c r="BM48" s="372" t="n"/>
      <c r="BN48" s="372" t="n"/>
      <c r="BO48" s="372" t="n"/>
      <c r="BP48" s="372" t="n"/>
      <c r="BQ48" s="372" t="n"/>
      <c r="BR48" s="372" t="n"/>
      <c r="BS48" s="372" t="n"/>
      <c r="BT48" s="372" t="n"/>
      <c r="BU48" s="372" t="n"/>
      <c r="BV48" s="372" t="n"/>
      <c r="BW48" s="372" t="n"/>
      <c r="BX48" s="372" t="n"/>
      <c r="BY48" s="372" t="n"/>
      <c r="BZ48" s="372" t="n"/>
      <c r="CA48" s="372" t="n"/>
      <c r="CB48" s="372" t="n"/>
      <c r="CC48" s="402" t="n"/>
      <c r="CF48" s="248" t="inlineStr">
        <is>
          <t>移動</t>
        </is>
      </c>
      <c r="CG48" s="377" t="n"/>
      <c r="CH48" s="377" t="n"/>
      <c r="CI48" s="378" t="n"/>
      <c r="CJ48" s="379">
        <f>IF(Q48="作業者1",E51-E48,0)</f>
        <v/>
      </c>
      <c r="CK48" s="377" t="n"/>
      <c r="CL48" s="377" t="n"/>
      <c r="CM48" s="377" t="n"/>
      <c r="CN48" s="378" t="n"/>
      <c r="CP48" s="248" t="inlineStr">
        <is>
          <t>移動</t>
        </is>
      </c>
      <c r="CQ48" s="377" t="n"/>
      <c r="CR48" s="377" t="n"/>
      <c r="CS48" s="378" t="n"/>
      <c r="CT48" s="379">
        <f>IF(Q48="作業者2",E51-E48,0)</f>
        <v/>
      </c>
      <c r="CU48" s="377" t="n"/>
      <c r="CV48" s="377" t="n"/>
      <c r="CW48" s="377" t="n"/>
      <c r="CX48" s="378" t="n"/>
      <c r="CZ48" s="259" t="inlineStr">
        <is>
          <t>移動</t>
        </is>
      </c>
      <c r="DA48" s="403" t="n"/>
      <c r="DB48" s="403" t="n"/>
      <c r="DC48" s="404" t="n"/>
      <c r="DD48" s="405">
        <f>IF(Q48="作業者3",E51-E48,0)</f>
        <v/>
      </c>
      <c r="DE48" s="406" t="n"/>
      <c r="DF48" s="406" t="n"/>
      <c r="DG48" s="406" t="n"/>
      <c r="DH48" s="407" t="n"/>
      <c r="DJ48" s="259" t="inlineStr">
        <is>
          <t>移動</t>
        </is>
      </c>
      <c r="DK48" s="403" t="n"/>
      <c r="DL48" s="403" t="n"/>
      <c r="DM48" s="404" t="n"/>
      <c r="DN48" s="379">
        <f>IF(Q48="作業者4",E51-E48,0)</f>
        <v/>
      </c>
      <c r="DO48" s="377" t="n"/>
      <c r="DP48" s="377" t="n"/>
      <c r="DQ48" s="377" t="n"/>
      <c r="DR48" s="378" t="n"/>
      <c r="DT48" s="259" t="inlineStr">
        <is>
          <t>移動</t>
        </is>
      </c>
      <c r="DU48" s="403" t="n"/>
      <c r="DV48" s="403" t="n"/>
      <c r="DW48" s="404" t="n"/>
      <c r="DX48" s="379">
        <f>IF(Q48="作業者5",E51-E48,0)</f>
        <v/>
      </c>
      <c r="DY48" s="377" t="n"/>
      <c r="DZ48" s="377" t="n"/>
      <c r="EA48" s="377" t="n"/>
      <c r="EB48" s="378" t="n"/>
    </row>
    <row r="49" ht="9" customHeight="1" s="337">
      <c r="B49" s="350" t="n"/>
      <c r="C49" s="338" t="n"/>
      <c r="D49" s="380" t="n"/>
      <c r="E49" s="381" t="n"/>
      <c r="F49" s="122" t="inlineStr">
        <is>
          <t>～</t>
        </is>
      </c>
      <c r="G49" s="22" t="n"/>
      <c r="H49" s="381" t="n"/>
      <c r="I49" s="122" t="inlineStr">
        <is>
          <t>～</t>
        </is>
      </c>
      <c r="J49" s="22" t="n"/>
      <c r="K49" s="381" t="n"/>
      <c r="L49" s="122" t="inlineStr">
        <is>
          <t>～</t>
        </is>
      </c>
      <c r="M49" s="22" t="n"/>
      <c r="N49" s="381" t="n"/>
      <c r="O49" s="122" t="inlineStr">
        <is>
          <t>～</t>
        </is>
      </c>
      <c r="P49" s="22" t="n"/>
      <c r="Q49" s="382" t="n"/>
      <c r="R49" s="338" t="n"/>
      <c r="S49" s="380" t="n"/>
      <c r="T49" s="382" t="n"/>
      <c r="U49" s="338" t="n"/>
      <c r="V49" s="380" t="n"/>
      <c r="W49" s="382" t="n"/>
      <c r="X49" s="338" t="n"/>
      <c r="Y49" s="338" t="n"/>
      <c r="Z49" s="338" t="n"/>
      <c r="AA49" s="338" t="n"/>
      <c r="AB49" s="338" t="n"/>
      <c r="AC49" s="338" t="n"/>
      <c r="AD49" s="338" t="n"/>
      <c r="AE49" s="338" t="n"/>
      <c r="AF49" s="338" t="n"/>
      <c r="AG49" s="338" t="n"/>
      <c r="AH49" s="338" t="n"/>
      <c r="AI49" s="338" t="n"/>
      <c r="AJ49" s="338" t="n"/>
      <c r="AK49" s="338" t="n"/>
      <c r="AL49" s="338" t="n"/>
      <c r="AM49" s="338" t="n"/>
      <c r="AN49" s="338" t="n"/>
      <c r="AO49" s="338" t="n"/>
      <c r="AP49" s="338" t="n"/>
      <c r="AQ49" s="338" t="n"/>
      <c r="AR49" s="338" t="n"/>
      <c r="AS49" s="338" t="n"/>
      <c r="AT49" s="338" t="n"/>
      <c r="AU49" s="338" t="n"/>
      <c r="AV49" s="338" t="n"/>
      <c r="AW49" s="338" t="n"/>
      <c r="AX49" s="338" t="n"/>
      <c r="AY49" s="338" t="n"/>
      <c r="AZ49" s="338" t="n"/>
      <c r="BA49" s="338" t="n"/>
      <c r="BB49" s="338" t="n"/>
      <c r="BC49" s="338" t="n"/>
      <c r="BD49" s="338" t="n"/>
      <c r="BE49" s="338" t="n"/>
      <c r="BF49" s="338" t="n"/>
      <c r="BG49" s="338" t="n"/>
      <c r="BH49" s="338" t="n"/>
      <c r="BI49" s="338" t="n"/>
      <c r="BJ49" s="338" t="n"/>
      <c r="BK49" s="338" t="n"/>
      <c r="BL49" s="338" t="n"/>
      <c r="BM49" s="338" t="n"/>
      <c r="BN49" s="338" t="n"/>
      <c r="BO49" s="338" t="n"/>
      <c r="BP49" s="338" t="n"/>
      <c r="BQ49" s="338" t="n"/>
      <c r="BR49" s="338" t="n"/>
      <c r="BS49" s="338" t="n"/>
      <c r="BT49" s="338" t="n"/>
      <c r="BU49" s="338" t="n"/>
      <c r="BV49" s="338" t="n"/>
      <c r="BW49" s="338" t="n"/>
      <c r="BX49" s="338" t="n"/>
      <c r="BY49" s="338" t="n"/>
      <c r="BZ49" s="338" t="n"/>
      <c r="CA49" s="338" t="n"/>
      <c r="CB49" s="338" t="n"/>
      <c r="CC49" s="383" t="n"/>
      <c r="CF49" s="253" t="inlineStr">
        <is>
          <t>時間内</t>
        </is>
      </c>
      <c r="CG49" s="384" t="n"/>
      <c r="CH49" s="384" t="n"/>
      <c r="CI49" s="385" t="n"/>
      <c r="CJ49" s="386">
        <f>IF(Q48="作業者1",H51-H48,0)</f>
        <v/>
      </c>
      <c r="CK49" s="387" t="n"/>
      <c r="CL49" s="387" t="n"/>
      <c r="CM49" s="387" t="n"/>
      <c r="CN49" s="388" t="n"/>
      <c r="CP49" s="253" t="inlineStr">
        <is>
          <t>時間内</t>
        </is>
      </c>
      <c r="CQ49" s="384" t="n"/>
      <c r="CR49" s="384" t="n"/>
      <c r="CS49" s="385" t="n"/>
      <c r="CT49" s="386">
        <f>IF(Q48="作業者2",H51-H48,0)</f>
        <v/>
      </c>
      <c r="CU49" s="387" t="n"/>
      <c r="CV49" s="387" t="n"/>
      <c r="CW49" s="387" t="n"/>
      <c r="CX49" s="388" t="n"/>
      <c r="CZ49" s="253" t="inlineStr">
        <is>
          <t>時間内</t>
        </is>
      </c>
      <c r="DA49" s="384" t="n"/>
      <c r="DB49" s="384" t="n"/>
      <c r="DC49" s="385" t="n"/>
      <c r="DD49" s="386">
        <f>IF(Q48="作業者3",H51-H48,0)</f>
        <v/>
      </c>
      <c r="DE49" s="387" t="n"/>
      <c r="DF49" s="387" t="n"/>
      <c r="DG49" s="387" t="n"/>
      <c r="DH49" s="388" t="n"/>
      <c r="DJ49" s="253" t="inlineStr">
        <is>
          <t>時間内</t>
        </is>
      </c>
      <c r="DK49" s="384" t="n"/>
      <c r="DL49" s="384" t="n"/>
      <c r="DM49" s="385" t="n"/>
      <c r="DN49" s="386">
        <f>IF(Q48="作業者4",H51-H48,0)</f>
        <v/>
      </c>
      <c r="DO49" s="387" t="n"/>
      <c r="DP49" s="387" t="n"/>
      <c r="DQ49" s="387" t="n"/>
      <c r="DR49" s="388" t="n"/>
      <c r="DT49" s="253" t="inlineStr">
        <is>
          <t>時間内</t>
        </is>
      </c>
      <c r="DU49" s="384" t="n"/>
      <c r="DV49" s="384" t="n"/>
      <c r="DW49" s="385" t="n"/>
      <c r="DX49" s="386">
        <f>IF(Q48="作業者5",H51-H48,0)</f>
        <v/>
      </c>
      <c r="DY49" s="387" t="n"/>
      <c r="DZ49" s="387" t="n"/>
      <c r="EA49" s="387" t="n"/>
      <c r="EB49" s="388" t="n"/>
    </row>
    <row r="50" ht="9" customHeight="1" s="337">
      <c r="B50" s="350" t="n"/>
      <c r="C50" s="338" t="n"/>
      <c r="D50" s="380" t="n"/>
      <c r="E50" s="23" t="n"/>
      <c r="F50" s="338" t="n"/>
      <c r="G50" s="24" t="n"/>
      <c r="H50" s="23" t="n"/>
      <c r="I50" s="338" t="n"/>
      <c r="J50" s="24" t="n"/>
      <c r="K50" s="23" t="n"/>
      <c r="L50" s="338" t="n"/>
      <c r="M50" s="24" t="n"/>
      <c r="N50" s="23" t="n"/>
      <c r="O50" s="338" t="n"/>
      <c r="P50" s="24" t="n"/>
      <c r="Q50" s="382" t="n"/>
      <c r="R50" s="338" t="n"/>
      <c r="S50" s="380" t="n"/>
      <c r="T50" s="382" t="n"/>
      <c r="U50" s="338" t="n"/>
      <c r="V50" s="380" t="n"/>
      <c r="W50" s="382" t="n"/>
      <c r="X50" s="338" t="n"/>
      <c r="Y50" s="338" t="n"/>
      <c r="Z50" s="338" t="n"/>
      <c r="AA50" s="338" t="n"/>
      <c r="AB50" s="338" t="n"/>
      <c r="AC50" s="338" t="n"/>
      <c r="AD50" s="338" t="n"/>
      <c r="AE50" s="338" t="n"/>
      <c r="AF50" s="338" t="n"/>
      <c r="AG50" s="338" t="n"/>
      <c r="AH50" s="338" t="n"/>
      <c r="AI50" s="338" t="n"/>
      <c r="AJ50" s="338" t="n"/>
      <c r="AK50" s="338" t="n"/>
      <c r="AL50" s="338" t="n"/>
      <c r="AM50" s="338" t="n"/>
      <c r="AN50" s="338" t="n"/>
      <c r="AO50" s="338" t="n"/>
      <c r="AP50" s="338" t="n"/>
      <c r="AQ50" s="338" t="n"/>
      <c r="AR50" s="338" t="n"/>
      <c r="AS50" s="338" t="n"/>
      <c r="AT50" s="338" t="n"/>
      <c r="AU50" s="338" t="n"/>
      <c r="AV50" s="338" t="n"/>
      <c r="AW50" s="338" t="n"/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8" t="n"/>
      <c r="BH50" s="338" t="n"/>
      <c r="BI50" s="338" t="n"/>
      <c r="BJ50" s="338" t="n"/>
      <c r="BK50" s="338" t="n"/>
      <c r="BL50" s="338" t="n"/>
      <c r="BM50" s="338" t="n"/>
      <c r="BN50" s="338" t="n"/>
      <c r="BO50" s="338" t="n"/>
      <c r="BP50" s="338" t="n"/>
      <c r="BQ50" s="338" t="n"/>
      <c r="BR50" s="338" t="n"/>
      <c r="BS50" s="338" t="n"/>
      <c r="BT50" s="338" t="n"/>
      <c r="BU50" s="338" t="n"/>
      <c r="BV50" s="338" t="n"/>
      <c r="BW50" s="338" t="n"/>
      <c r="BX50" s="338" t="n"/>
      <c r="BY50" s="338" t="n"/>
      <c r="BZ50" s="338" t="n"/>
      <c r="CA50" s="338" t="n"/>
      <c r="CB50" s="338" t="n"/>
      <c r="CC50" s="383" t="n"/>
      <c r="CF50" s="253" t="inlineStr">
        <is>
          <t>時間外</t>
        </is>
      </c>
      <c r="CG50" s="384" t="n"/>
      <c r="CH50" s="384" t="n"/>
      <c r="CI50" s="385" t="n"/>
      <c r="CJ50" s="386">
        <f>IF(Q48="作業者1",K51-K48,0)</f>
        <v/>
      </c>
      <c r="CK50" s="387" t="n"/>
      <c r="CL50" s="387" t="n"/>
      <c r="CM50" s="387" t="n"/>
      <c r="CN50" s="388" t="n"/>
      <c r="CP50" s="253" t="inlineStr">
        <is>
          <t>時間外</t>
        </is>
      </c>
      <c r="CQ50" s="384" t="n"/>
      <c r="CR50" s="384" t="n"/>
      <c r="CS50" s="385" t="n"/>
      <c r="CT50" s="386">
        <f>IF(Q48="作業者2",K51-K48,0)</f>
        <v/>
      </c>
      <c r="CU50" s="387" t="n"/>
      <c r="CV50" s="387" t="n"/>
      <c r="CW50" s="387" t="n"/>
      <c r="CX50" s="388" t="n"/>
      <c r="CZ50" s="253" t="inlineStr">
        <is>
          <t>時間外</t>
        </is>
      </c>
      <c r="DA50" s="384" t="n"/>
      <c r="DB50" s="384" t="n"/>
      <c r="DC50" s="385" t="n"/>
      <c r="DD50" s="386">
        <f>IF(Q48="作業者3",K51-K48,0)</f>
        <v/>
      </c>
      <c r="DE50" s="387" t="n"/>
      <c r="DF50" s="387" t="n"/>
      <c r="DG50" s="387" t="n"/>
      <c r="DH50" s="388" t="n"/>
      <c r="DJ50" s="253" t="inlineStr">
        <is>
          <t>時間外</t>
        </is>
      </c>
      <c r="DK50" s="384" t="n"/>
      <c r="DL50" s="384" t="n"/>
      <c r="DM50" s="385" t="n"/>
      <c r="DN50" s="386">
        <f>IF(Q48="作業者4",K51-K48,0)</f>
        <v/>
      </c>
      <c r="DO50" s="387" t="n"/>
      <c r="DP50" s="387" t="n"/>
      <c r="DQ50" s="387" t="n"/>
      <c r="DR50" s="388" t="n"/>
      <c r="DT50" s="253" t="inlineStr">
        <is>
          <t>時間外</t>
        </is>
      </c>
      <c r="DU50" s="384" t="n"/>
      <c r="DV50" s="384" t="n"/>
      <c r="DW50" s="385" t="n"/>
      <c r="DX50" s="386">
        <f>IF(Q48="作業者5",K51-K48,0)</f>
        <v/>
      </c>
      <c r="DY50" s="387" t="n"/>
      <c r="DZ50" s="387" t="n"/>
      <c r="EA50" s="387" t="n"/>
      <c r="EB50" s="388" t="n"/>
    </row>
    <row r="51" ht="9" customHeight="1" s="337">
      <c r="B51" s="389" t="n"/>
      <c r="C51" s="390" t="n"/>
      <c r="D51" s="391" t="n"/>
      <c r="E51" s="392" t="n"/>
      <c r="F51" s="390" t="n"/>
      <c r="G51" s="391" t="n"/>
      <c r="H51" s="392" t="n"/>
      <c r="I51" s="390" t="n"/>
      <c r="J51" s="391" t="n"/>
      <c r="K51" s="392" t="n"/>
      <c r="L51" s="390" t="n"/>
      <c r="M51" s="391" t="n"/>
      <c r="N51" s="392" t="n"/>
      <c r="O51" s="390" t="n"/>
      <c r="P51" s="391" t="n"/>
      <c r="Q51" s="393" t="n"/>
      <c r="R51" s="390" t="n"/>
      <c r="S51" s="391" t="n"/>
      <c r="T51" s="393" t="n"/>
      <c r="U51" s="390" t="n"/>
      <c r="V51" s="391" t="n"/>
      <c r="W51" s="393" t="n"/>
      <c r="X51" s="390" t="n"/>
      <c r="Y51" s="390" t="n"/>
      <c r="Z51" s="390" t="n"/>
      <c r="AA51" s="390" t="n"/>
      <c r="AB51" s="390" t="n"/>
      <c r="AC51" s="390" t="n"/>
      <c r="AD51" s="390" t="n"/>
      <c r="AE51" s="390" t="n"/>
      <c r="AF51" s="390" t="n"/>
      <c r="AG51" s="390" t="n"/>
      <c r="AH51" s="390" t="n"/>
      <c r="AI51" s="390" t="n"/>
      <c r="AJ51" s="390" t="n"/>
      <c r="AK51" s="390" t="n"/>
      <c r="AL51" s="390" t="n"/>
      <c r="AM51" s="390" t="n"/>
      <c r="AN51" s="390" t="n"/>
      <c r="AO51" s="390" t="n"/>
      <c r="AP51" s="390" t="n"/>
      <c r="AQ51" s="390" t="n"/>
      <c r="AR51" s="390" t="n"/>
      <c r="AS51" s="390" t="n"/>
      <c r="AT51" s="390" t="n"/>
      <c r="AU51" s="390" t="n"/>
      <c r="AV51" s="390" t="n"/>
      <c r="AW51" s="390" t="n"/>
      <c r="AX51" s="390" t="n"/>
      <c r="AY51" s="390" t="n"/>
      <c r="AZ51" s="390" t="n"/>
      <c r="BA51" s="390" t="n"/>
      <c r="BB51" s="390" t="n"/>
      <c r="BC51" s="390" t="n"/>
      <c r="BD51" s="390" t="n"/>
      <c r="BE51" s="390" t="n"/>
      <c r="BF51" s="390" t="n"/>
      <c r="BG51" s="390" t="n"/>
      <c r="BH51" s="390" t="n"/>
      <c r="BI51" s="390" t="n"/>
      <c r="BJ51" s="390" t="n"/>
      <c r="BK51" s="390" t="n"/>
      <c r="BL51" s="390" t="n"/>
      <c r="BM51" s="390" t="n"/>
      <c r="BN51" s="390" t="n"/>
      <c r="BO51" s="390" t="n"/>
      <c r="BP51" s="390" t="n"/>
      <c r="BQ51" s="390" t="n"/>
      <c r="BR51" s="390" t="n"/>
      <c r="BS51" s="390" t="n"/>
      <c r="BT51" s="390" t="n"/>
      <c r="BU51" s="390" t="n"/>
      <c r="BV51" s="390" t="n"/>
      <c r="BW51" s="390" t="n"/>
      <c r="BX51" s="390" t="n"/>
      <c r="BY51" s="390" t="n"/>
      <c r="BZ51" s="390" t="n"/>
      <c r="CA51" s="390" t="n"/>
      <c r="CB51" s="390" t="n"/>
      <c r="CC51" s="394" t="n"/>
      <c r="CF51" s="254" t="inlineStr">
        <is>
          <t>休日</t>
        </is>
      </c>
      <c r="CG51" s="395" t="n"/>
      <c r="CH51" s="395" t="n"/>
      <c r="CI51" s="396" t="n"/>
      <c r="CJ51" s="397">
        <f>IF(Q48="作業者1",N51-N48,0)</f>
        <v/>
      </c>
      <c r="CK51" s="395" t="n"/>
      <c r="CL51" s="395" t="n"/>
      <c r="CM51" s="395" t="n"/>
      <c r="CN51" s="396" t="n"/>
      <c r="CP51" s="254" t="inlineStr">
        <is>
          <t>休日</t>
        </is>
      </c>
      <c r="CQ51" s="395" t="n"/>
      <c r="CR51" s="395" t="n"/>
      <c r="CS51" s="396" t="n"/>
      <c r="CT51" s="397">
        <f>IF(Q48="作業者2",N51-N48,0)</f>
        <v/>
      </c>
      <c r="CU51" s="395" t="n"/>
      <c r="CV51" s="395" t="n"/>
      <c r="CW51" s="395" t="n"/>
      <c r="CX51" s="396" t="n"/>
      <c r="CZ51" s="254" t="inlineStr">
        <is>
          <t>休日</t>
        </is>
      </c>
      <c r="DA51" s="395" t="n"/>
      <c r="DB51" s="395" t="n"/>
      <c r="DC51" s="396" t="n"/>
      <c r="DD51" s="397">
        <f>IF(Q48="作業者3",N51-N48,0)</f>
        <v/>
      </c>
      <c r="DE51" s="395" t="n"/>
      <c r="DF51" s="395" t="n"/>
      <c r="DG51" s="395" t="n"/>
      <c r="DH51" s="396" t="n"/>
      <c r="DJ51" s="254" t="inlineStr">
        <is>
          <t>休日</t>
        </is>
      </c>
      <c r="DK51" s="395" t="n"/>
      <c r="DL51" s="395" t="n"/>
      <c r="DM51" s="396" t="n"/>
      <c r="DN51" s="397">
        <f>IF(Q48="作業者4",N51-N48,0)</f>
        <v/>
      </c>
      <c r="DO51" s="395" t="n"/>
      <c r="DP51" s="395" t="n"/>
      <c r="DQ51" s="395" t="n"/>
      <c r="DR51" s="396" t="n"/>
      <c r="DT51" s="254" t="inlineStr">
        <is>
          <t>休日</t>
        </is>
      </c>
      <c r="DU51" s="395" t="n"/>
      <c r="DV51" s="395" t="n"/>
      <c r="DW51" s="396" t="n"/>
      <c r="DX51" s="397">
        <f>IF(Q48="作業者5",N51-N48,0)</f>
        <v/>
      </c>
      <c r="DY51" s="395" t="n"/>
      <c r="DZ51" s="395" t="n"/>
      <c r="EA51" s="395" t="n"/>
      <c r="EB51" s="396" t="n"/>
    </row>
    <row r="52" ht="9" customHeight="1" s="337">
      <c r="B52" s="398" t="n"/>
      <c r="C52" s="372" t="n"/>
      <c r="D52" s="373" t="n"/>
      <c r="E52" s="399" t="n"/>
      <c r="F52" s="372" t="n"/>
      <c r="G52" s="373" t="n"/>
      <c r="H52" s="399" t="n"/>
      <c r="I52" s="372" t="n"/>
      <c r="J52" s="373" t="n"/>
      <c r="K52" s="399" t="n"/>
      <c r="L52" s="372" t="n"/>
      <c r="M52" s="373" t="n"/>
      <c r="N52" s="399" t="n"/>
      <c r="O52" s="372" t="n"/>
      <c r="P52" s="373" t="n"/>
      <c r="Q52" s="371" t="n"/>
      <c r="R52" s="372" t="n"/>
      <c r="S52" s="373" t="n"/>
      <c r="T52" s="371" t="n"/>
      <c r="U52" s="372" t="n"/>
      <c r="V52" s="373" t="n"/>
      <c r="W52" s="443" t="n"/>
      <c r="X52" s="372" t="n"/>
      <c r="Y52" s="372" t="n"/>
      <c r="Z52" s="372" t="n"/>
      <c r="AA52" s="372" t="n"/>
      <c r="AB52" s="372" t="n"/>
      <c r="AC52" s="372" t="n"/>
      <c r="AD52" s="372" t="n"/>
      <c r="AE52" s="372" t="n"/>
      <c r="AF52" s="372" t="n"/>
      <c r="AG52" s="372" t="n"/>
      <c r="AH52" s="372" t="n"/>
      <c r="AI52" s="372" t="n"/>
      <c r="AJ52" s="372" t="n"/>
      <c r="AK52" s="372" t="n"/>
      <c r="AL52" s="372" t="n"/>
      <c r="AM52" s="372" t="n"/>
      <c r="AN52" s="372" t="n"/>
      <c r="AO52" s="372" t="n"/>
      <c r="AP52" s="372" t="n"/>
      <c r="AQ52" s="372" t="n"/>
      <c r="AR52" s="372" t="n"/>
      <c r="AS52" s="372" t="n"/>
      <c r="AT52" s="372" t="n"/>
      <c r="AU52" s="372" t="n"/>
      <c r="AV52" s="372" t="n"/>
      <c r="AW52" s="372" t="n"/>
      <c r="AX52" s="372" t="n"/>
      <c r="AY52" s="372" t="n"/>
      <c r="AZ52" s="372" t="n"/>
      <c r="BA52" s="372" t="n"/>
      <c r="BB52" s="372" t="n"/>
      <c r="BC52" s="372" t="n"/>
      <c r="BD52" s="372" t="n"/>
      <c r="BE52" s="372" t="n"/>
      <c r="BF52" s="372" t="n"/>
      <c r="BG52" s="372" t="n"/>
      <c r="BH52" s="372" t="n"/>
      <c r="BI52" s="372" t="n"/>
      <c r="BJ52" s="372" t="n"/>
      <c r="BK52" s="372" t="n"/>
      <c r="BL52" s="372" t="n"/>
      <c r="BM52" s="372" t="n"/>
      <c r="BN52" s="372" t="n"/>
      <c r="BO52" s="372" t="n"/>
      <c r="BP52" s="372" t="n"/>
      <c r="BQ52" s="372" t="n"/>
      <c r="BR52" s="372" t="n"/>
      <c r="BS52" s="372" t="n"/>
      <c r="BT52" s="372" t="n"/>
      <c r="BU52" s="372" t="n"/>
      <c r="BV52" s="372" t="n"/>
      <c r="BW52" s="372" t="n"/>
      <c r="BX52" s="372" t="n"/>
      <c r="BY52" s="372" t="n"/>
      <c r="BZ52" s="372" t="n"/>
      <c r="CA52" s="372" t="n"/>
      <c r="CB52" s="372" t="n"/>
      <c r="CC52" s="402" t="n"/>
      <c r="CF52" s="248" t="inlineStr">
        <is>
          <t>移動</t>
        </is>
      </c>
      <c r="CG52" s="377" t="n"/>
      <c r="CH52" s="377" t="n"/>
      <c r="CI52" s="378" t="n"/>
      <c r="CJ52" s="379">
        <f>IF(Q52="作業者1",E55-E52,0)</f>
        <v/>
      </c>
      <c r="CK52" s="377" t="n"/>
      <c r="CL52" s="377" t="n"/>
      <c r="CM52" s="377" t="n"/>
      <c r="CN52" s="378" t="n"/>
      <c r="CP52" s="248" t="inlineStr">
        <is>
          <t>移動</t>
        </is>
      </c>
      <c r="CQ52" s="377" t="n"/>
      <c r="CR52" s="377" t="n"/>
      <c r="CS52" s="378" t="n"/>
      <c r="CT52" s="379">
        <f>IF(Q52="作業者2",E55-E52,0)</f>
        <v/>
      </c>
      <c r="CU52" s="377" t="n"/>
      <c r="CV52" s="377" t="n"/>
      <c r="CW52" s="377" t="n"/>
      <c r="CX52" s="378" t="n"/>
      <c r="CZ52" s="259" t="inlineStr">
        <is>
          <t>移動</t>
        </is>
      </c>
      <c r="DA52" s="403" t="n"/>
      <c r="DB52" s="403" t="n"/>
      <c r="DC52" s="404" t="n"/>
      <c r="DD52" s="405">
        <f>IF(Q52="作業者3",E55-E52,0)</f>
        <v/>
      </c>
      <c r="DE52" s="406" t="n"/>
      <c r="DF52" s="406" t="n"/>
      <c r="DG52" s="406" t="n"/>
      <c r="DH52" s="407" t="n"/>
      <c r="DJ52" s="259" t="inlineStr">
        <is>
          <t>移動</t>
        </is>
      </c>
      <c r="DK52" s="403" t="n"/>
      <c r="DL52" s="403" t="n"/>
      <c r="DM52" s="404" t="n"/>
      <c r="DN52" s="379">
        <f>IF(Q52="作業者4",E55-E52,0)</f>
        <v/>
      </c>
      <c r="DO52" s="377" t="n"/>
      <c r="DP52" s="377" t="n"/>
      <c r="DQ52" s="377" t="n"/>
      <c r="DR52" s="378" t="n"/>
      <c r="DT52" s="259" t="inlineStr">
        <is>
          <t>移動</t>
        </is>
      </c>
      <c r="DU52" s="403" t="n"/>
      <c r="DV52" s="403" t="n"/>
      <c r="DW52" s="404" t="n"/>
      <c r="DX52" s="379">
        <f>IF(Q52="作業者5",E55-E52,0)</f>
        <v/>
      </c>
      <c r="DY52" s="377" t="n"/>
      <c r="DZ52" s="377" t="n"/>
      <c r="EA52" s="377" t="n"/>
      <c r="EB52" s="378" t="n"/>
    </row>
    <row r="53" ht="9" customHeight="1" s="337">
      <c r="B53" s="350" t="n"/>
      <c r="C53" s="338" t="n"/>
      <c r="D53" s="380" t="n"/>
      <c r="E53" s="381" t="n"/>
      <c r="F53" s="122" t="inlineStr">
        <is>
          <t>～</t>
        </is>
      </c>
      <c r="G53" s="22" t="n"/>
      <c r="H53" s="381" t="n"/>
      <c r="I53" s="122" t="inlineStr">
        <is>
          <t>～</t>
        </is>
      </c>
      <c r="J53" s="22" t="n"/>
      <c r="K53" s="381" t="n"/>
      <c r="L53" s="122" t="inlineStr">
        <is>
          <t>～</t>
        </is>
      </c>
      <c r="M53" s="22" t="n"/>
      <c r="N53" s="381" t="n"/>
      <c r="O53" s="122" t="inlineStr">
        <is>
          <t>～</t>
        </is>
      </c>
      <c r="P53" s="22" t="n"/>
      <c r="Q53" s="382" t="n"/>
      <c r="R53" s="338" t="n"/>
      <c r="S53" s="380" t="n"/>
      <c r="T53" s="382" t="n"/>
      <c r="U53" s="338" t="n"/>
      <c r="V53" s="380" t="n"/>
      <c r="W53" s="382" t="n"/>
      <c r="X53" s="338" t="n"/>
      <c r="Y53" s="338" t="n"/>
      <c r="Z53" s="338" t="n"/>
      <c r="AA53" s="338" t="n"/>
      <c r="AB53" s="338" t="n"/>
      <c r="AC53" s="338" t="n"/>
      <c r="AD53" s="338" t="n"/>
      <c r="AE53" s="338" t="n"/>
      <c r="AF53" s="338" t="n"/>
      <c r="AG53" s="338" t="n"/>
      <c r="AH53" s="338" t="n"/>
      <c r="AI53" s="338" t="n"/>
      <c r="AJ53" s="338" t="n"/>
      <c r="AK53" s="338" t="n"/>
      <c r="AL53" s="338" t="n"/>
      <c r="AM53" s="338" t="n"/>
      <c r="AN53" s="338" t="n"/>
      <c r="AO53" s="338" t="n"/>
      <c r="AP53" s="338" t="n"/>
      <c r="AQ53" s="338" t="n"/>
      <c r="AR53" s="338" t="n"/>
      <c r="AS53" s="338" t="n"/>
      <c r="AT53" s="338" t="n"/>
      <c r="AU53" s="338" t="n"/>
      <c r="AV53" s="338" t="n"/>
      <c r="AW53" s="338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8" t="n"/>
      <c r="BH53" s="338" t="n"/>
      <c r="BI53" s="338" t="n"/>
      <c r="BJ53" s="338" t="n"/>
      <c r="BK53" s="338" t="n"/>
      <c r="BL53" s="338" t="n"/>
      <c r="BM53" s="338" t="n"/>
      <c r="BN53" s="338" t="n"/>
      <c r="BO53" s="338" t="n"/>
      <c r="BP53" s="338" t="n"/>
      <c r="BQ53" s="338" t="n"/>
      <c r="BR53" s="338" t="n"/>
      <c r="BS53" s="338" t="n"/>
      <c r="BT53" s="338" t="n"/>
      <c r="BU53" s="338" t="n"/>
      <c r="BV53" s="338" t="n"/>
      <c r="BW53" s="338" t="n"/>
      <c r="BX53" s="338" t="n"/>
      <c r="BY53" s="338" t="n"/>
      <c r="BZ53" s="338" t="n"/>
      <c r="CA53" s="338" t="n"/>
      <c r="CB53" s="338" t="n"/>
      <c r="CC53" s="383" t="n"/>
      <c r="CF53" s="253" t="inlineStr">
        <is>
          <t>時間内</t>
        </is>
      </c>
      <c r="CG53" s="384" t="n"/>
      <c r="CH53" s="384" t="n"/>
      <c r="CI53" s="385" t="n"/>
      <c r="CJ53" s="386">
        <f>IF(Q52="作業者1",H55-H52,0)</f>
        <v/>
      </c>
      <c r="CK53" s="387" t="n"/>
      <c r="CL53" s="387" t="n"/>
      <c r="CM53" s="387" t="n"/>
      <c r="CN53" s="388" t="n"/>
      <c r="CP53" s="253" t="inlineStr">
        <is>
          <t>時間内</t>
        </is>
      </c>
      <c r="CQ53" s="384" t="n"/>
      <c r="CR53" s="384" t="n"/>
      <c r="CS53" s="385" t="n"/>
      <c r="CT53" s="386">
        <f>IF(Q52="作業者2",H55-H52,0)</f>
        <v/>
      </c>
      <c r="CU53" s="387" t="n"/>
      <c r="CV53" s="387" t="n"/>
      <c r="CW53" s="387" t="n"/>
      <c r="CX53" s="388" t="n"/>
      <c r="CZ53" s="253" t="inlineStr">
        <is>
          <t>時間内</t>
        </is>
      </c>
      <c r="DA53" s="384" t="n"/>
      <c r="DB53" s="384" t="n"/>
      <c r="DC53" s="385" t="n"/>
      <c r="DD53" s="386">
        <f>IF(Q52="作業者3",H55-H52,0)</f>
        <v/>
      </c>
      <c r="DE53" s="387" t="n"/>
      <c r="DF53" s="387" t="n"/>
      <c r="DG53" s="387" t="n"/>
      <c r="DH53" s="388" t="n"/>
      <c r="DJ53" s="253" t="inlineStr">
        <is>
          <t>時間内</t>
        </is>
      </c>
      <c r="DK53" s="384" t="n"/>
      <c r="DL53" s="384" t="n"/>
      <c r="DM53" s="385" t="n"/>
      <c r="DN53" s="386">
        <f>IF(Q52="作業者4",H55-H52,0)</f>
        <v/>
      </c>
      <c r="DO53" s="387" t="n"/>
      <c r="DP53" s="387" t="n"/>
      <c r="DQ53" s="387" t="n"/>
      <c r="DR53" s="388" t="n"/>
      <c r="DT53" s="253" t="inlineStr">
        <is>
          <t>時間内</t>
        </is>
      </c>
      <c r="DU53" s="384" t="n"/>
      <c r="DV53" s="384" t="n"/>
      <c r="DW53" s="385" t="n"/>
      <c r="DX53" s="386">
        <f>IF(Q52="作業者5",H55-H52,0)</f>
        <v/>
      </c>
      <c r="DY53" s="387" t="n"/>
      <c r="DZ53" s="387" t="n"/>
      <c r="EA53" s="387" t="n"/>
      <c r="EB53" s="388" t="n"/>
    </row>
    <row r="54" ht="9" customHeight="1" s="337">
      <c r="B54" s="350" t="n"/>
      <c r="C54" s="338" t="n"/>
      <c r="D54" s="380" t="n"/>
      <c r="E54" s="23" t="n"/>
      <c r="F54" s="338" t="n"/>
      <c r="G54" s="24" t="n"/>
      <c r="H54" s="23" t="n"/>
      <c r="I54" s="338" t="n"/>
      <c r="J54" s="24" t="n"/>
      <c r="K54" s="23" t="n"/>
      <c r="L54" s="338" t="n"/>
      <c r="M54" s="24" t="n"/>
      <c r="N54" s="23" t="n"/>
      <c r="O54" s="338" t="n"/>
      <c r="P54" s="24" t="n"/>
      <c r="Q54" s="382" t="n"/>
      <c r="R54" s="338" t="n"/>
      <c r="S54" s="380" t="n"/>
      <c r="T54" s="382" t="n"/>
      <c r="U54" s="338" t="n"/>
      <c r="V54" s="380" t="n"/>
      <c r="W54" s="382" t="n"/>
      <c r="X54" s="338" t="n"/>
      <c r="Y54" s="338" t="n"/>
      <c r="Z54" s="338" t="n"/>
      <c r="AA54" s="338" t="n"/>
      <c r="AB54" s="338" t="n"/>
      <c r="AC54" s="338" t="n"/>
      <c r="AD54" s="338" t="n"/>
      <c r="AE54" s="338" t="n"/>
      <c r="AF54" s="338" t="n"/>
      <c r="AG54" s="338" t="n"/>
      <c r="AH54" s="338" t="n"/>
      <c r="AI54" s="338" t="n"/>
      <c r="AJ54" s="338" t="n"/>
      <c r="AK54" s="338" t="n"/>
      <c r="AL54" s="338" t="n"/>
      <c r="AM54" s="338" t="n"/>
      <c r="AN54" s="338" t="n"/>
      <c r="AO54" s="338" t="n"/>
      <c r="AP54" s="338" t="n"/>
      <c r="AQ54" s="338" t="n"/>
      <c r="AR54" s="338" t="n"/>
      <c r="AS54" s="338" t="n"/>
      <c r="AT54" s="338" t="n"/>
      <c r="AU54" s="338" t="n"/>
      <c r="AV54" s="338" t="n"/>
      <c r="AW54" s="338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8" t="n"/>
      <c r="BH54" s="338" t="n"/>
      <c r="BI54" s="338" t="n"/>
      <c r="BJ54" s="338" t="n"/>
      <c r="BK54" s="338" t="n"/>
      <c r="BL54" s="338" t="n"/>
      <c r="BM54" s="338" t="n"/>
      <c r="BN54" s="338" t="n"/>
      <c r="BO54" s="338" t="n"/>
      <c r="BP54" s="338" t="n"/>
      <c r="BQ54" s="338" t="n"/>
      <c r="BR54" s="338" t="n"/>
      <c r="BS54" s="338" t="n"/>
      <c r="BT54" s="338" t="n"/>
      <c r="BU54" s="338" t="n"/>
      <c r="BV54" s="338" t="n"/>
      <c r="BW54" s="338" t="n"/>
      <c r="BX54" s="338" t="n"/>
      <c r="BY54" s="338" t="n"/>
      <c r="BZ54" s="338" t="n"/>
      <c r="CA54" s="338" t="n"/>
      <c r="CB54" s="338" t="n"/>
      <c r="CC54" s="383" t="n"/>
      <c r="CF54" s="253" t="inlineStr">
        <is>
          <t>時間外</t>
        </is>
      </c>
      <c r="CG54" s="384" t="n"/>
      <c r="CH54" s="384" t="n"/>
      <c r="CI54" s="385" t="n"/>
      <c r="CJ54" s="386">
        <f>IF(Q52="作業者1",K55-K52,0)</f>
        <v/>
      </c>
      <c r="CK54" s="387" t="n"/>
      <c r="CL54" s="387" t="n"/>
      <c r="CM54" s="387" t="n"/>
      <c r="CN54" s="388" t="n"/>
      <c r="CP54" s="253" t="inlineStr">
        <is>
          <t>時間外</t>
        </is>
      </c>
      <c r="CQ54" s="384" t="n"/>
      <c r="CR54" s="384" t="n"/>
      <c r="CS54" s="385" t="n"/>
      <c r="CT54" s="386">
        <f>IF(Q52="作業者2",K55-K52,0)</f>
        <v/>
      </c>
      <c r="CU54" s="387" t="n"/>
      <c r="CV54" s="387" t="n"/>
      <c r="CW54" s="387" t="n"/>
      <c r="CX54" s="388" t="n"/>
      <c r="CZ54" s="253" t="inlineStr">
        <is>
          <t>時間外</t>
        </is>
      </c>
      <c r="DA54" s="384" t="n"/>
      <c r="DB54" s="384" t="n"/>
      <c r="DC54" s="385" t="n"/>
      <c r="DD54" s="386">
        <f>IF(Q52="作業者3",K55-K52,0)</f>
        <v/>
      </c>
      <c r="DE54" s="387" t="n"/>
      <c r="DF54" s="387" t="n"/>
      <c r="DG54" s="387" t="n"/>
      <c r="DH54" s="388" t="n"/>
      <c r="DJ54" s="253" t="inlineStr">
        <is>
          <t>時間外</t>
        </is>
      </c>
      <c r="DK54" s="384" t="n"/>
      <c r="DL54" s="384" t="n"/>
      <c r="DM54" s="385" t="n"/>
      <c r="DN54" s="386">
        <f>IF(Q52="作業者4",K55-K52,0)</f>
        <v/>
      </c>
      <c r="DO54" s="387" t="n"/>
      <c r="DP54" s="387" t="n"/>
      <c r="DQ54" s="387" t="n"/>
      <c r="DR54" s="388" t="n"/>
      <c r="DT54" s="253" t="inlineStr">
        <is>
          <t>時間外</t>
        </is>
      </c>
      <c r="DU54" s="384" t="n"/>
      <c r="DV54" s="384" t="n"/>
      <c r="DW54" s="385" t="n"/>
      <c r="DX54" s="386">
        <f>IF(Q52="作業者5",K55-K52,0)</f>
        <v/>
      </c>
      <c r="DY54" s="387" t="n"/>
      <c r="DZ54" s="387" t="n"/>
      <c r="EA54" s="387" t="n"/>
      <c r="EB54" s="388" t="n"/>
    </row>
    <row r="55" ht="9" customHeight="1" s="337">
      <c r="B55" s="389" t="n"/>
      <c r="C55" s="390" t="n"/>
      <c r="D55" s="391" t="n"/>
      <c r="E55" s="392" t="n"/>
      <c r="F55" s="390" t="n"/>
      <c r="G55" s="391" t="n"/>
      <c r="H55" s="392" t="n"/>
      <c r="I55" s="390" t="n"/>
      <c r="J55" s="391" t="n"/>
      <c r="K55" s="392" t="n"/>
      <c r="L55" s="390" t="n"/>
      <c r="M55" s="391" t="n"/>
      <c r="N55" s="392" t="n"/>
      <c r="O55" s="390" t="n"/>
      <c r="P55" s="391" t="n"/>
      <c r="Q55" s="393" t="n"/>
      <c r="R55" s="390" t="n"/>
      <c r="S55" s="391" t="n"/>
      <c r="T55" s="393" t="n"/>
      <c r="U55" s="390" t="n"/>
      <c r="V55" s="391" t="n"/>
      <c r="W55" s="393" t="n"/>
      <c r="X55" s="390" t="n"/>
      <c r="Y55" s="390" t="n"/>
      <c r="Z55" s="390" t="n"/>
      <c r="AA55" s="390" t="n"/>
      <c r="AB55" s="390" t="n"/>
      <c r="AC55" s="390" t="n"/>
      <c r="AD55" s="390" t="n"/>
      <c r="AE55" s="390" t="n"/>
      <c r="AF55" s="390" t="n"/>
      <c r="AG55" s="390" t="n"/>
      <c r="AH55" s="390" t="n"/>
      <c r="AI55" s="390" t="n"/>
      <c r="AJ55" s="390" t="n"/>
      <c r="AK55" s="390" t="n"/>
      <c r="AL55" s="390" t="n"/>
      <c r="AM55" s="390" t="n"/>
      <c r="AN55" s="390" t="n"/>
      <c r="AO55" s="390" t="n"/>
      <c r="AP55" s="390" t="n"/>
      <c r="AQ55" s="390" t="n"/>
      <c r="AR55" s="390" t="n"/>
      <c r="AS55" s="390" t="n"/>
      <c r="AT55" s="390" t="n"/>
      <c r="AU55" s="390" t="n"/>
      <c r="AV55" s="390" t="n"/>
      <c r="AW55" s="390" t="n"/>
      <c r="AX55" s="390" t="n"/>
      <c r="AY55" s="390" t="n"/>
      <c r="AZ55" s="390" t="n"/>
      <c r="BA55" s="390" t="n"/>
      <c r="BB55" s="390" t="n"/>
      <c r="BC55" s="390" t="n"/>
      <c r="BD55" s="390" t="n"/>
      <c r="BE55" s="390" t="n"/>
      <c r="BF55" s="390" t="n"/>
      <c r="BG55" s="390" t="n"/>
      <c r="BH55" s="390" t="n"/>
      <c r="BI55" s="390" t="n"/>
      <c r="BJ55" s="390" t="n"/>
      <c r="BK55" s="390" t="n"/>
      <c r="BL55" s="390" t="n"/>
      <c r="BM55" s="390" t="n"/>
      <c r="BN55" s="390" t="n"/>
      <c r="BO55" s="390" t="n"/>
      <c r="BP55" s="390" t="n"/>
      <c r="BQ55" s="390" t="n"/>
      <c r="BR55" s="390" t="n"/>
      <c r="BS55" s="390" t="n"/>
      <c r="BT55" s="390" t="n"/>
      <c r="BU55" s="390" t="n"/>
      <c r="BV55" s="390" t="n"/>
      <c r="BW55" s="390" t="n"/>
      <c r="BX55" s="390" t="n"/>
      <c r="BY55" s="390" t="n"/>
      <c r="BZ55" s="390" t="n"/>
      <c r="CA55" s="390" t="n"/>
      <c r="CB55" s="390" t="n"/>
      <c r="CC55" s="394" t="n"/>
      <c r="CF55" s="254" t="inlineStr">
        <is>
          <t>休日</t>
        </is>
      </c>
      <c r="CG55" s="395" t="n"/>
      <c r="CH55" s="395" t="n"/>
      <c r="CI55" s="396" t="n"/>
      <c r="CJ55" s="397">
        <f>IF(Q52="作業者1",N55-N52,0)</f>
        <v/>
      </c>
      <c r="CK55" s="395" t="n"/>
      <c r="CL55" s="395" t="n"/>
      <c r="CM55" s="395" t="n"/>
      <c r="CN55" s="396" t="n"/>
      <c r="CP55" s="254" t="inlineStr">
        <is>
          <t>休日</t>
        </is>
      </c>
      <c r="CQ55" s="395" t="n"/>
      <c r="CR55" s="395" t="n"/>
      <c r="CS55" s="396" t="n"/>
      <c r="CT55" s="397">
        <f>IF(Q52="作業者2",N55-N52,0)</f>
        <v/>
      </c>
      <c r="CU55" s="395" t="n"/>
      <c r="CV55" s="395" t="n"/>
      <c r="CW55" s="395" t="n"/>
      <c r="CX55" s="396" t="n"/>
      <c r="CZ55" s="254" t="inlineStr">
        <is>
          <t>休日</t>
        </is>
      </c>
      <c r="DA55" s="395" t="n"/>
      <c r="DB55" s="395" t="n"/>
      <c r="DC55" s="396" t="n"/>
      <c r="DD55" s="397">
        <f>IF(Q52="作業者3",N55-N52,0)</f>
        <v/>
      </c>
      <c r="DE55" s="395" t="n"/>
      <c r="DF55" s="395" t="n"/>
      <c r="DG55" s="395" t="n"/>
      <c r="DH55" s="396" t="n"/>
      <c r="DJ55" s="254" t="inlineStr">
        <is>
          <t>休日</t>
        </is>
      </c>
      <c r="DK55" s="395" t="n"/>
      <c r="DL55" s="395" t="n"/>
      <c r="DM55" s="396" t="n"/>
      <c r="DN55" s="397">
        <f>IF(Q52="作業者4",N55-N52,0)</f>
        <v/>
      </c>
      <c r="DO55" s="395" t="n"/>
      <c r="DP55" s="395" t="n"/>
      <c r="DQ55" s="395" t="n"/>
      <c r="DR55" s="396" t="n"/>
      <c r="DT55" s="254" t="inlineStr">
        <is>
          <t>休日</t>
        </is>
      </c>
      <c r="DU55" s="395" t="n"/>
      <c r="DV55" s="395" t="n"/>
      <c r="DW55" s="396" t="n"/>
      <c r="DX55" s="397">
        <f>IF(Q52="作業者5",N55-N52,0)</f>
        <v/>
      </c>
      <c r="DY55" s="395" t="n"/>
      <c r="DZ55" s="395" t="n"/>
      <c r="EA55" s="395" t="n"/>
      <c r="EB55" s="396" t="n"/>
    </row>
    <row r="56" ht="9" customHeight="1" s="337">
      <c r="B56" s="398" t="n"/>
      <c r="C56" s="372" t="n"/>
      <c r="D56" s="373" t="n"/>
      <c r="E56" s="399" t="n"/>
      <c r="F56" s="372" t="n"/>
      <c r="G56" s="373" t="n"/>
      <c r="H56" s="399" t="n"/>
      <c r="I56" s="372" t="n"/>
      <c r="J56" s="373" t="n"/>
      <c r="K56" s="399" t="n"/>
      <c r="L56" s="372" t="n"/>
      <c r="M56" s="373" t="n"/>
      <c r="N56" s="399" t="n"/>
      <c r="O56" s="372" t="n"/>
      <c r="P56" s="373" t="n"/>
      <c r="Q56" s="371" t="n"/>
      <c r="R56" s="372" t="n"/>
      <c r="S56" s="373" t="n"/>
      <c r="T56" s="371" t="n"/>
      <c r="U56" s="372" t="n"/>
      <c r="V56" s="373" t="n"/>
      <c r="W56" s="443" t="n"/>
      <c r="X56" s="372" t="n"/>
      <c r="Y56" s="372" t="n"/>
      <c r="Z56" s="372" t="n"/>
      <c r="AA56" s="372" t="n"/>
      <c r="AB56" s="372" t="n"/>
      <c r="AC56" s="372" t="n"/>
      <c r="AD56" s="372" t="n"/>
      <c r="AE56" s="372" t="n"/>
      <c r="AF56" s="372" t="n"/>
      <c r="AG56" s="372" t="n"/>
      <c r="AH56" s="372" t="n"/>
      <c r="AI56" s="372" t="n"/>
      <c r="AJ56" s="372" t="n"/>
      <c r="AK56" s="372" t="n"/>
      <c r="AL56" s="372" t="n"/>
      <c r="AM56" s="372" t="n"/>
      <c r="AN56" s="372" t="n"/>
      <c r="AO56" s="372" t="n"/>
      <c r="AP56" s="372" t="n"/>
      <c r="AQ56" s="372" t="n"/>
      <c r="AR56" s="372" t="n"/>
      <c r="AS56" s="372" t="n"/>
      <c r="AT56" s="372" t="n"/>
      <c r="AU56" s="372" t="n"/>
      <c r="AV56" s="372" t="n"/>
      <c r="AW56" s="372" t="n"/>
      <c r="AX56" s="372" t="n"/>
      <c r="AY56" s="372" t="n"/>
      <c r="AZ56" s="372" t="n"/>
      <c r="BA56" s="372" t="n"/>
      <c r="BB56" s="372" t="n"/>
      <c r="BC56" s="372" t="n"/>
      <c r="BD56" s="372" t="n"/>
      <c r="BE56" s="372" t="n"/>
      <c r="BF56" s="372" t="n"/>
      <c r="BG56" s="372" t="n"/>
      <c r="BH56" s="372" t="n"/>
      <c r="BI56" s="372" t="n"/>
      <c r="BJ56" s="372" t="n"/>
      <c r="BK56" s="372" t="n"/>
      <c r="BL56" s="372" t="n"/>
      <c r="BM56" s="372" t="n"/>
      <c r="BN56" s="372" t="n"/>
      <c r="BO56" s="372" t="n"/>
      <c r="BP56" s="372" t="n"/>
      <c r="BQ56" s="372" t="n"/>
      <c r="BR56" s="372" t="n"/>
      <c r="BS56" s="372" t="n"/>
      <c r="BT56" s="372" t="n"/>
      <c r="BU56" s="372" t="n"/>
      <c r="BV56" s="372" t="n"/>
      <c r="BW56" s="372" t="n"/>
      <c r="BX56" s="372" t="n"/>
      <c r="BY56" s="372" t="n"/>
      <c r="BZ56" s="372" t="n"/>
      <c r="CA56" s="372" t="n"/>
      <c r="CB56" s="372" t="n"/>
      <c r="CC56" s="402" t="n"/>
      <c r="CF56" s="248" t="inlineStr">
        <is>
          <t>移動</t>
        </is>
      </c>
      <c r="CG56" s="377" t="n"/>
      <c r="CH56" s="377" t="n"/>
      <c r="CI56" s="378" t="n"/>
      <c r="CJ56" s="379">
        <f>IF(Q56="作業者1",E59-E56,0)</f>
        <v/>
      </c>
      <c r="CK56" s="377" t="n"/>
      <c r="CL56" s="377" t="n"/>
      <c r="CM56" s="377" t="n"/>
      <c r="CN56" s="378" t="n"/>
      <c r="CP56" s="248" t="inlineStr">
        <is>
          <t>移動</t>
        </is>
      </c>
      <c r="CQ56" s="377" t="n"/>
      <c r="CR56" s="377" t="n"/>
      <c r="CS56" s="378" t="n"/>
      <c r="CT56" s="379">
        <f>IF(Q56="作業者2",E59-E56,0)</f>
        <v/>
      </c>
      <c r="CU56" s="377" t="n"/>
      <c r="CV56" s="377" t="n"/>
      <c r="CW56" s="377" t="n"/>
      <c r="CX56" s="378" t="n"/>
      <c r="CZ56" s="259" t="inlineStr">
        <is>
          <t>移動</t>
        </is>
      </c>
      <c r="DA56" s="403" t="n"/>
      <c r="DB56" s="403" t="n"/>
      <c r="DC56" s="404" t="n"/>
      <c r="DD56" s="405">
        <f>IF(Q56="作業者3",E59-E56,0)</f>
        <v/>
      </c>
      <c r="DE56" s="406" t="n"/>
      <c r="DF56" s="406" t="n"/>
      <c r="DG56" s="406" t="n"/>
      <c r="DH56" s="407" t="n"/>
      <c r="DJ56" s="259" t="inlineStr">
        <is>
          <t>移動</t>
        </is>
      </c>
      <c r="DK56" s="403" t="n"/>
      <c r="DL56" s="403" t="n"/>
      <c r="DM56" s="404" t="n"/>
      <c r="DN56" s="379">
        <f>IF(Q56="作業者4",E59-E56,0)</f>
        <v/>
      </c>
      <c r="DO56" s="377" t="n"/>
      <c r="DP56" s="377" t="n"/>
      <c r="DQ56" s="377" t="n"/>
      <c r="DR56" s="378" t="n"/>
      <c r="DT56" s="259" t="inlineStr">
        <is>
          <t>移動</t>
        </is>
      </c>
      <c r="DU56" s="403" t="n"/>
      <c r="DV56" s="403" t="n"/>
      <c r="DW56" s="404" t="n"/>
      <c r="DX56" s="379">
        <f>IF(Q56="作業者5",E59-E56,0)</f>
        <v/>
      </c>
      <c r="DY56" s="377" t="n"/>
      <c r="DZ56" s="377" t="n"/>
      <c r="EA56" s="377" t="n"/>
      <c r="EB56" s="378" t="n"/>
    </row>
    <row r="57" ht="9" customHeight="1" s="337">
      <c r="B57" s="350" t="n"/>
      <c r="C57" s="338" t="n"/>
      <c r="D57" s="380" t="n"/>
      <c r="E57" s="381" t="n"/>
      <c r="F57" s="122" t="inlineStr">
        <is>
          <t>～</t>
        </is>
      </c>
      <c r="G57" s="22" t="n"/>
      <c r="H57" s="381" t="n"/>
      <c r="I57" s="122" t="inlineStr">
        <is>
          <t>～</t>
        </is>
      </c>
      <c r="J57" s="22" t="n"/>
      <c r="K57" s="381" t="n"/>
      <c r="L57" s="122" t="inlineStr">
        <is>
          <t>～</t>
        </is>
      </c>
      <c r="M57" s="22" t="n"/>
      <c r="N57" s="381" t="n"/>
      <c r="O57" s="122" t="inlineStr">
        <is>
          <t>～</t>
        </is>
      </c>
      <c r="P57" s="22" t="n"/>
      <c r="Q57" s="382" t="n"/>
      <c r="R57" s="338" t="n"/>
      <c r="S57" s="380" t="n"/>
      <c r="T57" s="382" t="n"/>
      <c r="U57" s="338" t="n"/>
      <c r="V57" s="380" t="n"/>
      <c r="W57" s="382" t="n"/>
      <c r="X57" s="338" t="n"/>
      <c r="Y57" s="338" t="n"/>
      <c r="Z57" s="338" t="n"/>
      <c r="AA57" s="338" t="n"/>
      <c r="AB57" s="338" t="n"/>
      <c r="AC57" s="338" t="n"/>
      <c r="AD57" s="338" t="n"/>
      <c r="AE57" s="338" t="n"/>
      <c r="AF57" s="338" t="n"/>
      <c r="AG57" s="338" t="n"/>
      <c r="AH57" s="338" t="n"/>
      <c r="AI57" s="338" t="n"/>
      <c r="AJ57" s="338" t="n"/>
      <c r="AK57" s="338" t="n"/>
      <c r="AL57" s="338" t="n"/>
      <c r="AM57" s="338" t="n"/>
      <c r="AN57" s="338" t="n"/>
      <c r="AO57" s="338" t="n"/>
      <c r="AP57" s="338" t="n"/>
      <c r="AQ57" s="338" t="n"/>
      <c r="AR57" s="338" t="n"/>
      <c r="AS57" s="338" t="n"/>
      <c r="AT57" s="338" t="n"/>
      <c r="AU57" s="338" t="n"/>
      <c r="AV57" s="338" t="n"/>
      <c r="AW57" s="338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8" t="n"/>
      <c r="BH57" s="338" t="n"/>
      <c r="BI57" s="338" t="n"/>
      <c r="BJ57" s="338" t="n"/>
      <c r="BK57" s="338" t="n"/>
      <c r="BL57" s="338" t="n"/>
      <c r="BM57" s="338" t="n"/>
      <c r="BN57" s="338" t="n"/>
      <c r="BO57" s="338" t="n"/>
      <c r="BP57" s="338" t="n"/>
      <c r="BQ57" s="338" t="n"/>
      <c r="BR57" s="338" t="n"/>
      <c r="BS57" s="338" t="n"/>
      <c r="BT57" s="338" t="n"/>
      <c r="BU57" s="338" t="n"/>
      <c r="BV57" s="338" t="n"/>
      <c r="BW57" s="338" t="n"/>
      <c r="BX57" s="338" t="n"/>
      <c r="BY57" s="338" t="n"/>
      <c r="BZ57" s="338" t="n"/>
      <c r="CA57" s="338" t="n"/>
      <c r="CB57" s="338" t="n"/>
      <c r="CC57" s="383" t="n"/>
      <c r="CF57" s="253" t="inlineStr">
        <is>
          <t>時間内</t>
        </is>
      </c>
      <c r="CG57" s="384" t="n"/>
      <c r="CH57" s="384" t="n"/>
      <c r="CI57" s="385" t="n"/>
      <c r="CJ57" s="386">
        <f>IF(Q56="作業者1",H59-H56,0)</f>
        <v/>
      </c>
      <c r="CK57" s="387" t="n"/>
      <c r="CL57" s="387" t="n"/>
      <c r="CM57" s="387" t="n"/>
      <c r="CN57" s="388" t="n"/>
      <c r="CP57" s="253" t="inlineStr">
        <is>
          <t>時間内</t>
        </is>
      </c>
      <c r="CQ57" s="384" t="n"/>
      <c r="CR57" s="384" t="n"/>
      <c r="CS57" s="385" t="n"/>
      <c r="CT57" s="386">
        <f>IF(Q56="作業者2",H59-H56,0)</f>
        <v/>
      </c>
      <c r="CU57" s="387" t="n"/>
      <c r="CV57" s="387" t="n"/>
      <c r="CW57" s="387" t="n"/>
      <c r="CX57" s="388" t="n"/>
      <c r="CZ57" s="253" t="inlineStr">
        <is>
          <t>時間内</t>
        </is>
      </c>
      <c r="DA57" s="384" t="n"/>
      <c r="DB57" s="384" t="n"/>
      <c r="DC57" s="385" t="n"/>
      <c r="DD57" s="386">
        <f>IF(Q56="作業者3",H59-H56,0)</f>
        <v/>
      </c>
      <c r="DE57" s="387" t="n"/>
      <c r="DF57" s="387" t="n"/>
      <c r="DG57" s="387" t="n"/>
      <c r="DH57" s="388" t="n"/>
      <c r="DJ57" s="253" t="inlineStr">
        <is>
          <t>時間内</t>
        </is>
      </c>
      <c r="DK57" s="384" t="n"/>
      <c r="DL57" s="384" t="n"/>
      <c r="DM57" s="385" t="n"/>
      <c r="DN57" s="386">
        <f>IF(Q56="作業者4",H59-H56,0)</f>
        <v/>
      </c>
      <c r="DO57" s="387" t="n"/>
      <c r="DP57" s="387" t="n"/>
      <c r="DQ57" s="387" t="n"/>
      <c r="DR57" s="388" t="n"/>
      <c r="DT57" s="253" t="inlineStr">
        <is>
          <t>時間内</t>
        </is>
      </c>
      <c r="DU57" s="384" t="n"/>
      <c r="DV57" s="384" t="n"/>
      <c r="DW57" s="385" t="n"/>
      <c r="DX57" s="386">
        <f>IF(Q56="作業者5",H59-H56,0)</f>
        <v/>
      </c>
      <c r="DY57" s="387" t="n"/>
      <c r="DZ57" s="387" t="n"/>
      <c r="EA57" s="387" t="n"/>
      <c r="EB57" s="388" t="n"/>
    </row>
    <row r="58" ht="9" customHeight="1" s="337">
      <c r="B58" s="350" t="n"/>
      <c r="C58" s="338" t="n"/>
      <c r="D58" s="380" t="n"/>
      <c r="E58" s="23" t="n"/>
      <c r="F58" s="338" t="n"/>
      <c r="G58" s="24" t="n"/>
      <c r="H58" s="23" t="n"/>
      <c r="I58" s="338" t="n"/>
      <c r="J58" s="24" t="n"/>
      <c r="K58" s="23" t="n"/>
      <c r="L58" s="338" t="n"/>
      <c r="M58" s="24" t="n"/>
      <c r="N58" s="23" t="n"/>
      <c r="O58" s="338" t="n"/>
      <c r="P58" s="24" t="n"/>
      <c r="Q58" s="382" t="n"/>
      <c r="R58" s="338" t="n"/>
      <c r="S58" s="380" t="n"/>
      <c r="T58" s="382" t="n"/>
      <c r="U58" s="338" t="n"/>
      <c r="V58" s="380" t="n"/>
      <c r="W58" s="382" t="n"/>
      <c r="X58" s="338" t="n"/>
      <c r="Y58" s="338" t="n"/>
      <c r="Z58" s="338" t="n"/>
      <c r="AA58" s="338" t="n"/>
      <c r="AB58" s="338" t="n"/>
      <c r="AC58" s="338" t="n"/>
      <c r="AD58" s="338" t="n"/>
      <c r="AE58" s="338" t="n"/>
      <c r="AF58" s="338" t="n"/>
      <c r="AG58" s="338" t="n"/>
      <c r="AH58" s="338" t="n"/>
      <c r="AI58" s="338" t="n"/>
      <c r="AJ58" s="338" t="n"/>
      <c r="AK58" s="338" t="n"/>
      <c r="AL58" s="338" t="n"/>
      <c r="AM58" s="338" t="n"/>
      <c r="AN58" s="338" t="n"/>
      <c r="AO58" s="338" t="n"/>
      <c r="AP58" s="338" t="n"/>
      <c r="AQ58" s="338" t="n"/>
      <c r="AR58" s="338" t="n"/>
      <c r="AS58" s="338" t="n"/>
      <c r="AT58" s="338" t="n"/>
      <c r="AU58" s="338" t="n"/>
      <c r="AV58" s="338" t="n"/>
      <c r="AW58" s="338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8" t="n"/>
      <c r="BH58" s="338" t="n"/>
      <c r="BI58" s="338" t="n"/>
      <c r="BJ58" s="338" t="n"/>
      <c r="BK58" s="338" t="n"/>
      <c r="BL58" s="338" t="n"/>
      <c r="BM58" s="338" t="n"/>
      <c r="BN58" s="338" t="n"/>
      <c r="BO58" s="338" t="n"/>
      <c r="BP58" s="338" t="n"/>
      <c r="BQ58" s="338" t="n"/>
      <c r="BR58" s="338" t="n"/>
      <c r="BS58" s="338" t="n"/>
      <c r="BT58" s="338" t="n"/>
      <c r="BU58" s="338" t="n"/>
      <c r="BV58" s="338" t="n"/>
      <c r="BW58" s="338" t="n"/>
      <c r="BX58" s="338" t="n"/>
      <c r="BY58" s="338" t="n"/>
      <c r="BZ58" s="338" t="n"/>
      <c r="CA58" s="338" t="n"/>
      <c r="CB58" s="338" t="n"/>
      <c r="CC58" s="383" t="n"/>
      <c r="CF58" s="253" t="inlineStr">
        <is>
          <t>時間外</t>
        </is>
      </c>
      <c r="CG58" s="384" t="n"/>
      <c r="CH58" s="384" t="n"/>
      <c r="CI58" s="385" t="n"/>
      <c r="CJ58" s="386">
        <f>IF(Q56="作業者1",K59-K56,0)</f>
        <v/>
      </c>
      <c r="CK58" s="387" t="n"/>
      <c r="CL58" s="387" t="n"/>
      <c r="CM58" s="387" t="n"/>
      <c r="CN58" s="388" t="n"/>
      <c r="CP58" s="253" t="inlineStr">
        <is>
          <t>時間外</t>
        </is>
      </c>
      <c r="CQ58" s="384" t="n"/>
      <c r="CR58" s="384" t="n"/>
      <c r="CS58" s="385" t="n"/>
      <c r="CT58" s="386">
        <f>IF(Q56="作業者2",K59-K56,0)</f>
        <v/>
      </c>
      <c r="CU58" s="387" t="n"/>
      <c r="CV58" s="387" t="n"/>
      <c r="CW58" s="387" t="n"/>
      <c r="CX58" s="388" t="n"/>
      <c r="CZ58" s="253" t="inlineStr">
        <is>
          <t>時間外</t>
        </is>
      </c>
      <c r="DA58" s="384" t="n"/>
      <c r="DB58" s="384" t="n"/>
      <c r="DC58" s="385" t="n"/>
      <c r="DD58" s="386">
        <f>IF(Q56="作業者3",K59-K56,0)</f>
        <v/>
      </c>
      <c r="DE58" s="387" t="n"/>
      <c r="DF58" s="387" t="n"/>
      <c r="DG58" s="387" t="n"/>
      <c r="DH58" s="388" t="n"/>
      <c r="DJ58" s="253" t="inlineStr">
        <is>
          <t>時間外</t>
        </is>
      </c>
      <c r="DK58" s="384" t="n"/>
      <c r="DL58" s="384" t="n"/>
      <c r="DM58" s="385" t="n"/>
      <c r="DN58" s="386">
        <f>IF(Q56="作業者4",K59-K56,0)</f>
        <v/>
      </c>
      <c r="DO58" s="387" t="n"/>
      <c r="DP58" s="387" t="n"/>
      <c r="DQ58" s="387" t="n"/>
      <c r="DR58" s="388" t="n"/>
      <c r="DT58" s="253" t="inlineStr">
        <is>
          <t>時間外</t>
        </is>
      </c>
      <c r="DU58" s="384" t="n"/>
      <c r="DV58" s="384" t="n"/>
      <c r="DW58" s="385" t="n"/>
      <c r="DX58" s="386">
        <f>IF(Q56="作業者5",K59-K56,0)</f>
        <v/>
      </c>
      <c r="DY58" s="387" t="n"/>
      <c r="DZ58" s="387" t="n"/>
      <c r="EA58" s="387" t="n"/>
      <c r="EB58" s="388" t="n"/>
    </row>
    <row r="59" ht="9" customHeight="1" s="337">
      <c r="B59" s="389" t="n"/>
      <c r="C59" s="390" t="n"/>
      <c r="D59" s="391" t="n"/>
      <c r="E59" s="392" t="n"/>
      <c r="F59" s="390" t="n"/>
      <c r="G59" s="391" t="n"/>
      <c r="H59" s="392" t="n"/>
      <c r="I59" s="390" t="n"/>
      <c r="J59" s="391" t="n"/>
      <c r="K59" s="392" t="n"/>
      <c r="L59" s="390" t="n"/>
      <c r="M59" s="391" t="n"/>
      <c r="N59" s="392" t="n"/>
      <c r="O59" s="390" t="n"/>
      <c r="P59" s="391" t="n"/>
      <c r="Q59" s="393" t="n"/>
      <c r="R59" s="390" t="n"/>
      <c r="S59" s="391" t="n"/>
      <c r="T59" s="393" t="n"/>
      <c r="U59" s="390" t="n"/>
      <c r="V59" s="391" t="n"/>
      <c r="W59" s="393" t="n"/>
      <c r="X59" s="390" t="n"/>
      <c r="Y59" s="390" t="n"/>
      <c r="Z59" s="390" t="n"/>
      <c r="AA59" s="390" t="n"/>
      <c r="AB59" s="390" t="n"/>
      <c r="AC59" s="390" t="n"/>
      <c r="AD59" s="390" t="n"/>
      <c r="AE59" s="390" t="n"/>
      <c r="AF59" s="390" t="n"/>
      <c r="AG59" s="390" t="n"/>
      <c r="AH59" s="390" t="n"/>
      <c r="AI59" s="390" t="n"/>
      <c r="AJ59" s="390" t="n"/>
      <c r="AK59" s="390" t="n"/>
      <c r="AL59" s="390" t="n"/>
      <c r="AM59" s="390" t="n"/>
      <c r="AN59" s="390" t="n"/>
      <c r="AO59" s="390" t="n"/>
      <c r="AP59" s="390" t="n"/>
      <c r="AQ59" s="390" t="n"/>
      <c r="AR59" s="390" t="n"/>
      <c r="AS59" s="390" t="n"/>
      <c r="AT59" s="390" t="n"/>
      <c r="AU59" s="390" t="n"/>
      <c r="AV59" s="390" t="n"/>
      <c r="AW59" s="390" t="n"/>
      <c r="AX59" s="390" t="n"/>
      <c r="AY59" s="390" t="n"/>
      <c r="AZ59" s="390" t="n"/>
      <c r="BA59" s="390" t="n"/>
      <c r="BB59" s="390" t="n"/>
      <c r="BC59" s="390" t="n"/>
      <c r="BD59" s="390" t="n"/>
      <c r="BE59" s="390" t="n"/>
      <c r="BF59" s="390" t="n"/>
      <c r="BG59" s="390" t="n"/>
      <c r="BH59" s="390" t="n"/>
      <c r="BI59" s="390" t="n"/>
      <c r="BJ59" s="390" t="n"/>
      <c r="BK59" s="390" t="n"/>
      <c r="BL59" s="390" t="n"/>
      <c r="BM59" s="390" t="n"/>
      <c r="BN59" s="390" t="n"/>
      <c r="BO59" s="390" t="n"/>
      <c r="BP59" s="390" t="n"/>
      <c r="BQ59" s="390" t="n"/>
      <c r="BR59" s="390" t="n"/>
      <c r="BS59" s="390" t="n"/>
      <c r="BT59" s="390" t="n"/>
      <c r="BU59" s="390" t="n"/>
      <c r="BV59" s="390" t="n"/>
      <c r="BW59" s="390" t="n"/>
      <c r="BX59" s="390" t="n"/>
      <c r="BY59" s="390" t="n"/>
      <c r="BZ59" s="390" t="n"/>
      <c r="CA59" s="390" t="n"/>
      <c r="CB59" s="390" t="n"/>
      <c r="CC59" s="394" t="n"/>
      <c r="CF59" s="254" t="inlineStr">
        <is>
          <t>休日</t>
        </is>
      </c>
      <c r="CG59" s="395" t="n"/>
      <c r="CH59" s="395" t="n"/>
      <c r="CI59" s="396" t="n"/>
      <c r="CJ59" s="397">
        <f>IF(Q56="作業者1",N59-N56,0)</f>
        <v/>
      </c>
      <c r="CK59" s="395" t="n"/>
      <c r="CL59" s="395" t="n"/>
      <c r="CM59" s="395" t="n"/>
      <c r="CN59" s="396" t="n"/>
      <c r="CP59" s="254" t="inlineStr">
        <is>
          <t>休日</t>
        </is>
      </c>
      <c r="CQ59" s="395" t="n"/>
      <c r="CR59" s="395" t="n"/>
      <c r="CS59" s="396" t="n"/>
      <c r="CT59" s="397">
        <f>IF(Q56="作業者2",N59-N56,0)</f>
        <v/>
      </c>
      <c r="CU59" s="395" t="n"/>
      <c r="CV59" s="395" t="n"/>
      <c r="CW59" s="395" t="n"/>
      <c r="CX59" s="396" t="n"/>
      <c r="CZ59" s="254" t="inlineStr">
        <is>
          <t>休日</t>
        </is>
      </c>
      <c r="DA59" s="395" t="n"/>
      <c r="DB59" s="395" t="n"/>
      <c r="DC59" s="396" t="n"/>
      <c r="DD59" s="397">
        <f>IF(Q56="作業者3",N59-N56,0)</f>
        <v/>
      </c>
      <c r="DE59" s="395" t="n"/>
      <c r="DF59" s="395" t="n"/>
      <c r="DG59" s="395" t="n"/>
      <c r="DH59" s="396" t="n"/>
      <c r="DJ59" s="254" t="inlineStr">
        <is>
          <t>休日</t>
        </is>
      </c>
      <c r="DK59" s="395" t="n"/>
      <c r="DL59" s="395" t="n"/>
      <c r="DM59" s="396" t="n"/>
      <c r="DN59" s="397">
        <f>IF(Q56="作業者4",N59-N56,0)</f>
        <v/>
      </c>
      <c r="DO59" s="395" t="n"/>
      <c r="DP59" s="395" t="n"/>
      <c r="DQ59" s="395" t="n"/>
      <c r="DR59" s="396" t="n"/>
      <c r="DT59" s="254" t="inlineStr">
        <is>
          <t>休日</t>
        </is>
      </c>
      <c r="DU59" s="395" t="n"/>
      <c r="DV59" s="395" t="n"/>
      <c r="DW59" s="396" t="n"/>
      <c r="DX59" s="397">
        <f>IF(Q56="作業者5",N59-N56,0)</f>
        <v/>
      </c>
      <c r="DY59" s="395" t="n"/>
      <c r="DZ59" s="395" t="n"/>
      <c r="EA59" s="395" t="n"/>
      <c r="EB59" s="396" t="n"/>
    </row>
    <row r="60" ht="9" customHeight="1" s="337">
      <c r="B60" s="398" t="n"/>
      <c r="C60" s="372" t="n"/>
      <c r="D60" s="373" t="n"/>
      <c r="E60" s="399" t="n"/>
      <c r="F60" s="372" t="n"/>
      <c r="G60" s="373" t="n"/>
      <c r="H60" s="399" t="n"/>
      <c r="I60" s="372" t="n"/>
      <c r="J60" s="373" t="n"/>
      <c r="K60" s="399" t="n"/>
      <c r="L60" s="372" t="n"/>
      <c r="M60" s="373" t="n"/>
      <c r="N60" s="399" t="n"/>
      <c r="O60" s="372" t="n"/>
      <c r="P60" s="373" t="n"/>
      <c r="Q60" s="371" t="n"/>
      <c r="R60" s="372" t="n"/>
      <c r="S60" s="373" t="n"/>
      <c r="T60" s="371" t="n"/>
      <c r="U60" s="372" t="n"/>
      <c r="V60" s="373" t="n"/>
      <c r="W60" s="443" t="n"/>
      <c r="X60" s="372" t="n"/>
      <c r="Y60" s="372" t="n"/>
      <c r="Z60" s="372" t="n"/>
      <c r="AA60" s="372" t="n"/>
      <c r="AB60" s="372" t="n"/>
      <c r="AC60" s="372" t="n"/>
      <c r="AD60" s="372" t="n"/>
      <c r="AE60" s="372" t="n"/>
      <c r="AF60" s="372" t="n"/>
      <c r="AG60" s="372" t="n"/>
      <c r="AH60" s="372" t="n"/>
      <c r="AI60" s="372" t="n"/>
      <c r="AJ60" s="372" t="n"/>
      <c r="AK60" s="372" t="n"/>
      <c r="AL60" s="372" t="n"/>
      <c r="AM60" s="372" t="n"/>
      <c r="AN60" s="372" t="n"/>
      <c r="AO60" s="372" t="n"/>
      <c r="AP60" s="372" t="n"/>
      <c r="AQ60" s="372" t="n"/>
      <c r="AR60" s="372" t="n"/>
      <c r="AS60" s="372" t="n"/>
      <c r="AT60" s="372" t="n"/>
      <c r="AU60" s="372" t="n"/>
      <c r="AV60" s="372" t="n"/>
      <c r="AW60" s="372" t="n"/>
      <c r="AX60" s="372" t="n"/>
      <c r="AY60" s="372" t="n"/>
      <c r="AZ60" s="372" t="n"/>
      <c r="BA60" s="372" t="n"/>
      <c r="BB60" s="372" t="n"/>
      <c r="BC60" s="372" t="n"/>
      <c r="BD60" s="372" t="n"/>
      <c r="BE60" s="372" t="n"/>
      <c r="BF60" s="372" t="n"/>
      <c r="BG60" s="372" t="n"/>
      <c r="BH60" s="372" t="n"/>
      <c r="BI60" s="372" t="n"/>
      <c r="BJ60" s="372" t="n"/>
      <c r="BK60" s="372" t="n"/>
      <c r="BL60" s="372" t="n"/>
      <c r="BM60" s="372" t="n"/>
      <c r="BN60" s="372" t="n"/>
      <c r="BO60" s="372" t="n"/>
      <c r="BP60" s="372" t="n"/>
      <c r="BQ60" s="372" t="n"/>
      <c r="BR60" s="372" t="n"/>
      <c r="BS60" s="372" t="n"/>
      <c r="BT60" s="372" t="n"/>
      <c r="BU60" s="372" t="n"/>
      <c r="BV60" s="372" t="n"/>
      <c r="BW60" s="372" t="n"/>
      <c r="BX60" s="372" t="n"/>
      <c r="BY60" s="372" t="n"/>
      <c r="BZ60" s="372" t="n"/>
      <c r="CA60" s="372" t="n"/>
      <c r="CB60" s="372" t="n"/>
      <c r="CC60" s="402" t="n"/>
      <c r="CF60" s="248" t="inlineStr">
        <is>
          <t>移動</t>
        </is>
      </c>
      <c r="CG60" s="377" t="n"/>
      <c r="CH60" s="377" t="n"/>
      <c r="CI60" s="378" t="n"/>
      <c r="CJ60" s="379">
        <f>IF(Q60="作業者1",E63-E60,0)</f>
        <v/>
      </c>
      <c r="CK60" s="377" t="n"/>
      <c r="CL60" s="377" t="n"/>
      <c r="CM60" s="377" t="n"/>
      <c r="CN60" s="378" t="n"/>
      <c r="CP60" s="248" t="inlineStr">
        <is>
          <t>移動</t>
        </is>
      </c>
      <c r="CQ60" s="377" t="n"/>
      <c r="CR60" s="377" t="n"/>
      <c r="CS60" s="378" t="n"/>
      <c r="CT60" s="379">
        <f>IF(Q60="作業者2",E63-E60,0)</f>
        <v/>
      </c>
      <c r="CU60" s="377" t="n"/>
      <c r="CV60" s="377" t="n"/>
      <c r="CW60" s="377" t="n"/>
      <c r="CX60" s="378" t="n"/>
      <c r="CZ60" s="259" t="inlineStr">
        <is>
          <t>移動</t>
        </is>
      </c>
      <c r="DA60" s="403" t="n"/>
      <c r="DB60" s="403" t="n"/>
      <c r="DC60" s="404" t="n"/>
      <c r="DD60" s="405">
        <f>IF(Q60="作業者3",E63-E60,0)</f>
        <v/>
      </c>
      <c r="DE60" s="406" t="n"/>
      <c r="DF60" s="406" t="n"/>
      <c r="DG60" s="406" t="n"/>
      <c r="DH60" s="407" t="n"/>
      <c r="DJ60" s="259" t="inlineStr">
        <is>
          <t>移動</t>
        </is>
      </c>
      <c r="DK60" s="403" t="n"/>
      <c r="DL60" s="403" t="n"/>
      <c r="DM60" s="404" t="n"/>
      <c r="DN60" s="379">
        <f>IF(Q60="作業者4",E63-E60,0)</f>
        <v/>
      </c>
      <c r="DO60" s="377" t="n"/>
      <c r="DP60" s="377" t="n"/>
      <c r="DQ60" s="377" t="n"/>
      <c r="DR60" s="378" t="n"/>
      <c r="DT60" s="259" t="inlineStr">
        <is>
          <t>移動</t>
        </is>
      </c>
      <c r="DU60" s="403" t="n"/>
      <c r="DV60" s="403" t="n"/>
      <c r="DW60" s="404" t="n"/>
      <c r="DX60" s="379">
        <f>IF(Q60="作業者5",E63-E60,0)</f>
        <v/>
      </c>
      <c r="DY60" s="377" t="n"/>
      <c r="DZ60" s="377" t="n"/>
      <c r="EA60" s="377" t="n"/>
      <c r="EB60" s="378" t="n"/>
    </row>
    <row r="61" ht="9" customHeight="1" s="337">
      <c r="B61" s="350" t="n"/>
      <c r="C61" s="338" t="n"/>
      <c r="D61" s="380" t="n"/>
      <c r="E61" s="381" t="n"/>
      <c r="F61" s="122" t="inlineStr">
        <is>
          <t>～</t>
        </is>
      </c>
      <c r="G61" s="22" t="n"/>
      <c r="H61" s="381" t="n"/>
      <c r="I61" s="122" t="inlineStr">
        <is>
          <t>～</t>
        </is>
      </c>
      <c r="J61" s="22" t="n"/>
      <c r="K61" s="381" t="n"/>
      <c r="L61" s="122" t="inlineStr">
        <is>
          <t>～</t>
        </is>
      </c>
      <c r="M61" s="22" t="n"/>
      <c r="N61" s="381" t="n"/>
      <c r="O61" s="122" t="inlineStr">
        <is>
          <t>～</t>
        </is>
      </c>
      <c r="P61" s="22" t="n"/>
      <c r="Q61" s="382" t="n"/>
      <c r="R61" s="338" t="n"/>
      <c r="S61" s="380" t="n"/>
      <c r="T61" s="382" t="n"/>
      <c r="U61" s="338" t="n"/>
      <c r="V61" s="380" t="n"/>
      <c r="W61" s="382" t="n"/>
      <c r="X61" s="338" t="n"/>
      <c r="Y61" s="338" t="n"/>
      <c r="Z61" s="338" t="n"/>
      <c r="AA61" s="338" t="n"/>
      <c r="AB61" s="338" t="n"/>
      <c r="AC61" s="338" t="n"/>
      <c r="AD61" s="338" t="n"/>
      <c r="AE61" s="338" t="n"/>
      <c r="AF61" s="338" t="n"/>
      <c r="AG61" s="338" t="n"/>
      <c r="AH61" s="338" t="n"/>
      <c r="AI61" s="338" t="n"/>
      <c r="AJ61" s="338" t="n"/>
      <c r="AK61" s="338" t="n"/>
      <c r="AL61" s="338" t="n"/>
      <c r="AM61" s="338" t="n"/>
      <c r="AN61" s="338" t="n"/>
      <c r="AO61" s="338" t="n"/>
      <c r="AP61" s="338" t="n"/>
      <c r="AQ61" s="338" t="n"/>
      <c r="AR61" s="338" t="n"/>
      <c r="AS61" s="338" t="n"/>
      <c r="AT61" s="338" t="n"/>
      <c r="AU61" s="338" t="n"/>
      <c r="AV61" s="338" t="n"/>
      <c r="AW61" s="338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8" t="n"/>
      <c r="BH61" s="338" t="n"/>
      <c r="BI61" s="338" t="n"/>
      <c r="BJ61" s="338" t="n"/>
      <c r="BK61" s="338" t="n"/>
      <c r="BL61" s="338" t="n"/>
      <c r="BM61" s="338" t="n"/>
      <c r="BN61" s="338" t="n"/>
      <c r="BO61" s="338" t="n"/>
      <c r="BP61" s="338" t="n"/>
      <c r="BQ61" s="338" t="n"/>
      <c r="BR61" s="338" t="n"/>
      <c r="BS61" s="338" t="n"/>
      <c r="BT61" s="338" t="n"/>
      <c r="BU61" s="338" t="n"/>
      <c r="BV61" s="338" t="n"/>
      <c r="BW61" s="338" t="n"/>
      <c r="BX61" s="338" t="n"/>
      <c r="BY61" s="338" t="n"/>
      <c r="BZ61" s="338" t="n"/>
      <c r="CA61" s="338" t="n"/>
      <c r="CB61" s="338" t="n"/>
      <c r="CC61" s="383" t="n"/>
      <c r="CF61" s="253" t="inlineStr">
        <is>
          <t>時間内</t>
        </is>
      </c>
      <c r="CG61" s="384" t="n"/>
      <c r="CH61" s="384" t="n"/>
      <c r="CI61" s="385" t="n"/>
      <c r="CJ61" s="386">
        <f>IF(Q60="作業者1",H63-H60,0)</f>
        <v/>
      </c>
      <c r="CK61" s="387" t="n"/>
      <c r="CL61" s="387" t="n"/>
      <c r="CM61" s="387" t="n"/>
      <c r="CN61" s="388" t="n"/>
      <c r="CP61" s="253" t="inlineStr">
        <is>
          <t>時間内</t>
        </is>
      </c>
      <c r="CQ61" s="384" t="n"/>
      <c r="CR61" s="384" t="n"/>
      <c r="CS61" s="385" t="n"/>
      <c r="CT61" s="386">
        <f>IF(Q60="作業者2",H63-H60,0)</f>
        <v/>
      </c>
      <c r="CU61" s="387" t="n"/>
      <c r="CV61" s="387" t="n"/>
      <c r="CW61" s="387" t="n"/>
      <c r="CX61" s="388" t="n"/>
      <c r="CZ61" s="253" t="inlineStr">
        <is>
          <t>時間内</t>
        </is>
      </c>
      <c r="DA61" s="384" t="n"/>
      <c r="DB61" s="384" t="n"/>
      <c r="DC61" s="385" t="n"/>
      <c r="DD61" s="386">
        <f>IF(Q60="作業者3",H63-H60,0)</f>
        <v/>
      </c>
      <c r="DE61" s="387" t="n"/>
      <c r="DF61" s="387" t="n"/>
      <c r="DG61" s="387" t="n"/>
      <c r="DH61" s="388" t="n"/>
      <c r="DJ61" s="253" t="inlineStr">
        <is>
          <t>時間内</t>
        </is>
      </c>
      <c r="DK61" s="384" t="n"/>
      <c r="DL61" s="384" t="n"/>
      <c r="DM61" s="385" t="n"/>
      <c r="DN61" s="386">
        <f>IF(Q60="作業者4",H63-H60,0)</f>
        <v/>
      </c>
      <c r="DO61" s="387" t="n"/>
      <c r="DP61" s="387" t="n"/>
      <c r="DQ61" s="387" t="n"/>
      <c r="DR61" s="388" t="n"/>
      <c r="DT61" s="253" t="inlineStr">
        <is>
          <t>時間内</t>
        </is>
      </c>
      <c r="DU61" s="384" t="n"/>
      <c r="DV61" s="384" t="n"/>
      <c r="DW61" s="385" t="n"/>
      <c r="DX61" s="386">
        <f>IF(Q60="作業者5",H63-H60,0)</f>
        <v/>
      </c>
      <c r="DY61" s="387" t="n"/>
      <c r="DZ61" s="387" t="n"/>
      <c r="EA61" s="387" t="n"/>
      <c r="EB61" s="388" t="n"/>
    </row>
    <row r="62" ht="9" customHeight="1" s="337">
      <c r="B62" s="350" t="n"/>
      <c r="C62" s="338" t="n"/>
      <c r="D62" s="380" t="n"/>
      <c r="E62" s="23" t="n"/>
      <c r="F62" s="338" t="n"/>
      <c r="G62" s="24" t="n"/>
      <c r="H62" s="23" t="n"/>
      <c r="I62" s="338" t="n"/>
      <c r="J62" s="24" t="n"/>
      <c r="K62" s="23" t="n"/>
      <c r="L62" s="338" t="n"/>
      <c r="M62" s="24" t="n"/>
      <c r="N62" s="23" t="n"/>
      <c r="O62" s="338" t="n"/>
      <c r="P62" s="24" t="n"/>
      <c r="Q62" s="382" t="n"/>
      <c r="R62" s="338" t="n"/>
      <c r="S62" s="380" t="n"/>
      <c r="T62" s="382" t="n"/>
      <c r="U62" s="338" t="n"/>
      <c r="V62" s="380" t="n"/>
      <c r="W62" s="382" t="n"/>
      <c r="X62" s="338" t="n"/>
      <c r="Y62" s="338" t="n"/>
      <c r="Z62" s="338" t="n"/>
      <c r="AA62" s="338" t="n"/>
      <c r="AB62" s="338" t="n"/>
      <c r="AC62" s="338" t="n"/>
      <c r="AD62" s="338" t="n"/>
      <c r="AE62" s="338" t="n"/>
      <c r="AF62" s="338" t="n"/>
      <c r="AG62" s="338" t="n"/>
      <c r="AH62" s="338" t="n"/>
      <c r="AI62" s="338" t="n"/>
      <c r="AJ62" s="338" t="n"/>
      <c r="AK62" s="338" t="n"/>
      <c r="AL62" s="338" t="n"/>
      <c r="AM62" s="338" t="n"/>
      <c r="AN62" s="338" t="n"/>
      <c r="AO62" s="338" t="n"/>
      <c r="AP62" s="338" t="n"/>
      <c r="AQ62" s="338" t="n"/>
      <c r="AR62" s="338" t="n"/>
      <c r="AS62" s="338" t="n"/>
      <c r="AT62" s="338" t="n"/>
      <c r="AU62" s="338" t="n"/>
      <c r="AV62" s="338" t="n"/>
      <c r="AW62" s="338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8" t="n"/>
      <c r="BH62" s="338" t="n"/>
      <c r="BI62" s="338" t="n"/>
      <c r="BJ62" s="338" t="n"/>
      <c r="BK62" s="338" t="n"/>
      <c r="BL62" s="338" t="n"/>
      <c r="BM62" s="338" t="n"/>
      <c r="BN62" s="338" t="n"/>
      <c r="BO62" s="338" t="n"/>
      <c r="BP62" s="338" t="n"/>
      <c r="BQ62" s="338" t="n"/>
      <c r="BR62" s="338" t="n"/>
      <c r="BS62" s="338" t="n"/>
      <c r="BT62" s="338" t="n"/>
      <c r="BU62" s="338" t="n"/>
      <c r="BV62" s="338" t="n"/>
      <c r="BW62" s="338" t="n"/>
      <c r="BX62" s="338" t="n"/>
      <c r="BY62" s="338" t="n"/>
      <c r="BZ62" s="338" t="n"/>
      <c r="CA62" s="338" t="n"/>
      <c r="CB62" s="338" t="n"/>
      <c r="CC62" s="383" t="n"/>
      <c r="CF62" s="253" t="inlineStr">
        <is>
          <t>時間外</t>
        </is>
      </c>
      <c r="CG62" s="384" t="n"/>
      <c r="CH62" s="384" t="n"/>
      <c r="CI62" s="385" t="n"/>
      <c r="CJ62" s="386">
        <f>IF(Q60="作業者1",K63-K60,0)</f>
        <v/>
      </c>
      <c r="CK62" s="387" t="n"/>
      <c r="CL62" s="387" t="n"/>
      <c r="CM62" s="387" t="n"/>
      <c r="CN62" s="388" t="n"/>
      <c r="CP62" s="253" t="inlineStr">
        <is>
          <t>時間外</t>
        </is>
      </c>
      <c r="CQ62" s="384" t="n"/>
      <c r="CR62" s="384" t="n"/>
      <c r="CS62" s="385" t="n"/>
      <c r="CT62" s="386">
        <f>IF(Q60="作業者2",K63-K60,0)</f>
        <v/>
      </c>
      <c r="CU62" s="387" t="n"/>
      <c r="CV62" s="387" t="n"/>
      <c r="CW62" s="387" t="n"/>
      <c r="CX62" s="388" t="n"/>
      <c r="CZ62" s="253" t="inlineStr">
        <is>
          <t>時間外</t>
        </is>
      </c>
      <c r="DA62" s="384" t="n"/>
      <c r="DB62" s="384" t="n"/>
      <c r="DC62" s="385" t="n"/>
      <c r="DD62" s="386">
        <f>IF(Q60="作業者3",K63-K60,0)</f>
        <v/>
      </c>
      <c r="DE62" s="387" t="n"/>
      <c r="DF62" s="387" t="n"/>
      <c r="DG62" s="387" t="n"/>
      <c r="DH62" s="388" t="n"/>
      <c r="DJ62" s="253" t="inlineStr">
        <is>
          <t>時間外</t>
        </is>
      </c>
      <c r="DK62" s="384" t="n"/>
      <c r="DL62" s="384" t="n"/>
      <c r="DM62" s="385" t="n"/>
      <c r="DN62" s="386">
        <f>IF(Q60="作業者4",K63-K60,0)</f>
        <v/>
      </c>
      <c r="DO62" s="387" t="n"/>
      <c r="DP62" s="387" t="n"/>
      <c r="DQ62" s="387" t="n"/>
      <c r="DR62" s="388" t="n"/>
      <c r="DT62" s="253" t="inlineStr">
        <is>
          <t>時間外</t>
        </is>
      </c>
      <c r="DU62" s="384" t="n"/>
      <c r="DV62" s="384" t="n"/>
      <c r="DW62" s="385" t="n"/>
      <c r="DX62" s="386">
        <f>IF(Q60="作業者5",K63-K60,0)</f>
        <v/>
      </c>
      <c r="DY62" s="387" t="n"/>
      <c r="DZ62" s="387" t="n"/>
      <c r="EA62" s="387" t="n"/>
      <c r="EB62" s="388" t="n"/>
    </row>
    <row r="63" ht="9" customHeight="1" s="337">
      <c r="B63" s="389" t="n"/>
      <c r="C63" s="390" t="n"/>
      <c r="D63" s="391" t="n"/>
      <c r="E63" s="392" t="n"/>
      <c r="F63" s="390" t="n"/>
      <c r="G63" s="391" t="n"/>
      <c r="H63" s="392" t="n"/>
      <c r="I63" s="390" t="n"/>
      <c r="J63" s="391" t="n"/>
      <c r="K63" s="392" t="n"/>
      <c r="L63" s="390" t="n"/>
      <c r="M63" s="391" t="n"/>
      <c r="N63" s="392" t="n"/>
      <c r="O63" s="390" t="n"/>
      <c r="P63" s="391" t="n"/>
      <c r="Q63" s="393" t="n"/>
      <c r="R63" s="390" t="n"/>
      <c r="S63" s="391" t="n"/>
      <c r="T63" s="393" t="n"/>
      <c r="U63" s="390" t="n"/>
      <c r="V63" s="391" t="n"/>
      <c r="W63" s="393" t="n"/>
      <c r="X63" s="390" t="n"/>
      <c r="Y63" s="390" t="n"/>
      <c r="Z63" s="390" t="n"/>
      <c r="AA63" s="390" t="n"/>
      <c r="AB63" s="390" t="n"/>
      <c r="AC63" s="390" t="n"/>
      <c r="AD63" s="390" t="n"/>
      <c r="AE63" s="390" t="n"/>
      <c r="AF63" s="390" t="n"/>
      <c r="AG63" s="390" t="n"/>
      <c r="AH63" s="390" t="n"/>
      <c r="AI63" s="390" t="n"/>
      <c r="AJ63" s="390" t="n"/>
      <c r="AK63" s="390" t="n"/>
      <c r="AL63" s="390" t="n"/>
      <c r="AM63" s="390" t="n"/>
      <c r="AN63" s="390" t="n"/>
      <c r="AO63" s="390" t="n"/>
      <c r="AP63" s="390" t="n"/>
      <c r="AQ63" s="390" t="n"/>
      <c r="AR63" s="390" t="n"/>
      <c r="AS63" s="390" t="n"/>
      <c r="AT63" s="390" t="n"/>
      <c r="AU63" s="390" t="n"/>
      <c r="AV63" s="390" t="n"/>
      <c r="AW63" s="390" t="n"/>
      <c r="AX63" s="390" t="n"/>
      <c r="AY63" s="390" t="n"/>
      <c r="AZ63" s="390" t="n"/>
      <c r="BA63" s="390" t="n"/>
      <c r="BB63" s="390" t="n"/>
      <c r="BC63" s="390" t="n"/>
      <c r="BD63" s="390" t="n"/>
      <c r="BE63" s="390" t="n"/>
      <c r="BF63" s="390" t="n"/>
      <c r="BG63" s="390" t="n"/>
      <c r="BH63" s="390" t="n"/>
      <c r="BI63" s="390" t="n"/>
      <c r="BJ63" s="390" t="n"/>
      <c r="BK63" s="390" t="n"/>
      <c r="BL63" s="390" t="n"/>
      <c r="BM63" s="390" t="n"/>
      <c r="BN63" s="390" t="n"/>
      <c r="BO63" s="390" t="n"/>
      <c r="BP63" s="390" t="n"/>
      <c r="BQ63" s="390" t="n"/>
      <c r="BR63" s="390" t="n"/>
      <c r="BS63" s="390" t="n"/>
      <c r="BT63" s="390" t="n"/>
      <c r="BU63" s="390" t="n"/>
      <c r="BV63" s="390" t="n"/>
      <c r="BW63" s="390" t="n"/>
      <c r="BX63" s="390" t="n"/>
      <c r="BY63" s="390" t="n"/>
      <c r="BZ63" s="390" t="n"/>
      <c r="CA63" s="390" t="n"/>
      <c r="CB63" s="390" t="n"/>
      <c r="CC63" s="394" t="n"/>
      <c r="CF63" s="254" t="inlineStr">
        <is>
          <t>休日</t>
        </is>
      </c>
      <c r="CG63" s="395" t="n"/>
      <c r="CH63" s="395" t="n"/>
      <c r="CI63" s="396" t="n"/>
      <c r="CJ63" s="397">
        <f>IF(Q60="作業者1",N63-N60,0)</f>
        <v/>
      </c>
      <c r="CK63" s="395" t="n"/>
      <c r="CL63" s="395" t="n"/>
      <c r="CM63" s="395" t="n"/>
      <c r="CN63" s="396" t="n"/>
      <c r="CP63" s="254" t="inlineStr">
        <is>
          <t>休日</t>
        </is>
      </c>
      <c r="CQ63" s="395" t="n"/>
      <c r="CR63" s="395" t="n"/>
      <c r="CS63" s="396" t="n"/>
      <c r="CT63" s="397">
        <f>IF(Q60="作業者2",N63-N60,0)</f>
        <v/>
      </c>
      <c r="CU63" s="395" t="n"/>
      <c r="CV63" s="395" t="n"/>
      <c r="CW63" s="395" t="n"/>
      <c r="CX63" s="396" t="n"/>
      <c r="CZ63" s="254" t="inlineStr">
        <is>
          <t>休日</t>
        </is>
      </c>
      <c r="DA63" s="395" t="n"/>
      <c r="DB63" s="395" t="n"/>
      <c r="DC63" s="396" t="n"/>
      <c r="DD63" s="397">
        <f>IF(Q60="作業者3",N63-N60,0)</f>
        <v/>
      </c>
      <c r="DE63" s="395" t="n"/>
      <c r="DF63" s="395" t="n"/>
      <c r="DG63" s="395" t="n"/>
      <c r="DH63" s="396" t="n"/>
      <c r="DJ63" s="254" t="inlineStr">
        <is>
          <t>休日</t>
        </is>
      </c>
      <c r="DK63" s="395" t="n"/>
      <c r="DL63" s="395" t="n"/>
      <c r="DM63" s="396" t="n"/>
      <c r="DN63" s="397">
        <f>IF(Q60="作業者4",N63-N60,0)</f>
        <v/>
      </c>
      <c r="DO63" s="395" t="n"/>
      <c r="DP63" s="395" t="n"/>
      <c r="DQ63" s="395" t="n"/>
      <c r="DR63" s="396" t="n"/>
      <c r="DT63" s="254" t="inlineStr">
        <is>
          <t>休日</t>
        </is>
      </c>
      <c r="DU63" s="395" t="n"/>
      <c r="DV63" s="395" t="n"/>
      <c r="DW63" s="396" t="n"/>
      <c r="DX63" s="397">
        <f>IF(Q60="作業者5",N63-N60,0)</f>
        <v/>
      </c>
      <c r="DY63" s="395" t="n"/>
      <c r="DZ63" s="395" t="n"/>
      <c r="EA63" s="395" t="n"/>
      <c r="EB63" s="396" t="n"/>
    </row>
    <row r="64" ht="9" customHeight="1" s="337">
      <c r="B64" s="410" t="n"/>
      <c r="C64" s="372" t="n"/>
      <c r="D64" s="373" t="n"/>
      <c r="E64" s="399" t="n"/>
      <c r="F64" s="372" t="n"/>
      <c r="G64" s="373" t="n"/>
      <c r="H64" s="399" t="n"/>
      <c r="I64" s="372" t="n"/>
      <c r="J64" s="373" t="n"/>
      <c r="K64" s="399" t="n"/>
      <c r="L64" s="372" t="n"/>
      <c r="M64" s="373" t="n"/>
      <c r="N64" s="399" t="n"/>
      <c r="O64" s="372" t="n"/>
      <c r="P64" s="373" t="n"/>
      <c r="Q64" s="444" t="n"/>
      <c r="R64" s="372" t="n"/>
      <c r="S64" s="445" t="n"/>
      <c r="T64" s="411" t="n"/>
      <c r="U64" s="372" t="n"/>
      <c r="V64" s="373" t="n"/>
      <c r="W64" s="443" t="n"/>
      <c r="X64" s="372" t="n"/>
      <c r="Y64" s="372" t="n"/>
      <c r="Z64" s="372" t="n"/>
      <c r="AA64" s="372" t="n"/>
      <c r="AB64" s="372" t="n"/>
      <c r="AC64" s="372" t="n"/>
      <c r="AD64" s="372" t="n"/>
      <c r="AE64" s="372" t="n"/>
      <c r="AF64" s="372" t="n"/>
      <c r="AG64" s="372" t="n"/>
      <c r="AH64" s="372" t="n"/>
      <c r="AI64" s="372" t="n"/>
      <c r="AJ64" s="372" t="n"/>
      <c r="AK64" s="372" t="n"/>
      <c r="AL64" s="372" t="n"/>
      <c r="AM64" s="372" t="n"/>
      <c r="AN64" s="372" t="n"/>
      <c r="AO64" s="372" t="n"/>
      <c r="AP64" s="372" t="n"/>
      <c r="AQ64" s="372" t="n"/>
      <c r="AR64" s="372" t="n"/>
      <c r="AS64" s="372" t="n"/>
      <c r="AT64" s="372" t="n"/>
      <c r="AU64" s="372" t="n"/>
      <c r="AV64" s="372" t="n"/>
      <c r="AW64" s="372" t="n"/>
      <c r="AX64" s="372" t="n"/>
      <c r="AY64" s="372" t="n"/>
      <c r="AZ64" s="372" t="n"/>
      <c r="BA64" s="372" t="n"/>
      <c r="BB64" s="372" t="n"/>
      <c r="BC64" s="372" t="n"/>
      <c r="BD64" s="372" t="n"/>
      <c r="BE64" s="372" t="n"/>
      <c r="BF64" s="372" t="n"/>
      <c r="BG64" s="372" t="n"/>
      <c r="BH64" s="372" t="n"/>
      <c r="BI64" s="372" t="n"/>
      <c r="BJ64" s="372" t="n"/>
      <c r="BK64" s="372" t="n"/>
      <c r="BL64" s="372" t="n"/>
      <c r="BM64" s="372" t="n"/>
      <c r="BN64" s="372" t="n"/>
      <c r="BO64" s="372" t="n"/>
      <c r="BP64" s="372" t="n"/>
      <c r="BQ64" s="372" t="n"/>
      <c r="BR64" s="372" t="n"/>
      <c r="BS64" s="372" t="n"/>
      <c r="BT64" s="372" t="n"/>
      <c r="BU64" s="372" t="n"/>
      <c r="BV64" s="372" t="n"/>
      <c r="BW64" s="372" t="n"/>
      <c r="BX64" s="372" t="n"/>
      <c r="BY64" s="372" t="n"/>
      <c r="BZ64" s="372" t="n"/>
      <c r="CA64" s="372" t="n"/>
      <c r="CB64" s="372" t="n"/>
      <c r="CC64" s="402" t="n"/>
      <c r="CF64" s="248" t="inlineStr">
        <is>
          <t>移動</t>
        </is>
      </c>
      <c r="CG64" s="377" t="n"/>
      <c r="CH64" s="377" t="n"/>
      <c r="CI64" s="378" t="n"/>
      <c r="CJ64" s="379">
        <f>IF(Q64="作業者1",E67-E64,0)</f>
        <v/>
      </c>
      <c r="CK64" s="377" t="n"/>
      <c r="CL64" s="377" t="n"/>
      <c r="CM64" s="377" t="n"/>
      <c r="CN64" s="378" t="n"/>
      <c r="CP64" s="248" t="inlineStr">
        <is>
          <t>移動</t>
        </is>
      </c>
      <c r="CQ64" s="377" t="n"/>
      <c r="CR64" s="377" t="n"/>
      <c r="CS64" s="378" t="n"/>
      <c r="CT64" s="379">
        <f>IF(Q64="作業者2",E67-E64,0)</f>
        <v/>
      </c>
      <c r="CU64" s="377" t="n"/>
      <c r="CV64" s="377" t="n"/>
      <c r="CW64" s="377" t="n"/>
      <c r="CX64" s="378" t="n"/>
      <c r="CZ64" s="259" t="inlineStr">
        <is>
          <t>移動</t>
        </is>
      </c>
      <c r="DA64" s="403" t="n"/>
      <c r="DB64" s="403" t="n"/>
      <c r="DC64" s="404" t="n"/>
      <c r="DD64" s="405">
        <f>IF(Q64="作業者3",E67-E64,0)</f>
        <v/>
      </c>
      <c r="DE64" s="406" t="n"/>
      <c r="DF64" s="406" t="n"/>
      <c r="DG64" s="406" t="n"/>
      <c r="DH64" s="407" t="n"/>
      <c r="DJ64" s="259" t="inlineStr">
        <is>
          <t>移動</t>
        </is>
      </c>
      <c r="DK64" s="403" t="n"/>
      <c r="DL64" s="403" t="n"/>
      <c r="DM64" s="404" t="n"/>
      <c r="DN64" s="379">
        <f>IF(Q64="作業者4",E67-E64,0)</f>
        <v/>
      </c>
      <c r="DO64" s="377" t="n"/>
      <c r="DP64" s="377" t="n"/>
      <c r="DQ64" s="377" t="n"/>
      <c r="DR64" s="378" t="n"/>
      <c r="DT64" s="259" t="inlineStr">
        <is>
          <t>移動</t>
        </is>
      </c>
      <c r="DU64" s="403" t="n"/>
      <c r="DV64" s="403" t="n"/>
      <c r="DW64" s="404" t="n"/>
      <c r="DX64" s="379">
        <f>IF(Q64="作業者5",E67-E64,0)</f>
        <v/>
      </c>
      <c r="DY64" s="377" t="n"/>
      <c r="DZ64" s="377" t="n"/>
      <c r="EA64" s="377" t="n"/>
      <c r="EB64" s="378" t="n"/>
    </row>
    <row r="65" ht="9" customHeight="1" s="337">
      <c r="B65" s="350" t="n"/>
      <c r="C65" s="338" t="n"/>
      <c r="D65" s="380" t="n"/>
      <c r="E65" s="381" t="n"/>
      <c r="F65" s="122" t="inlineStr">
        <is>
          <t>～</t>
        </is>
      </c>
      <c r="G65" s="22" t="n"/>
      <c r="H65" s="381" t="n"/>
      <c r="I65" s="122" t="inlineStr">
        <is>
          <t>～</t>
        </is>
      </c>
      <c r="J65" s="22" t="n"/>
      <c r="K65" s="381" t="n"/>
      <c r="L65" s="122" t="inlineStr">
        <is>
          <t>～</t>
        </is>
      </c>
      <c r="M65" s="22" t="n"/>
      <c r="N65" s="381" t="n"/>
      <c r="O65" s="122" t="inlineStr">
        <is>
          <t>～</t>
        </is>
      </c>
      <c r="P65" s="22" t="n"/>
      <c r="Q65" s="382" t="n"/>
      <c r="R65" s="338" t="n"/>
      <c r="S65" s="446" t="n"/>
      <c r="T65" s="382" t="n"/>
      <c r="U65" s="338" t="n"/>
      <c r="V65" s="380" t="n"/>
      <c r="W65" s="382" t="n"/>
      <c r="X65" s="338" t="n"/>
      <c r="Y65" s="338" t="n"/>
      <c r="Z65" s="338" t="n"/>
      <c r="AA65" s="338" t="n"/>
      <c r="AB65" s="338" t="n"/>
      <c r="AC65" s="338" t="n"/>
      <c r="AD65" s="338" t="n"/>
      <c r="AE65" s="338" t="n"/>
      <c r="AF65" s="338" t="n"/>
      <c r="AG65" s="338" t="n"/>
      <c r="AH65" s="338" t="n"/>
      <c r="AI65" s="338" t="n"/>
      <c r="AJ65" s="338" t="n"/>
      <c r="AK65" s="338" t="n"/>
      <c r="AL65" s="338" t="n"/>
      <c r="AM65" s="338" t="n"/>
      <c r="AN65" s="338" t="n"/>
      <c r="AO65" s="338" t="n"/>
      <c r="AP65" s="338" t="n"/>
      <c r="AQ65" s="338" t="n"/>
      <c r="AR65" s="338" t="n"/>
      <c r="AS65" s="338" t="n"/>
      <c r="AT65" s="338" t="n"/>
      <c r="AU65" s="338" t="n"/>
      <c r="AV65" s="338" t="n"/>
      <c r="AW65" s="338" t="n"/>
      <c r="AX65" s="338" t="n"/>
      <c r="AY65" s="338" t="n"/>
      <c r="AZ65" s="338" t="n"/>
      <c r="BA65" s="338" t="n"/>
      <c r="BB65" s="338" t="n"/>
      <c r="BC65" s="338" t="n"/>
      <c r="BD65" s="338" t="n"/>
      <c r="BE65" s="338" t="n"/>
      <c r="BF65" s="338" t="n"/>
      <c r="BG65" s="338" t="n"/>
      <c r="BH65" s="338" t="n"/>
      <c r="BI65" s="338" t="n"/>
      <c r="BJ65" s="338" t="n"/>
      <c r="BK65" s="338" t="n"/>
      <c r="BL65" s="338" t="n"/>
      <c r="BM65" s="338" t="n"/>
      <c r="BN65" s="338" t="n"/>
      <c r="BO65" s="338" t="n"/>
      <c r="BP65" s="338" t="n"/>
      <c r="BQ65" s="338" t="n"/>
      <c r="BR65" s="338" t="n"/>
      <c r="BS65" s="338" t="n"/>
      <c r="BT65" s="338" t="n"/>
      <c r="BU65" s="338" t="n"/>
      <c r="BV65" s="338" t="n"/>
      <c r="BW65" s="338" t="n"/>
      <c r="BX65" s="338" t="n"/>
      <c r="BY65" s="338" t="n"/>
      <c r="BZ65" s="338" t="n"/>
      <c r="CA65" s="338" t="n"/>
      <c r="CB65" s="338" t="n"/>
      <c r="CC65" s="383" t="n"/>
      <c r="CF65" s="253" t="inlineStr">
        <is>
          <t>時間内</t>
        </is>
      </c>
      <c r="CG65" s="384" t="n"/>
      <c r="CH65" s="384" t="n"/>
      <c r="CI65" s="385" t="n"/>
      <c r="CJ65" s="386">
        <f>IF(Q64="作業者1",H67-H64,0)</f>
        <v/>
      </c>
      <c r="CK65" s="387" t="n"/>
      <c r="CL65" s="387" t="n"/>
      <c r="CM65" s="387" t="n"/>
      <c r="CN65" s="388" t="n"/>
      <c r="CP65" s="253" t="inlineStr">
        <is>
          <t>時間内</t>
        </is>
      </c>
      <c r="CQ65" s="384" t="n"/>
      <c r="CR65" s="384" t="n"/>
      <c r="CS65" s="385" t="n"/>
      <c r="CT65" s="386">
        <f>IF(Q64="作業者2",H67-H64,0)</f>
        <v/>
      </c>
      <c r="CU65" s="387" t="n"/>
      <c r="CV65" s="387" t="n"/>
      <c r="CW65" s="387" t="n"/>
      <c r="CX65" s="388" t="n"/>
      <c r="CZ65" s="253" t="inlineStr">
        <is>
          <t>時間内</t>
        </is>
      </c>
      <c r="DA65" s="384" t="n"/>
      <c r="DB65" s="384" t="n"/>
      <c r="DC65" s="385" t="n"/>
      <c r="DD65" s="386">
        <f>IF(Q64="作業者3",H67-H64,0)</f>
        <v/>
      </c>
      <c r="DE65" s="387" t="n"/>
      <c r="DF65" s="387" t="n"/>
      <c r="DG65" s="387" t="n"/>
      <c r="DH65" s="388" t="n"/>
      <c r="DJ65" s="253" t="inlineStr">
        <is>
          <t>時間内</t>
        </is>
      </c>
      <c r="DK65" s="384" t="n"/>
      <c r="DL65" s="384" t="n"/>
      <c r="DM65" s="385" t="n"/>
      <c r="DN65" s="386">
        <f>IF(Q64="作業者4",H67-H64,0)</f>
        <v/>
      </c>
      <c r="DO65" s="387" t="n"/>
      <c r="DP65" s="387" t="n"/>
      <c r="DQ65" s="387" t="n"/>
      <c r="DR65" s="388" t="n"/>
      <c r="DT65" s="253" t="inlineStr">
        <is>
          <t>時間内</t>
        </is>
      </c>
      <c r="DU65" s="384" t="n"/>
      <c r="DV65" s="384" t="n"/>
      <c r="DW65" s="385" t="n"/>
      <c r="DX65" s="386">
        <f>IF(Q64="作業者5",H67-H64,0)</f>
        <v/>
      </c>
      <c r="DY65" s="387" t="n"/>
      <c r="DZ65" s="387" t="n"/>
      <c r="EA65" s="387" t="n"/>
      <c r="EB65" s="388" t="n"/>
    </row>
    <row r="66" ht="9" customHeight="1" s="337">
      <c r="B66" s="350" t="n"/>
      <c r="C66" s="338" t="n"/>
      <c r="D66" s="380" t="n"/>
      <c r="E66" s="23" t="n"/>
      <c r="F66" s="338" t="n"/>
      <c r="G66" s="24" t="n"/>
      <c r="H66" s="23" t="n"/>
      <c r="I66" s="338" t="n"/>
      <c r="J66" s="24" t="n"/>
      <c r="K66" s="23" t="n"/>
      <c r="L66" s="338" t="n"/>
      <c r="M66" s="24" t="n"/>
      <c r="N66" s="23" t="n"/>
      <c r="O66" s="338" t="n"/>
      <c r="P66" s="24" t="n"/>
      <c r="Q66" s="382" t="n"/>
      <c r="R66" s="338" t="n"/>
      <c r="S66" s="446" t="n"/>
      <c r="T66" s="382" t="n"/>
      <c r="U66" s="338" t="n"/>
      <c r="V66" s="380" t="n"/>
      <c r="W66" s="382" t="n"/>
      <c r="X66" s="338" t="n"/>
      <c r="Y66" s="338" t="n"/>
      <c r="Z66" s="338" t="n"/>
      <c r="AA66" s="338" t="n"/>
      <c r="AB66" s="338" t="n"/>
      <c r="AC66" s="338" t="n"/>
      <c r="AD66" s="338" t="n"/>
      <c r="AE66" s="338" t="n"/>
      <c r="AF66" s="338" t="n"/>
      <c r="AG66" s="338" t="n"/>
      <c r="AH66" s="338" t="n"/>
      <c r="AI66" s="338" t="n"/>
      <c r="AJ66" s="338" t="n"/>
      <c r="AK66" s="338" t="n"/>
      <c r="AL66" s="338" t="n"/>
      <c r="AM66" s="338" t="n"/>
      <c r="AN66" s="338" t="n"/>
      <c r="AO66" s="338" t="n"/>
      <c r="AP66" s="338" t="n"/>
      <c r="AQ66" s="338" t="n"/>
      <c r="AR66" s="338" t="n"/>
      <c r="AS66" s="338" t="n"/>
      <c r="AT66" s="338" t="n"/>
      <c r="AU66" s="338" t="n"/>
      <c r="AV66" s="338" t="n"/>
      <c r="AW66" s="338" t="n"/>
      <c r="AX66" s="338" t="n"/>
      <c r="AY66" s="338" t="n"/>
      <c r="AZ66" s="338" t="n"/>
      <c r="BA66" s="338" t="n"/>
      <c r="BB66" s="338" t="n"/>
      <c r="BC66" s="338" t="n"/>
      <c r="BD66" s="338" t="n"/>
      <c r="BE66" s="338" t="n"/>
      <c r="BF66" s="338" t="n"/>
      <c r="BG66" s="338" t="n"/>
      <c r="BH66" s="338" t="n"/>
      <c r="BI66" s="338" t="n"/>
      <c r="BJ66" s="338" t="n"/>
      <c r="BK66" s="338" t="n"/>
      <c r="BL66" s="338" t="n"/>
      <c r="BM66" s="338" t="n"/>
      <c r="BN66" s="338" t="n"/>
      <c r="BO66" s="338" t="n"/>
      <c r="BP66" s="338" t="n"/>
      <c r="BQ66" s="338" t="n"/>
      <c r="BR66" s="338" t="n"/>
      <c r="BS66" s="338" t="n"/>
      <c r="BT66" s="338" t="n"/>
      <c r="BU66" s="338" t="n"/>
      <c r="BV66" s="338" t="n"/>
      <c r="BW66" s="338" t="n"/>
      <c r="BX66" s="338" t="n"/>
      <c r="BY66" s="338" t="n"/>
      <c r="BZ66" s="338" t="n"/>
      <c r="CA66" s="338" t="n"/>
      <c r="CB66" s="338" t="n"/>
      <c r="CC66" s="383" t="n"/>
      <c r="CF66" s="253" t="inlineStr">
        <is>
          <t>時間外</t>
        </is>
      </c>
      <c r="CG66" s="384" t="n"/>
      <c r="CH66" s="384" t="n"/>
      <c r="CI66" s="385" t="n"/>
      <c r="CJ66" s="386">
        <f>IF(Q64="作業者1",K67-K64,0)</f>
        <v/>
      </c>
      <c r="CK66" s="387" t="n"/>
      <c r="CL66" s="387" t="n"/>
      <c r="CM66" s="387" t="n"/>
      <c r="CN66" s="388" t="n"/>
      <c r="CP66" s="253" t="inlineStr">
        <is>
          <t>時間外</t>
        </is>
      </c>
      <c r="CQ66" s="384" t="n"/>
      <c r="CR66" s="384" t="n"/>
      <c r="CS66" s="385" t="n"/>
      <c r="CT66" s="386">
        <f>IF(Q64="作業者2",K67-K64,0)</f>
        <v/>
      </c>
      <c r="CU66" s="387" t="n"/>
      <c r="CV66" s="387" t="n"/>
      <c r="CW66" s="387" t="n"/>
      <c r="CX66" s="388" t="n"/>
      <c r="CZ66" s="253" t="inlineStr">
        <is>
          <t>時間外</t>
        </is>
      </c>
      <c r="DA66" s="384" t="n"/>
      <c r="DB66" s="384" t="n"/>
      <c r="DC66" s="385" t="n"/>
      <c r="DD66" s="386">
        <f>IF(Q64="作業者3",K67-K64,0)</f>
        <v/>
      </c>
      <c r="DE66" s="387" t="n"/>
      <c r="DF66" s="387" t="n"/>
      <c r="DG66" s="387" t="n"/>
      <c r="DH66" s="388" t="n"/>
      <c r="DJ66" s="253" t="inlineStr">
        <is>
          <t>時間外</t>
        </is>
      </c>
      <c r="DK66" s="384" t="n"/>
      <c r="DL66" s="384" t="n"/>
      <c r="DM66" s="385" t="n"/>
      <c r="DN66" s="386">
        <f>IF(Q64="作業者4",K67-K64,0)</f>
        <v/>
      </c>
      <c r="DO66" s="387" t="n"/>
      <c r="DP66" s="387" t="n"/>
      <c r="DQ66" s="387" t="n"/>
      <c r="DR66" s="388" t="n"/>
      <c r="DT66" s="253" t="inlineStr">
        <is>
          <t>時間外</t>
        </is>
      </c>
      <c r="DU66" s="384" t="n"/>
      <c r="DV66" s="384" t="n"/>
      <c r="DW66" s="385" t="n"/>
      <c r="DX66" s="386">
        <f>IF(Q64="作業者5",K67-K64,0)</f>
        <v/>
      </c>
      <c r="DY66" s="387" t="n"/>
      <c r="DZ66" s="387" t="n"/>
      <c r="EA66" s="387" t="n"/>
      <c r="EB66" s="388" t="n"/>
    </row>
    <row r="67" ht="9" customHeight="1" s="337">
      <c r="B67" s="353" t="n"/>
      <c r="C67" s="339" t="n"/>
      <c r="D67" s="364" t="n"/>
      <c r="E67" s="412" t="n"/>
      <c r="F67" s="339" t="n"/>
      <c r="G67" s="364" t="n"/>
      <c r="H67" s="412" t="n"/>
      <c r="I67" s="339" t="n"/>
      <c r="J67" s="364" t="n"/>
      <c r="K67" s="412" t="n"/>
      <c r="L67" s="339" t="n"/>
      <c r="M67" s="364" t="n"/>
      <c r="N67" s="412" t="n"/>
      <c r="O67" s="339" t="n"/>
      <c r="P67" s="364" t="n"/>
      <c r="Q67" s="393" t="n"/>
      <c r="R67" s="390" t="n"/>
      <c r="S67" s="447" t="n"/>
      <c r="T67" s="365" t="n"/>
      <c r="U67" s="339" t="n"/>
      <c r="V67" s="364" t="n"/>
      <c r="W67" s="393" t="n"/>
      <c r="X67" s="390" t="n"/>
      <c r="Y67" s="390" t="n"/>
      <c r="Z67" s="390" t="n"/>
      <c r="AA67" s="390" t="n"/>
      <c r="AB67" s="390" t="n"/>
      <c r="AC67" s="390" t="n"/>
      <c r="AD67" s="390" t="n"/>
      <c r="AE67" s="390" t="n"/>
      <c r="AF67" s="390" t="n"/>
      <c r="AG67" s="390" t="n"/>
      <c r="AH67" s="390" t="n"/>
      <c r="AI67" s="390" t="n"/>
      <c r="AJ67" s="390" t="n"/>
      <c r="AK67" s="390" t="n"/>
      <c r="AL67" s="390" t="n"/>
      <c r="AM67" s="390" t="n"/>
      <c r="AN67" s="390" t="n"/>
      <c r="AO67" s="390" t="n"/>
      <c r="AP67" s="390" t="n"/>
      <c r="AQ67" s="390" t="n"/>
      <c r="AR67" s="390" t="n"/>
      <c r="AS67" s="390" t="n"/>
      <c r="AT67" s="390" t="n"/>
      <c r="AU67" s="390" t="n"/>
      <c r="AV67" s="390" t="n"/>
      <c r="AW67" s="390" t="n"/>
      <c r="AX67" s="390" t="n"/>
      <c r="AY67" s="390" t="n"/>
      <c r="AZ67" s="390" t="n"/>
      <c r="BA67" s="390" t="n"/>
      <c r="BB67" s="390" t="n"/>
      <c r="BC67" s="390" t="n"/>
      <c r="BD67" s="390" t="n"/>
      <c r="BE67" s="390" t="n"/>
      <c r="BF67" s="390" t="n"/>
      <c r="BG67" s="390" t="n"/>
      <c r="BH67" s="390" t="n"/>
      <c r="BI67" s="390" t="n"/>
      <c r="BJ67" s="390" t="n"/>
      <c r="BK67" s="390" t="n"/>
      <c r="BL67" s="390" t="n"/>
      <c r="BM67" s="390" t="n"/>
      <c r="BN67" s="390" t="n"/>
      <c r="BO67" s="390" t="n"/>
      <c r="BP67" s="390" t="n"/>
      <c r="BQ67" s="390" t="n"/>
      <c r="BR67" s="390" t="n"/>
      <c r="BS67" s="390" t="n"/>
      <c r="BT67" s="390" t="n"/>
      <c r="BU67" s="390" t="n"/>
      <c r="BV67" s="390" t="n"/>
      <c r="BW67" s="390" t="n"/>
      <c r="BX67" s="390" t="n"/>
      <c r="BY67" s="390" t="n"/>
      <c r="BZ67" s="390" t="n"/>
      <c r="CA67" s="390" t="n"/>
      <c r="CB67" s="390" t="n"/>
      <c r="CC67" s="394" t="n"/>
      <c r="CF67" s="254" t="inlineStr">
        <is>
          <t>休日</t>
        </is>
      </c>
      <c r="CG67" s="395" t="n"/>
      <c r="CH67" s="395" t="n"/>
      <c r="CI67" s="396" t="n"/>
      <c r="CJ67" s="397">
        <f>IF(Q64="作業者1",N67-N64,0)</f>
        <v/>
      </c>
      <c r="CK67" s="395" t="n"/>
      <c r="CL67" s="395" t="n"/>
      <c r="CM67" s="395" t="n"/>
      <c r="CN67" s="396" t="n"/>
      <c r="CP67" s="254" t="inlineStr">
        <is>
          <t>休日</t>
        </is>
      </c>
      <c r="CQ67" s="395" t="n"/>
      <c r="CR67" s="395" t="n"/>
      <c r="CS67" s="396" t="n"/>
      <c r="CT67" s="397">
        <f>IF(Q64="作業者2",N67-N64,0)</f>
        <v/>
      </c>
      <c r="CU67" s="395" t="n"/>
      <c r="CV67" s="395" t="n"/>
      <c r="CW67" s="395" t="n"/>
      <c r="CX67" s="396" t="n"/>
      <c r="CZ67" s="254" t="inlineStr">
        <is>
          <t>休日</t>
        </is>
      </c>
      <c r="DA67" s="395" t="n"/>
      <c r="DB67" s="395" t="n"/>
      <c r="DC67" s="396" t="n"/>
      <c r="DD67" s="397">
        <f>IF(Q64="作業者3",N67-N64,0)</f>
        <v/>
      </c>
      <c r="DE67" s="395" t="n"/>
      <c r="DF67" s="395" t="n"/>
      <c r="DG67" s="395" t="n"/>
      <c r="DH67" s="396" t="n"/>
      <c r="DJ67" s="254" t="inlineStr">
        <is>
          <t>休日</t>
        </is>
      </c>
      <c r="DK67" s="395" t="n"/>
      <c r="DL67" s="395" t="n"/>
      <c r="DM67" s="396" t="n"/>
      <c r="DN67" s="397">
        <f>IF(Q64="作業者4",N67-N64,0)</f>
        <v/>
      </c>
      <c r="DO67" s="395" t="n"/>
      <c r="DP67" s="395" t="n"/>
      <c r="DQ67" s="395" t="n"/>
      <c r="DR67" s="396" t="n"/>
      <c r="DT67" s="254" t="inlineStr">
        <is>
          <t>休日</t>
        </is>
      </c>
      <c r="DU67" s="395" t="n"/>
      <c r="DV67" s="395" t="n"/>
      <c r="DW67" s="396" t="n"/>
      <c r="DX67" s="397">
        <f>IF(Q64="作業者5",N67-N64,0)</f>
        <v/>
      </c>
      <c r="DY67" s="395" t="n"/>
      <c r="DZ67" s="395" t="n"/>
      <c r="EA67" s="395" t="n"/>
      <c r="EB67" s="396" t="n"/>
    </row>
    <row r="68" ht="9.75" customHeight="1" s="337">
      <c r="B68" s="413" t="n"/>
      <c r="C68" s="413" t="n"/>
      <c r="D68" s="413" t="n"/>
      <c r="E68" s="414" t="n"/>
      <c r="F68" s="27" t="n"/>
      <c r="G68" s="27" t="n"/>
      <c r="H68" s="414" t="n"/>
      <c r="I68" s="27" t="n"/>
      <c r="J68" s="27" t="n"/>
      <c r="K68" s="414" t="n"/>
      <c r="L68" s="27" t="n"/>
      <c r="M68" s="27" t="n"/>
      <c r="N68" s="414" t="n"/>
      <c r="O68" s="27" t="n"/>
      <c r="P68" s="27" t="n"/>
      <c r="Q68" s="128" t="n"/>
      <c r="R68" s="128" t="n"/>
      <c r="S68" s="128" t="n"/>
      <c r="T68" s="128" t="n"/>
      <c r="U68" s="128" t="n"/>
      <c r="V68" s="128" t="n"/>
      <c r="W68" s="29" t="n"/>
      <c r="X68" s="29" t="n"/>
      <c r="Y68" s="29" t="n"/>
      <c r="Z68" s="29" t="n"/>
      <c r="AA68" s="29" t="n"/>
      <c r="AB68" s="29" t="n"/>
      <c r="AC68" s="29" t="n"/>
      <c r="AD68" s="29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14" t="n"/>
      <c r="BX68" s="14" t="n"/>
      <c r="BY68" s="14" t="n"/>
      <c r="BZ68" s="14" t="n"/>
      <c r="CA68" s="415" t="n"/>
      <c r="CB68" s="87" t="n"/>
      <c r="CC68" s="87" t="n"/>
      <c r="CD68" s="87" t="n"/>
      <c r="CE68" s="416" t="n"/>
      <c r="CF68" s="34" t="n"/>
      <c r="CG68" s="34" t="n"/>
    </row>
    <row r="69" ht="14.1" customHeight="1" s="337">
      <c r="B69" s="417" t="inlineStr">
        <is>
          <t>月／日</t>
        </is>
      </c>
      <c r="C69" s="342" t="n"/>
      <c r="D69" s="356" t="n"/>
      <c r="E69" s="357" t="inlineStr">
        <is>
          <t>移 動</t>
        </is>
      </c>
      <c r="F69" s="342" t="n"/>
      <c r="G69" s="356" t="n"/>
      <c r="H69" s="358" t="inlineStr">
        <is>
          <t>作業内　(平日)</t>
        </is>
      </c>
      <c r="I69" s="342" t="n"/>
      <c r="J69" s="356" t="n"/>
      <c r="K69" s="358" t="inlineStr">
        <is>
          <t>作業外　(平日)</t>
        </is>
      </c>
      <c r="L69" s="342" t="n"/>
      <c r="M69" s="356" t="n"/>
      <c r="N69" s="357" t="inlineStr">
        <is>
          <t>休日</t>
        </is>
      </c>
      <c r="O69" s="342" t="n"/>
      <c r="P69" s="356" t="n"/>
      <c r="Q69" s="359" t="inlineStr">
        <is>
          <t>作業者</t>
        </is>
      </c>
      <c r="R69" s="342" t="n"/>
      <c r="S69" s="356" t="n"/>
      <c r="T69" s="359" t="inlineStr">
        <is>
          <t>場  所</t>
        </is>
      </c>
      <c r="U69" s="342" t="n"/>
      <c r="V69" s="356" t="n"/>
      <c r="W69" s="360" t="inlineStr">
        <is>
          <t xml:space="preserve">   作　　　　    　　業　　　    　 　内　　　  　  　　容　</t>
        </is>
      </c>
      <c r="X69" s="342" t="n"/>
      <c r="Y69" s="342" t="n"/>
      <c r="Z69" s="342" t="n"/>
      <c r="AA69" s="342" t="n"/>
      <c r="AB69" s="342" t="n"/>
      <c r="AC69" s="342" t="n"/>
      <c r="AD69" s="342" t="n"/>
      <c r="AE69" s="342" t="n"/>
      <c r="AF69" s="342" t="n"/>
      <c r="AG69" s="342" t="n"/>
      <c r="AH69" s="342" t="n"/>
      <c r="AI69" s="342" t="n"/>
      <c r="AJ69" s="342" t="n"/>
      <c r="AK69" s="342" t="n"/>
      <c r="AL69" s="342" t="n"/>
      <c r="AM69" s="342" t="n"/>
      <c r="AN69" s="342" t="n"/>
      <c r="AO69" s="342" t="n"/>
      <c r="AP69" s="342" t="n"/>
      <c r="AQ69" s="342" t="n"/>
      <c r="AR69" s="342" t="n"/>
      <c r="AS69" s="342" t="n"/>
      <c r="AT69" s="342" t="n"/>
      <c r="AU69" s="342" t="n"/>
      <c r="AV69" s="342" t="n"/>
      <c r="AW69" s="342" t="n"/>
      <c r="AX69" s="342" t="n"/>
      <c r="AY69" s="342" t="n"/>
      <c r="AZ69" s="342" t="n"/>
      <c r="BA69" s="342" t="n"/>
      <c r="BB69" s="342" t="n"/>
      <c r="BC69" s="342" t="n"/>
      <c r="BD69" s="342" t="n"/>
      <c r="BE69" s="342" t="n"/>
      <c r="BF69" s="342" t="n"/>
      <c r="BG69" s="342" t="n"/>
      <c r="BH69" s="342" t="n"/>
      <c r="BI69" s="342" t="n"/>
      <c r="BJ69" s="342" t="n"/>
      <c r="BK69" s="342" t="n"/>
      <c r="BL69" s="342" t="n"/>
      <c r="BM69" s="342" t="n"/>
      <c r="BN69" s="342" t="n"/>
      <c r="BO69" s="342" t="n"/>
      <c r="BP69" s="342" t="n"/>
      <c r="BQ69" s="342" t="n"/>
      <c r="BR69" s="342" t="n"/>
      <c r="BS69" s="342" t="n"/>
      <c r="BT69" s="342" t="n"/>
      <c r="BU69" s="342" t="n"/>
      <c r="BV69" s="342" t="n"/>
      <c r="BW69" s="342" t="n"/>
      <c r="BX69" s="342" t="n"/>
      <c r="BY69" s="342" t="n"/>
      <c r="BZ69" s="342" t="n"/>
      <c r="CA69" s="342" t="n"/>
      <c r="CB69" s="342" t="n"/>
      <c r="CC69" s="343" t="n"/>
      <c r="CF69" s="361" t="inlineStr">
        <is>
          <t>所要時間　作業者1</t>
        </is>
      </c>
      <c r="CG69" s="362" t="n"/>
      <c r="CH69" s="362" t="n"/>
      <c r="CI69" s="362" t="n"/>
      <c r="CJ69" s="362" t="n"/>
      <c r="CK69" s="362" t="n"/>
      <c r="CL69" s="362" t="n"/>
      <c r="CM69" s="362" t="n"/>
      <c r="CN69" s="363" t="n"/>
      <c r="CP69" s="361" t="inlineStr">
        <is>
          <t>所要時間　作業者2</t>
        </is>
      </c>
      <c r="CQ69" s="362" t="n"/>
      <c r="CR69" s="362" t="n"/>
      <c r="CS69" s="362" t="n"/>
      <c r="CT69" s="362" t="n"/>
      <c r="CU69" s="362" t="n"/>
      <c r="CV69" s="362" t="n"/>
      <c r="CW69" s="362" t="n"/>
      <c r="CX69" s="363" t="n"/>
      <c r="CZ69" s="361" t="inlineStr">
        <is>
          <t>所要時間　作業者3</t>
        </is>
      </c>
      <c r="DA69" s="362" t="n"/>
      <c r="DB69" s="362" t="n"/>
      <c r="DC69" s="362" t="n"/>
      <c r="DD69" s="362" t="n"/>
      <c r="DE69" s="362" t="n"/>
      <c r="DF69" s="362" t="n"/>
      <c r="DG69" s="362" t="n"/>
      <c r="DH69" s="363" t="n"/>
      <c r="DJ69" s="361" t="inlineStr">
        <is>
          <t>所要時間　作業者4</t>
        </is>
      </c>
      <c r="DK69" s="362" t="n"/>
      <c r="DL69" s="362" t="n"/>
      <c r="DM69" s="362" t="n"/>
      <c r="DN69" s="362" t="n"/>
      <c r="DO69" s="362" t="n"/>
      <c r="DP69" s="362" t="n"/>
      <c r="DQ69" s="362" t="n"/>
      <c r="DR69" s="363" t="n"/>
      <c r="DT69" s="361" t="inlineStr">
        <is>
          <t>所要時間　作業者5</t>
        </is>
      </c>
      <c r="DU69" s="362" t="n"/>
      <c r="DV69" s="362" t="n"/>
      <c r="DW69" s="362" t="n"/>
      <c r="DX69" s="362" t="n"/>
      <c r="DY69" s="362" t="n"/>
      <c r="DZ69" s="362" t="n"/>
      <c r="EA69" s="362" t="n"/>
      <c r="EB69" s="363" t="n"/>
    </row>
    <row r="70" ht="14.1" customHeight="1" s="337">
      <c r="B70" s="353" t="n"/>
      <c r="C70" s="339" t="n"/>
      <c r="D70" s="364" t="n"/>
      <c r="E70" s="365" t="n"/>
      <c r="F70" s="339" t="n"/>
      <c r="G70" s="364" t="n"/>
      <c r="H70" s="365" t="n"/>
      <c r="I70" s="339" t="n"/>
      <c r="J70" s="364" t="n"/>
      <c r="K70" s="365" t="n"/>
      <c r="L70" s="339" t="n"/>
      <c r="M70" s="364" t="n"/>
      <c r="N70" s="365" t="n"/>
      <c r="O70" s="339" t="n"/>
      <c r="P70" s="364" t="n"/>
      <c r="Q70" s="365" t="n"/>
      <c r="R70" s="339" t="n"/>
      <c r="S70" s="364" t="n"/>
      <c r="T70" s="365" t="n"/>
      <c r="U70" s="339" t="n"/>
      <c r="V70" s="364" t="n"/>
      <c r="W70" s="365" t="n"/>
      <c r="X70" s="339" t="n"/>
      <c r="Y70" s="339" t="n"/>
      <c r="Z70" s="339" t="n"/>
      <c r="AA70" s="339" t="n"/>
      <c r="AB70" s="339" t="n"/>
      <c r="AC70" s="339" t="n"/>
      <c r="AD70" s="339" t="n"/>
      <c r="AE70" s="339" t="n"/>
      <c r="AF70" s="339" t="n"/>
      <c r="AG70" s="339" t="n"/>
      <c r="AH70" s="339" t="n"/>
      <c r="AI70" s="339" t="n"/>
      <c r="AJ70" s="339" t="n"/>
      <c r="AK70" s="339" t="n"/>
      <c r="AL70" s="339" t="n"/>
      <c r="AM70" s="339" t="n"/>
      <c r="AN70" s="339" t="n"/>
      <c r="AO70" s="339" t="n"/>
      <c r="AP70" s="339" t="n"/>
      <c r="AQ70" s="339" t="n"/>
      <c r="AR70" s="339" t="n"/>
      <c r="AS70" s="339" t="n"/>
      <c r="AT70" s="339" t="n"/>
      <c r="AU70" s="339" t="n"/>
      <c r="AV70" s="339" t="n"/>
      <c r="AW70" s="339" t="n"/>
      <c r="AX70" s="339" t="n"/>
      <c r="AY70" s="339" t="n"/>
      <c r="AZ70" s="339" t="n"/>
      <c r="BA70" s="339" t="n"/>
      <c r="BB70" s="339" t="n"/>
      <c r="BC70" s="339" t="n"/>
      <c r="BD70" s="339" t="n"/>
      <c r="BE70" s="339" t="n"/>
      <c r="BF70" s="339" t="n"/>
      <c r="BG70" s="339" t="n"/>
      <c r="BH70" s="339" t="n"/>
      <c r="BI70" s="339" t="n"/>
      <c r="BJ70" s="339" t="n"/>
      <c r="BK70" s="339" t="n"/>
      <c r="BL70" s="339" t="n"/>
      <c r="BM70" s="339" t="n"/>
      <c r="BN70" s="339" t="n"/>
      <c r="BO70" s="339" t="n"/>
      <c r="BP70" s="339" t="n"/>
      <c r="BQ70" s="339" t="n"/>
      <c r="BR70" s="339" t="n"/>
      <c r="BS70" s="339" t="n"/>
      <c r="BT70" s="339" t="n"/>
      <c r="BU70" s="339" t="n"/>
      <c r="BV70" s="339" t="n"/>
      <c r="BW70" s="339" t="n"/>
      <c r="BX70" s="339" t="n"/>
      <c r="BY70" s="339" t="n"/>
      <c r="BZ70" s="339" t="n"/>
      <c r="CA70" s="339" t="n"/>
      <c r="CB70" s="339" t="n"/>
      <c r="CC70" s="354" t="n"/>
      <c r="CF70" s="366" t="n"/>
      <c r="CG70" s="367" t="n"/>
      <c r="CH70" s="367" t="n"/>
      <c r="CI70" s="367" t="n"/>
      <c r="CJ70" s="367" t="n"/>
      <c r="CK70" s="367" t="n"/>
      <c r="CL70" s="367" t="n"/>
      <c r="CM70" s="367" t="n"/>
      <c r="CN70" s="368" t="n"/>
      <c r="CP70" s="366" t="n"/>
      <c r="CQ70" s="367" t="n"/>
      <c r="CR70" s="367" t="n"/>
      <c r="CS70" s="367" t="n"/>
      <c r="CT70" s="367" t="n"/>
      <c r="CU70" s="367" t="n"/>
      <c r="CV70" s="367" t="n"/>
      <c r="CW70" s="367" t="n"/>
      <c r="CX70" s="368" t="n"/>
      <c r="CZ70" s="366" t="n"/>
      <c r="DA70" s="367" t="n"/>
      <c r="DB70" s="367" t="n"/>
      <c r="DC70" s="367" t="n"/>
      <c r="DD70" s="367" t="n"/>
      <c r="DE70" s="367" t="n"/>
      <c r="DF70" s="367" t="n"/>
      <c r="DG70" s="367" t="n"/>
      <c r="DH70" s="368" t="n"/>
      <c r="DJ70" s="366" t="n"/>
      <c r="DK70" s="367" t="n"/>
      <c r="DL70" s="367" t="n"/>
      <c r="DM70" s="367" t="n"/>
      <c r="DN70" s="367" t="n"/>
      <c r="DO70" s="367" t="n"/>
      <c r="DP70" s="367" t="n"/>
      <c r="DQ70" s="367" t="n"/>
      <c r="DR70" s="368" t="n"/>
      <c r="DT70" s="366" t="n"/>
      <c r="DU70" s="367" t="n"/>
      <c r="DV70" s="367" t="n"/>
      <c r="DW70" s="367" t="n"/>
      <c r="DX70" s="367" t="n"/>
      <c r="DY70" s="367" t="n"/>
      <c r="DZ70" s="367" t="n"/>
      <c r="EA70" s="367" t="n"/>
      <c r="EB70" s="368" t="n"/>
    </row>
    <row r="71" ht="9" customHeight="1" s="337">
      <c r="B71" s="369" t="n"/>
      <c r="C71" s="342" t="n"/>
      <c r="D71" s="356" t="n"/>
      <c r="E71" s="370" t="n"/>
      <c r="F71" s="342" t="n"/>
      <c r="G71" s="356" t="n"/>
      <c r="H71" s="370" t="n"/>
      <c r="I71" s="342" t="n"/>
      <c r="J71" s="356" t="n"/>
      <c r="K71" s="370" t="n"/>
      <c r="L71" s="342" t="n"/>
      <c r="M71" s="356" t="n"/>
      <c r="N71" s="370" t="n"/>
      <c r="O71" s="342" t="n"/>
      <c r="P71" s="356" t="n"/>
      <c r="Q71" s="448" t="n"/>
      <c r="R71" s="342" t="n"/>
      <c r="S71" s="356" t="n"/>
      <c r="T71" s="374" t="n"/>
      <c r="U71" s="342" t="n"/>
      <c r="V71" s="356" t="n"/>
      <c r="W71" s="442" t="n"/>
      <c r="X71" s="338" t="n"/>
      <c r="Y71" s="338" t="n"/>
      <c r="Z71" s="338" t="n"/>
      <c r="AA71" s="338" t="n"/>
      <c r="AB71" s="338" t="n"/>
      <c r="AC71" s="338" t="n"/>
      <c r="AD71" s="338" t="n"/>
      <c r="AE71" s="338" t="n"/>
      <c r="AF71" s="338" t="n"/>
      <c r="AG71" s="338" t="n"/>
      <c r="AH71" s="338" t="n"/>
      <c r="AI71" s="338" t="n"/>
      <c r="AJ71" s="338" t="n"/>
      <c r="AK71" s="338" t="n"/>
      <c r="AL71" s="338" t="n"/>
      <c r="AM71" s="338" t="n"/>
      <c r="AN71" s="338" t="n"/>
      <c r="AO71" s="338" t="n"/>
      <c r="AP71" s="338" t="n"/>
      <c r="AQ71" s="338" t="n"/>
      <c r="AR71" s="338" t="n"/>
      <c r="AS71" s="338" t="n"/>
      <c r="AT71" s="338" t="n"/>
      <c r="AU71" s="338" t="n"/>
      <c r="AV71" s="338" t="n"/>
      <c r="AW71" s="338" t="n"/>
      <c r="AX71" s="338" t="n"/>
      <c r="AY71" s="338" t="n"/>
      <c r="AZ71" s="338" t="n"/>
      <c r="BA71" s="338" t="n"/>
      <c r="BB71" s="338" t="n"/>
      <c r="BC71" s="338" t="n"/>
      <c r="BD71" s="338" t="n"/>
      <c r="BE71" s="338" t="n"/>
      <c r="BF71" s="338" t="n"/>
      <c r="BG71" s="338" t="n"/>
      <c r="BH71" s="338" t="n"/>
      <c r="BI71" s="338" t="n"/>
      <c r="BJ71" s="338" t="n"/>
      <c r="BK71" s="338" t="n"/>
      <c r="BL71" s="338" t="n"/>
      <c r="BM71" s="338" t="n"/>
      <c r="BN71" s="338" t="n"/>
      <c r="BO71" s="338" t="n"/>
      <c r="BP71" s="338" t="n"/>
      <c r="BQ71" s="338" t="n"/>
      <c r="BR71" s="338" t="n"/>
      <c r="BS71" s="338" t="n"/>
      <c r="BT71" s="338" t="n"/>
      <c r="BU71" s="338" t="n"/>
      <c r="BV71" s="338" t="n"/>
      <c r="BW71" s="338" t="n"/>
      <c r="BX71" s="338" t="n"/>
      <c r="BY71" s="338" t="n"/>
      <c r="BZ71" s="338" t="n"/>
      <c r="CA71" s="338" t="n"/>
      <c r="CB71" s="338" t="n"/>
      <c r="CC71" s="383" t="n"/>
      <c r="CF71" s="248" t="inlineStr">
        <is>
          <t>移動</t>
        </is>
      </c>
      <c r="CG71" s="377" t="n"/>
      <c r="CH71" s="377" t="n"/>
      <c r="CI71" s="378" t="n"/>
      <c r="CJ71" s="379">
        <f>IF(Q71="作業者1",E74-E71,0)</f>
        <v/>
      </c>
      <c r="CK71" s="377" t="n"/>
      <c r="CL71" s="377" t="n"/>
      <c r="CM71" s="377" t="n"/>
      <c r="CN71" s="378" t="n"/>
      <c r="CP71" s="248" t="inlineStr">
        <is>
          <t>移動</t>
        </is>
      </c>
      <c r="CQ71" s="377" t="n"/>
      <c r="CR71" s="377" t="n"/>
      <c r="CS71" s="378" t="n"/>
      <c r="CT71" s="379">
        <f>IF(Q71="作業者2",E74-E71,0)</f>
        <v/>
      </c>
      <c r="CU71" s="377" t="n"/>
      <c r="CV71" s="377" t="n"/>
      <c r="CW71" s="377" t="n"/>
      <c r="CX71" s="378" t="n"/>
      <c r="CZ71" s="248" t="inlineStr">
        <is>
          <t>移動</t>
        </is>
      </c>
      <c r="DA71" s="377" t="n"/>
      <c r="DB71" s="377" t="n"/>
      <c r="DC71" s="378" t="n"/>
      <c r="DD71" s="379">
        <f>IF(Q71="作業者3",E74-E71,0)</f>
        <v/>
      </c>
      <c r="DE71" s="377" t="n"/>
      <c r="DF71" s="377" t="n"/>
      <c r="DG71" s="377" t="n"/>
      <c r="DH71" s="378" t="n"/>
      <c r="DJ71" s="248" t="inlineStr">
        <is>
          <t>移動</t>
        </is>
      </c>
      <c r="DK71" s="377" t="n"/>
      <c r="DL71" s="377" t="n"/>
      <c r="DM71" s="378" t="n"/>
      <c r="DN71" s="379">
        <f>IF(Q71="作業者4",E74-E71,0)</f>
        <v/>
      </c>
      <c r="DO71" s="377" t="n"/>
      <c r="DP71" s="377" t="n"/>
      <c r="DQ71" s="377" t="n"/>
      <c r="DR71" s="378" t="n"/>
      <c r="DT71" s="248" t="inlineStr">
        <is>
          <t>移動</t>
        </is>
      </c>
      <c r="DU71" s="377" t="n"/>
      <c r="DV71" s="377" t="n"/>
      <c r="DW71" s="378" t="n"/>
      <c r="DX71" s="379">
        <f>IF(Q71="作業者5",E74-E71,0)</f>
        <v/>
      </c>
      <c r="DY71" s="377" t="n"/>
      <c r="DZ71" s="377" t="n"/>
      <c r="EA71" s="377" t="n"/>
      <c r="EB71" s="378" t="n"/>
    </row>
    <row r="72" ht="9" customHeight="1" s="337">
      <c r="B72" s="350" t="n"/>
      <c r="C72" s="338" t="n"/>
      <c r="D72" s="380" t="n"/>
      <c r="E72" s="381" t="n"/>
      <c r="F72" s="122" t="inlineStr">
        <is>
          <t>～</t>
        </is>
      </c>
      <c r="G72" s="22" t="n"/>
      <c r="H72" s="381" t="n"/>
      <c r="I72" s="122" t="inlineStr">
        <is>
          <t>～</t>
        </is>
      </c>
      <c r="J72" s="22" t="n"/>
      <c r="K72" s="381" t="n"/>
      <c r="L72" s="122" t="inlineStr">
        <is>
          <t>～</t>
        </is>
      </c>
      <c r="M72" s="22" t="n"/>
      <c r="N72" s="381" t="n"/>
      <c r="O72" s="122" t="inlineStr">
        <is>
          <t>～</t>
        </is>
      </c>
      <c r="P72" s="22" t="n"/>
      <c r="Q72" s="382" t="n"/>
      <c r="R72" s="338" t="n"/>
      <c r="S72" s="380" t="n"/>
      <c r="T72" s="382" t="n"/>
      <c r="U72" s="338" t="n"/>
      <c r="V72" s="380" t="n"/>
      <c r="W72" s="382" t="n"/>
      <c r="X72" s="338" t="n"/>
      <c r="Y72" s="338" t="n"/>
      <c r="Z72" s="338" t="n"/>
      <c r="AA72" s="338" t="n"/>
      <c r="AB72" s="338" t="n"/>
      <c r="AC72" s="338" t="n"/>
      <c r="AD72" s="338" t="n"/>
      <c r="AE72" s="338" t="n"/>
      <c r="AF72" s="338" t="n"/>
      <c r="AG72" s="338" t="n"/>
      <c r="AH72" s="338" t="n"/>
      <c r="AI72" s="338" t="n"/>
      <c r="AJ72" s="338" t="n"/>
      <c r="AK72" s="338" t="n"/>
      <c r="AL72" s="338" t="n"/>
      <c r="AM72" s="338" t="n"/>
      <c r="AN72" s="338" t="n"/>
      <c r="AO72" s="338" t="n"/>
      <c r="AP72" s="338" t="n"/>
      <c r="AQ72" s="338" t="n"/>
      <c r="AR72" s="338" t="n"/>
      <c r="AS72" s="338" t="n"/>
      <c r="AT72" s="338" t="n"/>
      <c r="AU72" s="338" t="n"/>
      <c r="AV72" s="338" t="n"/>
      <c r="AW72" s="338" t="n"/>
      <c r="AX72" s="338" t="n"/>
      <c r="AY72" s="338" t="n"/>
      <c r="AZ72" s="338" t="n"/>
      <c r="BA72" s="338" t="n"/>
      <c r="BB72" s="338" t="n"/>
      <c r="BC72" s="338" t="n"/>
      <c r="BD72" s="338" t="n"/>
      <c r="BE72" s="338" t="n"/>
      <c r="BF72" s="338" t="n"/>
      <c r="BG72" s="338" t="n"/>
      <c r="BH72" s="338" t="n"/>
      <c r="BI72" s="338" t="n"/>
      <c r="BJ72" s="338" t="n"/>
      <c r="BK72" s="338" t="n"/>
      <c r="BL72" s="338" t="n"/>
      <c r="BM72" s="338" t="n"/>
      <c r="BN72" s="338" t="n"/>
      <c r="BO72" s="338" t="n"/>
      <c r="BP72" s="338" t="n"/>
      <c r="BQ72" s="338" t="n"/>
      <c r="BR72" s="338" t="n"/>
      <c r="BS72" s="338" t="n"/>
      <c r="BT72" s="338" t="n"/>
      <c r="BU72" s="338" t="n"/>
      <c r="BV72" s="338" t="n"/>
      <c r="BW72" s="338" t="n"/>
      <c r="BX72" s="338" t="n"/>
      <c r="BY72" s="338" t="n"/>
      <c r="BZ72" s="338" t="n"/>
      <c r="CA72" s="338" t="n"/>
      <c r="CB72" s="338" t="n"/>
      <c r="CC72" s="383" t="n"/>
      <c r="CF72" s="253" t="inlineStr">
        <is>
          <t>時間内</t>
        </is>
      </c>
      <c r="CG72" s="384" t="n"/>
      <c r="CH72" s="384" t="n"/>
      <c r="CI72" s="385" t="n"/>
      <c r="CJ72" s="386">
        <f>IF(Q71="作業者1",H74-H71,0)</f>
        <v/>
      </c>
      <c r="CK72" s="387" t="n"/>
      <c r="CL72" s="387" t="n"/>
      <c r="CM72" s="387" t="n"/>
      <c r="CN72" s="388" t="n"/>
      <c r="CP72" s="253" t="inlineStr">
        <is>
          <t>時間内</t>
        </is>
      </c>
      <c r="CQ72" s="384" t="n"/>
      <c r="CR72" s="384" t="n"/>
      <c r="CS72" s="385" t="n"/>
      <c r="CT72" s="386">
        <f>IF(Q71="作業者2",H74-H71,0)</f>
        <v/>
      </c>
      <c r="CU72" s="387" t="n"/>
      <c r="CV72" s="387" t="n"/>
      <c r="CW72" s="387" t="n"/>
      <c r="CX72" s="388" t="n"/>
      <c r="CZ72" s="253" t="inlineStr">
        <is>
          <t>時間内</t>
        </is>
      </c>
      <c r="DA72" s="384" t="n"/>
      <c r="DB72" s="384" t="n"/>
      <c r="DC72" s="385" t="n"/>
      <c r="DD72" s="386">
        <f>IF(Q71="作業者3",H74-H71,0)</f>
        <v/>
      </c>
      <c r="DE72" s="387" t="n"/>
      <c r="DF72" s="387" t="n"/>
      <c r="DG72" s="387" t="n"/>
      <c r="DH72" s="388" t="n"/>
      <c r="DJ72" s="253" t="inlineStr">
        <is>
          <t>時間内</t>
        </is>
      </c>
      <c r="DK72" s="384" t="n"/>
      <c r="DL72" s="384" t="n"/>
      <c r="DM72" s="385" t="n"/>
      <c r="DN72" s="386">
        <f>IF(Q71="作業者4",H74-H71,0)</f>
        <v/>
      </c>
      <c r="DO72" s="387" t="n"/>
      <c r="DP72" s="387" t="n"/>
      <c r="DQ72" s="387" t="n"/>
      <c r="DR72" s="388" t="n"/>
      <c r="DT72" s="253" t="inlineStr">
        <is>
          <t>時間内</t>
        </is>
      </c>
      <c r="DU72" s="384" t="n"/>
      <c r="DV72" s="384" t="n"/>
      <c r="DW72" s="385" t="n"/>
      <c r="DX72" s="386">
        <f>IF(Q71="作業者5",H74-H71,0)</f>
        <v/>
      </c>
      <c r="DY72" s="387" t="n"/>
      <c r="DZ72" s="387" t="n"/>
      <c r="EA72" s="387" t="n"/>
      <c r="EB72" s="388" t="n"/>
    </row>
    <row r="73" ht="9" customHeight="1" s="337">
      <c r="B73" s="350" t="n"/>
      <c r="C73" s="338" t="n"/>
      <c r="D73" s="380" t="n"/>
      <c r="E73" s="23" t="n"/>
      <c r="F73" s="338" t="n"/>
      <c r="G73" s="24" t="n"/>
      <c r="H73" s="23" t="n"/>
      <c r="I73" s="338" t="n"/>
      <c r="J73" s="24" t="n"/>
      <c r="K73" s="23" t="n"/>
      <c r="L73" s="338" t="n"/>
      <c r="M73" s="24" t="n"/>
      <c r="N73" s="23" t="n"/>
      <c r="O73" s="338" t="n"/>
      <c r="P73" s="24" t="n"/>
      <c r="Q73" s="382" t="n"/>
      <c r="R73" s="338" t="n"/>
      <c r="S73" s="380" t="n"/>
      <c r="T73" s="382" t="n"/>
      <c r="U73" s="338" t="n"/>
      <c r="V73" s="380" t="n"/>
      <c r="W73" s="382" t="n"/>
      <c r="X73" s="338" t="n"/>
      <c r="Y73" s="338" t="n"/>
      <c r="Z73" s="338" t="n"/>
      <c r="AA73" s="338" t="n"/>
      <c r="AB73" s="338" t="n"/>
      <c r="AC73" s="338" t="n"/>
      <c r="AD73" s="338" t="n"/>
      <c r="AE73" s="338" t="n"/>
      <c r="AF73" s="338" t="n"/>
      <c r="AG73" s="338" t="n"/>
      <c r="AH73" s="338" t="n"/>
      <c r="AI73" s="338" t="n"/>
      <c r="AJ73" s="338" t="n"/>
      <c r="AK73" s="338" t="n"/>
      <c r="AL73" s="338" t="n"/>
      <c r="AM73" s="338" t="n"/>
      <c r="AN73" s="338" t="n"/>
      <c r="AO73" s="338" t="n"/>
      <c r="AP73" s="338" t="n"/>
      <c r="AQ73" s="338" t="n"/>
      <c r="AR73" s="338" t="n"/>
      <c r="AS73" s="338" t="n"/>
      <c r="AT73" s="338" t="n"/>
      <c r="AU73" s="338" t="n"/>
      <c r="AV73" s="338" t="n"/>
      <c r="AW73" s="338" t="n"/>
      <c r="AX73" s="338" t="n"/>
      <c r="AY73" s="338" t="n"/>
      <c r="AZ73" s="338" t="n"/>
      <c r="BA73" s="338" t="n"/>
      <c r="BB73" s="338" t="n"/>
      <c r="BC73" s="338" t="n"/>
      <c r="BD73" s="338" t="n"/>
      <c r="BE73" s="338" t="n"/>
      <c r="BF73" s="338" t="n"/>
      <c r="BG73" s="338" t="n"/>
      <c r="BH73" s="338" t="n"/>
      <c r="BI73" s="338" t="n"/>
      <c r="BJ73" s="338" t="n"/>
      <c r="BK73" s="338" t="n"/>
      <c r="BL73" s="338" t="n"/>
      <c r="BM73" s="338" t="n"/>
      <c r="BN73" s="338" t="n"/>
      <c r="BO73" s="338" t="n"/>
      <c r="BP73" s="338" t="n"/>
      <c r="BQ73" s="338" t="n"/>
      <c r="BR73" s="338" t="n"/>
      <c r="BS73" s="338" t="n"/>
      <c r="BT73" s="338" t="n"/>
      <c r="BU73" s="338" t="n"/>
      <c r="BV73" s="338" t="n"/>
      <c r="BW73" s="338" t="n"/>
      <c r="BX73" s="338" t="n"/>
      <c r="BY73" s="338" t="n"/>
      <c r="BZ73" s="338" t="n"/>
      <c r="CA73" s="338" t="n"/>
      <c r="CB73" s="338" t="n"/>
      <c r="CC73" s="383" t="n"/>
      <c r="CF73" s="253" t="inlineStr">
        <is>
          <t>時間外</t>
        </is>
      </c>
      <c r="CG73" s="384" t="n"/>
      <c r="CH73" s="384" t="n"/>
      <c r="CI73" s="385" t="n"/>
      <c r="CJ73" s="386">
        <f>IF(Q71="作業者1",K74-K71,0)</f>
        <v/>
      </c>
      <c r="CK73" s="387" t="n"/>
      <c r="CL73" s="387" t="n"/>
      <c r="CM73" s="387" t="n"/>
      <c r="CN73" s="388" t="n"/>
      <c r="CP73" s="253" t="inlineStr">
        <is>
          <t>時間外</t>
        </is>
      </c>
      <c r="CQ73" s="384" t="n"/>
      <c r="CR73" s="384" t="n"/>
      <c r="CS73" s="385" t="n"/>
      <c r="CT73" s="386">
        <f>IF(Q71="作業者2",K74-K71,0)</f>
        <v/>
      </c>
      <c r="CU73" s="387" t="n"/>
      <c r="CV73" s="387" t="n"/>
      <c r="CW73" s="387" t="n"/>
      <c r="CX73" s="388" t="n"/>
      <c r="CZ73" s="253" t="inlineStr">
        <is>
          <t>時間外</t>
        </is>
      </c>
      <c r="DA73" s="384" t="n"/>
      <c r="DB73" s="384" t="n"/>
      <c r="DC73" s="385" t="n"/>
      <c r="DD73" s="386">
        <f>IF(Q71="作業者3",K74-K71,0)</f>
        <v/>
      </c>
      <c r="DE73" s="387" t="n"/>
      <c r="DF73" s="387" t="n"/>
      <c r="DG73" s="387" t="n"/>
      <c r="DH73" s="388" t="n"/>
      <c r="DJ73" s="253" t="inlineStr">
        <is>
          <t>時間外</t>
        </is>
      </c>
      <c r="DK73" s="384" t="n"/>
      <c r="DL73" s="384" t="n"/>
      <c r="DM73" s="385" t="n"/>
      <c r="DN73" s="386">
        <f>IF(Q71="作業者4",K74-K71,0)</f>
        <v/>
      </c>
      <c r="DO73" s="387" t="n"/>
      <c r="DP73" s="387" t="n"/>
      <c r="DQ73" s="387" t="n"/>
      <c r="DR73" s="388" t="n"/>
      <c r="DT73" s="253" t="inlineStr">
        <is>
          <t>時間外</t>
        </is>
      </c>
      <c r="DU73" s="384" t="n"/>
      <c r="DV73" s="384" t="n"/>
      <c r="DW73" s="385" t="n"/>
      <c r="DX73" s="386">
        <f>IF(Q71="作業者5",K74-K71,0)</f>
        <v/>
      </c>
      <c r="DY73" s="387" t="n"/>
      <c r="DZ73" s="387" t="n"/>
      <c r="EA73" s="387" t="n"/>
      <c r="EB73" s="388" t="n"/>
    </row>
    <row r="74" ht="9" customHeight="1" s="337">
      <c r="B74" s="389" t="n"/>
      <c r="C74" s="390" t="n"/>
      <c r="D74" s="391" t="n"/>
      <c r="E74" s="392" t="n"/>
      <c r="F74" s="390" t="n"/>
      <c r="G74" s="391" t="n"/>
      <c r="H74" s="392" t="n"/>
      <c r="I74" s="390" t="n"/>
      <c r="J74" s="391" t="n"/>
      <c r="K74" s="392" t="n"/>
      <c r="L74" s="390" t="n"/>
      <c r="M74" s="391" t="n"/>
      <c r="N74" s="392" t="n"/>
      <c r="O74" s="390" t="n"/>
      <c r="P74" s="391" t="n"/>
      <c r="Q74" s="382" t="n"/>
      <c r="R74" s="338" t="n"/>
      <c r="S74" s="380" t="n"/>
      <c r="T74" s="393" t="n"/>
      <c r="U74" s="390" t="n"/>
      <c r="V74" s="391" t="n"/>
      <c r="W74" s="393" t="n"/>
      <c r="X74" s="390" t="n"/>
      <c r="Y74" s="390" t="n"/>
      <c r="Z74" s="390" t="n"/>
      <c r="AA74" s="390" t="n"/>
      <c r="AB74" s="390" t="n"/>
      <c r="AC74" s="390" t="n"/>
      <c r="AD74" s="390" t="n"/>
      <c r="AE74" s="390" t="n"/>
      <c r="AF74" s="390" t="n"/>
      <c r="AG74" s="390" t="n"/>
      <c r="AH74" s="390" t="n"/>
      <c r="AI74" s="390" t="n"/>
      <c r="AJ74" s="390" t="n"/>
      <c r="AK74" s="390" t="n"/>
      <c r="AL74" s="390" t="n"/>
      <c r="AM74" s="390" t="n"/>
      <c r="AN74" s="390" t="n"/>
      <c r="AO74" s="390" t="n"/>
      <c r="AP74" s="390" t="n"/>
      <c r="AQ74" s="390" t="n"/>
      <c r="AR74" s="390" t="n"/>
      <c r="AS74" s="390" t="n"/>
      <c r="AT74" s="390" t="n"/>
      <c r="AU74" s="390" t="n"/>
      <c r="AV74" s="390" t="n"/>
      <c r="AW74" s="390" t="n"/>
      <c r="AX74" s="390" t="n"/>
      <c r="AY74" s="390" t="n"/>
      <c r="AZ74" s="390" t="n"/>
      <c r="BA74" s="390" t="n"/>
      <c r="BB74" s="390" t="n"/>
      <c r="BC74" s="390" t="n"/>
      <c r="BD74" s="390" t="n"/>
      <c r="BE74" s="390" t="n"/>
      <c r="BF74" s="390" t="n"/>
      <c r="BG74" s="390" t="n"/>
      <c r="BH74" s="390" t="n"/>
      <c r="BI74" s="390" t="n"/>
      <c r="BJ74" s="390" t="n"/>
      <c r="BK74" s="390" t="n"/>
      <c r="BL74" s="390" t="n"/>
      <c r="BM74" s="390" t="n"/>
      <c r="BN74" s="390" t="n"/>
      <c r="BO74" s="390" t="n"/>
      <c r="BP74" s="390" t="n"/>
      <c r="BQ74" s="390" t="n"/>
      <c r="BR74" s="390" t="n"/>
      <c r="BS74" s="390" t="n"/>
      <c r="BT74" s="390" t="n"/>
      <c r="BU74" s="390" t="n"/>
      <c r="BV74" s="390" t="n"/>
      <c r="BW74" s="390" t="n"/>
      <c r="BX74" s="390" t="n"/>
      <c r="BY74" s="390" t="n"/>
      <c r="BZ74" s="390" t="n"/>
      <c r="CA74" s="390" t="n"/>
      <c r="CB74" s="390" t="n"/>
      <c r="CC74" s="394" t="n"/>
      <c r="CF74" s="254" t="inlineStr">
        <is>
          <t>休日</t>
        </is>
      </c>
      <c r="CG74" s="395" t="n"/>
      <c r="CH74" s="395" t="n"/>
      <c r="CI74" s="396" t="n"/>
      <c r="CJ74" s="386">
        <f>IF(Q71="作業者1",N74-N71,0)</f>
        <v/>
      </c>
      <c r="CK74" s="387" t="n"/>
      <c r="CL74" s="387" t="n"/>
      <c r="CM74" s="387" t="n"/>
      <c r="CN74" s="388" t="n"/>
      <c r="CP74" s="253" t="inlineStr">
        <is>
          <t>休日</t>
        </is>
      </c>
      <c r="CQ74" s="384" t="n"/>
      <c r="CR74" s="384" t="n"/>
      <c r="CS74" s="385" t="n"/>
      <c r="CT74" s="386">
        <f>IF(Q71="作業者2",N74-N71,0)</f>
        <v/>
      </c>
      <c r="CU74" s="387" t="n"/>
      <c r="CV74" s="387" t="n"/>
      <c r="CW74" s="387" t="n"/>
      <c r="CX74" s="388" t="n"/>
      <c r="CZ74" s="254" t="inlineStr">
        <is>
          <t>休日</t>
        </is>
      </c>
      <c r="DA74" s="395" t="n"/>
      <c r="DB74" s="395" t="n"/>
      <c r="DC74" s="396" t="n"/>
      <c r="DD74" s="397">
        <f>IF(Q71="作業者3",N74-N71,0)</f>
        <v/>
      </c>
      <c r="DE74" s="395" t="n"/>
      <c r="DF74" s="395" t="n"/>
      <c r="DG74" s="395" t="n"/>
      <c r="DH74" s="396" t="n"/>
      <c r="DJ74" s="254" t="inlineStr">
        <is>
          <t>休日</t>
        </is>
      </c>
      <c r="DK74" s="395" t="n"/>
      <c r="DL74" s="395" t="n"/>
      <c r="DM74" s="396" t="n"/>
      <c r="DN74" s="397">
        <f>IF(Q71="作業者4",N74-N71,0)</f>
        <v/>
      </c>
      <c r="DO74" s="395" t="n"/>
      <c r="DP74" s="395" t="n"/>
      <c r="DQ74" s="395" t="n"/>
      <c r="DR74" s="396" t="n"/>
      <c r="DT74" s="254" t="inlineStr">
        <is>
          <t>休日</t>
        </is>
      </c>
      <c r="DU74" s="395" t="n"/>
      <c r="DV74" s="395" t="n"/>
      <c r="DW74" s="396" t="n"/>
      <c r="DX74" s="397">
        <f>IF(Q71="作業者5",N74-N71,0)</f>
        <v/>
      </c>
      <c r="DY74" s="395" t="n"/>
      <c r="DZ74" s="395" t="n"/>
      <c r="EA74" s="395" t="n"/>
      <c r="EB74" s="396" t="n"/>
    </row>
    <row r="75" ht="9" customHeight="1" s="337">
      <c r="B75" s="398" t="n"/>
      <c r="C75" s="372" t="n"/>
      <c r="D75" s="373" t="n"/>
      <c r="E75" s="399" t="n"/>
      <c r="F75" s="372" t="n"/>
      <c r="G75" s="373" t="n"/>
      <c r="H75" s="399" t="n"/>
      <c r="I75" s="372" t="n"/>
      <c r="J75" s="373" t="n"/>
      <c r="K75" s="399" t="n"/>
      <c r="L75" s="372" t="n"/>
      <c r="M75" s="373" t="n"/>
      <c r="N75" s="399" t="n"/>
      <c r="O75" s="372" t="n"/>
      <c r="P75" s="373" t="n"/>
      <c r="Q75" s="371" t="n"/>
      <c r="R75" s="372" t="n"/>
      <c r="S75" s="373" t="n"/>
      <c r="T75" s="371" t="n"/>
      <c r="U75" s="372" t="n"/>
      <c r="V75" s="373" t="n"/>
      <c r="W75" s="443" t="n"/>
      <c r="X75" s="372" t="n"/>
      <c r="Y75" s="372" t="n"/>
      <c r="Z75" s="372" t="n"/>
      <c r="AA75" s="372" t="n"/>
      <c r="AB75" s="372" t="n"/>
      <c r="AC75" s="372" t="n"/>
      <c r="AD75" s="372" t="n"/>
      <c r="AE75" s="372" t="n"/>
      <c r="AF75" s="372" t="n"/>
      <c r="AG75" s="372" t="n"/>
      <c r="AH75" s="372" t="n"/>
      <c r="AI75" s="372" t="n"/>
      <c r="AJ75" s="372" t="n"/>
      <c r="AK75" s="372" t="n"/>
      <c r="AL75" s="372" t="n"/>
      <c r="AM75" s="372" t="n"/>
      <c r="AN75" s="372" t="n"/>
      <c r="AO75" s="372" t="n"/>
      <c r="AP75" s="372" t="n"/>
      <c r="AQ75" s="372" t="n"/>
      <c r="AR75" s="372" t="n"/>
      <c r="AS75" s="372" t="n"/>
      <c r="AT75" s="372" t="n"/>
      <c r="AU75" s="372" t="n"/>
      <c r="AV75" s="372" t="n"/>
      <c r="AW75" s="372" t="n"/>
      <c r="AX75" s="372" t="n"/>
      <c r="AY75" s="372" t="n"/>
      <c r="AZ75" s="372" t="n"/>
      <c r="BA75" s="372" t="n"/>
      <c r="BB75" s="372" t="n"/>
      <c r="BC75" s="372" t="n"/>
      <c r="BD75" s="372" t="n"/>
      <c r="BE75" s="372" t="n"/>
      <c r="BF75" s="372" t="n"/>
      <c r="BG75" s="372" t="n"/>
      <c r="BH75" s="372" t="n"/>
      <c r="BI75" s="372" t="n"/>
      <c r="BJ75" s="372" t="n"/>
      <c r="BK75" s="372" t="n"/>
      <c r="BL75" s="372" t="n"/>
      <c r="BM75" s="372" t="n"/>
      <c r="BN75" s="372" t="n"/>
      <c r="BO75" s="372" t="n"/>
      <c r="BP75" s="372" t="n"/>
      <c r="BQ75" s="372" t="n"/>
      <c r="BR75" s="372" t="n"/>
      <c r="BS75" s="372" t="n"/>
      <c r="BT75" s="372" t="n"/>
      <c r="BU75" s="372" t="n"/>
      <c r="BV75" s="372" t="n"/>
      <c r="BW75" s="372" t="n"/>
      <c r="BX75" s="372" t="n"/>
      <c r="BY75" s="372" t="n"/>
      <c r="BZ75" s="372" t="n"/>
      <c r="CA75" s="372" t="n"/>
      <c r="CB75" s="372" t="n"/>
      <c r="CC75" s="402" t="n"/>
      <c r="CF75" s="259" t="inlineStr">
        <is>
          <t>移動</t>
        </is>
      </c>
      <c r="CG75" s="403" t="n"/>
      <c r="CH75" s="403" t="n"/>
      <c r="CI75" s="404" t="n"/>
      <c r="CJ75" s="379">
        <f>IF(Q75="作業者1",E78-E75,0)</f>
        <v/>
      </c>
      <c r="CK75" s="377" t="n"/>
      <c r="CL75" s="377" t="n"/>
      <c r="CM75" s="377" t="n"/>
      <c r="CN75" s="378" t="n"/>
      <c r="CP75" s="248" t="inlineStr">
        <is>
          <t>移動</t>
        </is>
      </c>
      <c r="CQ75" s="377" t="n"/>
      <c r="CR75" s="377" t="n"/>
      <c r="CS75" s="378" t="n"/>
      <c r="CT75" s="379">
        <f>IF(Q75="作業者2",E78-E75,0)</f>
        <v/>
      </c>
      <c r="CU75" s="377" t="n"/>
      <c r="CV75" s="377" t="n"/>
      <c r="CW75" s="377" t="n"/>
      <c r="CX75" s="378" t="n"/>
      <c r="CZ75" s="259" t="inlineStr">
        <is>
          <t>移動</t>
        </is>
      </c>
      <c r="DA75" s="403" t="n"/>
      <c r="DB75" s="403" t="n"/>
      <c r="DC75" s="404" t="n"/>
      <c r="DD75" s="405">
        <f>IF(Q75="作業者3",E78-E75,0)</f>
        <v/>
      </c>
      <c r="DE75" s="406" t="n"/>
      <c r="DF75" s="406" t="n"/>
      <c r="DG75" s="406" t="n"/>
      <c r="DH75" s="407" t="n"/>
      <c r="DJ75" s="259" t="inlineStr">
        <is>
          <t>移動</t>
        </is>
      </c>
      <c r="DK75" s="403" t="n"/>
      <c r="DL75" s="403" t="n"/>
      <c r="DM75" s="404" t="n"/>
      <c r="DN75" s="379">
        <f>IF(Q75="作業者4",E78-E75,0)</f>
        <v/>
      </c>
      <c r="DO75" s="377" t="n"/>
      <c r="DP75" s="377" t="n"/>
      <c r="DQ75" s="377" t="n"/>
      <c r="DR75" s="378" t="n"/>
      <c r="DT75" s="259" t="inlineStr">
        <is>
          <t>移動</t>
        </is>
      </c>
      <c r="DU75" s="403" t="n"/>
      <c r="DV75" s="403" t="n"/>
      <c r="DW75" s="404" t="n"/>
      <c r="DX75" s="379">
        <f>IF(Q75="作業者5",E78-E75,0)</f>
        <v/>
      </c>
      <c r="DY75" s="377" t="n"/>
      <c r="DZ75" s="377" t="n"/>
      <c r="EA75" s="377" t="n"/>
      <c r="EB75" s="378" t="n"/>
    </row>
    <row r="76" ht="9" customHeight="1" s="337">
      <c r="B76" s="350" t="n"/>
      <c r="C76" s="338" t="n"/>
      <c r="D76" s="380" t="n"/>
      <c r="E76" s="381" t="n"/>
      <c r="F76" s="122" t="inlineStr">
        <is>
          <t>～</t>
        </is>
      </c>
      <c r="G76" s="22" t="n"/>
      <c r="H76" s="381" t="n"/>
      <c r="I76" s="122" t="inlineStr">
        <is>
          <t>～</t>
        </is>
      </c>
      <c r="J76" s="22" t="n"/>
      <c r="K76" s="381" t="n"/>
      <c r="L76" s="122" t="inlineStr">
        <is>
          <t>～</t>
        </is>
      </c>
      <c r="M76" s="22" t="n"/>
      <c r="N76" s="381" t="n"/>
      <c r="O76" s="122" t="inlineStr">
        <is>
          <t>～</t>
        </is>
      </c>
      <c r="P76" s="22" t="n"/>
      <c r="Q76" s="382" t="n"/>
      <c r="R76" s="338" t="n"/>
      <c r="S76" s="380" t="n"/>
      <c r="T76" s="382" t="n"/>
      <c r="U76" s="338" t="n"/>
      <c r="V76" s="380" t="n"/>
      <c r="W76" s="382" t="n"/>
      <c r="X76" s="338" t="n"/>
      <c r="Y76" s="338" t="n"/>
      <c r="Z76" s="338" t="n"/>
      <c r="AA76" s="338" t="n"/>
      <c r="AB76" s="338" t="n"/>
      <c r="AC76" s="338" t="n"/>
      <c r="AD76" s="338" t="n"/>
      <c r="AE76" s="338" t="n"/>
      <c r="AF76" s="338" t="n"/>
      <c r="AG76" s="338" t="n"/>
      <c r="AH76" s="338" t="n"/>
      <c r="AI76" s="338" t="n"/>
      <c r="AJ76" s="338" t="n"/>
      <c r="AK76" s="338" t="n"/>
      <c r="AL76" s="338" t="n"/>
      <c r="AM76" s="338" t="n"/>
      <c r="AN76" s="338" t="n"/>
      <c r="AO76" s="338" t="n"/>
      <c r="AP76" s="338" t="n"/>
      <c r="AQ76" s="338" t="n"/>
      <c r="AR76" s="338" t="n"/>
      <c r="AS76" s="338" t="n"/>
      <c r="AT76" s="338" t="n"/>
      <c r="AU76" s="338" t="n"/>
      <c r="AV76" s="338" t="n"/>
      <c r="AW76" s="338" t="n"/>
      <c r="AX76" s="338" t="n"/>
      <c r="AY76" s="338" t="n"/>
      <c r="AZ76" s="338" t="n"/>
      <c r="BA76" s="338" t="n"/>
      <c r="BB76" s="338" t="n"/>
      <c r="BC76" s="338" t="n"/>
      <c r="BD76" s="338" t="n"/>
      <c r="BE76" s="338" t="n"/>
      <c r="BF76" s="338" t="n"/>
      <c r="BG76" s="338" t="n"/>
      <c r="BH76" s="338" t="n"/>
      <c r="BI76" s="338" t="n"/>
      <c r="BJ76" s="338" t="n"/>
      <c r="BK76" s="338" t="n"/>
      <c r="BL76" s="338" t="n"/>
      <c r="BM76" s="338" t="n"/>
      <c r="BN76" s="338" t="n"/>
      <c r="BO76" s="338" t="n"/>
      <c r="BP76" s="338" t="n"/>
      <c r="BQ76" s="338" t="n"/>
      <c r="BR76" s="338" t="n"/>
      <c r="BS76" s="338" t="n"/>
      <c r="BT76" s="338" t="n"/>
      <c r="BU76" s="338" t="n"/>
      <c r="BV76" s="338" t="n"/>
      <c r="BW76" s="338" t="n"/>
      <c r="BX76" s="338" t="n"/>
      <c r="BY76" s="338" t="n"/>
      <c r="BZ76" s="338" t="n"/>
      <c r="CA76" s="338" t="n"/>
      <c r="CB76" s="338" t="n"/>
      <c r="CC76" s="383" t="n"/>
      <c r="CF76" s="253" t="inlineStr">
        <is>
          <t>時間内</t>
        </is>
      </c>
      <c r="CG76" s="384" t="n"/>
      <c r="CH76" s="384" t="n"/>
      <c r="CI76" s="385" t="n"/>
      <c r="CJ76" s="386">
        <f>IF(Q75="作業者1",H78-H75,0)</f>
        <v/>
      </c>
      <c r="CK76" s="387" t="n"/>
      <c r="CL76" s="387" t="n"/>
      <c r="CM76" s="387" t="n"/>
      <c r="CN76" s="388" t="n"/>
      <c r="CP76" s="253" t="inlineStr">
        <is>
          <t>時間内</t>
        </is>
      </c>
      <c r="CQ76" s="384" t="n"/>
      <c r="CR76" s="384" t="n"/>
      <c r="CS76" s="385" t="n"/>
      <c r="CT76" s="386">
        <f>IF(Q75="作業者2",H78-H75,0)</f>
        <v/>
      </c>
      <c r="CU76" s="387" t="n"/>
      <c r="CV76" s="387" t="n"/>
      <c r="CW76" s="387" t="n"/>
      <c r="CX76" s="388" t="n"/>
      <c r="CZ76" s="253" t="inlineStr">
        <is>
          <t>時間内</t>
        </is>
      </c>
      <c r="DA76" s="384" t="n"/>
      <c r="DB76" s="384" t="n"/>
      <c r="DC76" s="385" t="n"/>
      <c r="DD76" s="386">
        <f>IF(Q75="作業者3",H78-H75,0)</f>
        <v/>
      </c>
      <c r="DE76" s="387" t="n"/>
      <c r="DF76" s="387" t="n"/>
      <c r="DG76" s="387" t="n"/>
      <c r="DH76" s="388" t="n"/>
      <c r="DJ76" s="253" t="inlineStr">
        <is>
          <t>時間内</t>
        </is>
      </c>
      <c r="DK76" s="384" t="n"/>
      <c r="DL76" s="384" t="n"/>
      <c r="DM76" s="385" t="n"/>
      <c r="DN76" s="386">
        <f>IF(Q75="作業者4",H78-H75,0)</f>
        <v/>
      </c>
      <c r="DO76" s="387" t="n"/>
      <c r="DP76" s="387" t="n"/>
      <c r="DQ76" s="387" t="n"/>
      <c r="DR76" s="388" t="n"/>
      <c r="DT76" s="253" t="inlineStr">
        <is>
          <t>時間内</t>
        </is>
      </c>
      <c r="DU76" s="384" t="n"/>
      <c r="DV76" s="384" t="n"/>
      <c r="DW76" s="385" t="n"/>
      <c r="DX76" s="386">
        <f>IF(Q75="作業者5",H78-H75,0)</f>
        <v/>
      </c>
      <c r="DY76" s="387" t="n"/>
      <c r="DZ76" s="387" t="n"/>
      <c r="EA76" s="387" t="n"/>
      <c r="EB76" s="388" t="n"/>
    </row>
    <row r="77" ht="9" customHeight="1" s="337">
      <c r="B77" s="350" t="n"/>
      <c r="C77" s="338" t="n"/>
      <c r="D77" s="380" t="n"/>
      <c r="E77" s="23" t="n"/>
      <c r="F77" s="338" t="n"/>
      <c r="G77" s="24" t="n"/>
      <c r="H77" s="23" t="n"/>
      <c r="I77" s="338" t="n"/>
      <c r="J77" s="24" t="n"/>
      <c r="K77" s="23" t="n"/>
      <c r="L77" s="338" t="n"/>
      <c r="M77" s="24" t="n"/>
      <c r="N77" s="23" t="n"/>
      <c r="O77" s="338" t="n"/>
      <c r="P77" s="24" t="n"/>
      <c r="Q77" s="382" t="n"/>
      <c r="R77" s="338" t="n"/>
      <c r="S77" s="380" t="n"/>
      <c r="T77" s="382" t="n"/>
      <c r="U77" s="338" t="n"/>
      <c r="V77" s="380" t="n"/>
      <c r="W77" s="382" t="n"/>
      <c r="X77" s="338" t="n"/>
      <c r="Y77" s="338" t="n"/>
      <c r="Z77" s="338" t="n"/>
      <c r="AA77" s="338" t="n"/>
      <c r="AB77" s="338" t="n"/>
      <c r="AC77" s="338" t="n"/>
      <c r="AD77" s="338" t="n"/>
      <c r="AE77" s="338" t="n"/>
      <c r="AF77" s="338" t="n"/>
      <c r="AG77" s="338" t="n"/>
      <c r="AH77" s="338" t="n"/>
      <c r="AI77" s="338" t="n"/>
      <c r="AJ77" s="338" t="n"/>
      <c r="AK77" s="338" t="n"/>
      <c r="AL77" s="338" t="n"/>
      <c r="AM77" s="338" t="n"/>
      <c r="AN77" s="338" t="n"/>
      <c r="AO77" s="338" t="n"/>
      <c r="AP77" s="338" t="n"/>
      <c r="AQ77" s="338" t="n"/>
      <c r="AR77" s="338" t="n"/>
      <c r="AS77" s="338" t="n"/>
      <c r="AT77" s="338" t="n"/>
      <c r="AU77" s="338" t="n"/>
      <c r="AV77" s="338" t="n"/>
      <c r="AW77" s="338" t="n"/>
      <c r="AX77" s="338" t="n"/>
      <c r="AY77" s="338" t="n"/>
      <c r="AZ77" s="338" t="n"/>
      <c r="BA77" s="338" t="n"/>
      <c r="BB77" s="338" t="n"/>
      <c r="BC77" s="338" t="n"/>
      <c r="BD77" s="338" t="n"/>
      <c r="BE77" s="338" t="n"/>
      <c r="BF77" s="338" t="n"/>
      <c r="BG77" s="338" t="n"/>
      <c r="BH77" s="338" t="n"/>
      <c r="BI77" s="338" t="n"/>
      <c r="BJ77" s="338" t="n"/>
      <c r="BK77" s="338" t="n"/>
      <c r="BL77" s="338" t="n"/>
      <c r="BM77" s="338" t="n"/>
      <c r="BN77" s="338" t="n"/>
      <c r="BO77" s="338" t="n"/>
      <c r="BP77" s="338" t="n"/>
      <c r="BQ77" s="338" t="n"/>
      <c r="BR77" s="338" t="n"/>
      <c r="BS77" s="338" t="n"/>
      <c r="BT77" s="338" t="n"/>
      <c r="BU77" s="338" t="n"/>
      <c r="BV77" s="338" t="n"/>
      <c r="BW77" s="338" t="n"/>
      <c r="BX77" s="338" t="n"/>
      <c r="BY77" s="338" t="n"/>
      <c r="BZ77" s="338" t="n"/>
      <c r="CA77" s="338" t="n"/>
      <c r="CB77" s="338" t="n"/>
      <c r="CC77" s="383" t="n"/>
      <c r="CF77" s="253" t="inlineStr">
        <is>
          <t>時間外</t>
        </is>
      </c>
      <c r="CG77" s="384" t="n"/>
      <c r="CH77" s="384" t="n"/>
      <c r="CI77" s="385" t="n"/>
      <c r="CJ77" s="386">
        <f>IF(Q75="作業者1",K78-K75,0)</f>
        <v/>
      </c>
      <c r="CK77" s="387" t="n"/>
      <c r="CL77" s="387" t="n"/>
      <c r="CM77" s="387" t="n"/>
      <c r="CN77" s="388" t="n"/>
      <c r="CP77" s="253" t="inlineStr">
        <is>
          <t>時間外</t>
        </is>
      </c>
      <c r="CQ77" s="384" t="n"/>
      <c r="CR77" s="384" t="n"/>
      <c r="CS77" s="385" t="n"/>
      <c r="CT77" s="386">
        <f>IF(Q75="作業者2",K78-K75,0)</f>
        <v/>
      </c>
      <c r="CU77" s="387" t="n"/>
      <c r="CV77" s="387" t="n"/>
      <c r="CW77" s="387" t="n"/>
      <c r="CX77" s="388" t="n"/>
      <c r="CZ77" s="253" t="inlineStr">
        <is>
          <t>時間外</t>
        </is>
      </c>
      <c r="DA77" s="384" t="n"/>
      <c r="DB77" s="384" t="n"/>
      <c r="DC77" s="385" t="n"/>
      <c r="DD77" s="386">
        <f>IF(Q75="作業者3",K78-K75,0)</f>
        <v/>
      </c>
      <c r="DE77" s="387" t="n"/>
      <c r="DF77" s="387" t="n"/>
      <c r="DG77" s="387" t="n"/>
      <c r="DH77" s="388" t="n"/>
      <c r="DJ77" s="253" t="inlineStr">
        <is>
          <t>時間外</t>
        </is>
      </c>
      <c r="DK77" s="384" t="n"/>
      <c r="DL77" s="384" t="n"/>
      <c r="DM77" s="385" t="n"/>
      <c r="DN77" s="386">
        <f>IF(Q75="作業者4",K78-K75,0)</f>
        <v/>
      </c>
      <c r="DO77" s="387" t="n"/>
      <c r="DP77" s="387" t="n"/>
      <c r="DQ77" s="387" t="n"/>
      <c r="DR77" s="388" t="n"/>
      <c r="DT77" s="253" t="inlineStr">
        <is>
          <t>時間外</t>
        </is>
      </c>
      <c r="DU77" s="384" t="n"/>
      <c r="DV77" s="384" t="n"/>
      <c r="DW77" s="385" t="n"/>
      <c r="DX77" s="386">
        <f>IF(Q75="作業者5",K78-K75,0)</f>
        <v/>
      </c>
      <c r="DY77" s="387" t="n"/>
      <c r="DZ77" s="387" t="n"/>
      <c r="EA77" s="387" t="n"/>
      <c r="EB77" s="388" t="n"/>
    </row>
    <row r="78" ht="9" customHeight="1" s="337">
      <c r="B78" s="389" t="n"/>
      <c r="C78" s="390" t="n"/>
      <c r="D78" s="391" t="n"/>
      <c r="E78" s="392" t="n"/>
      <c r="F78" s="390" t="n"/>
      <c r="G78" s="391" t="n"/>
      <c r="H78" s="392" t="n"/>
      <c r="I78" s="390" t="n"/>
      <c r="J78" s="391" t="n"/>
      <c r="K78" s="392" t="n"/>
      <c r="L78" s="390" t="n"/>
      <c r="M78" s="391" t="n"/>
      <c r="N78" s="392" t="n"/>
      <c r="O78" s="390" t="n"/>
      <c r="P78" s="391" t="n"/>
      <c r="Q78" s="393" t="n"/>
      <c r="R78" s="390" t="n"/>
      <c r="S78" s="391" t="n"/>
      <c r="T78" s="393" t="n"/>
      <c r="U78" s="390" t="n"/>
      <c r="V78" s="391" t="n"/>
      <c r="W78" s="393" t="n"/>
      <c r="X78" s="390" t="n"/>
      <c r="Y78" s="390" t="n"/>
      <c r="Z78" s="390" t="n"/>
      <c r="AA78" s="390" t="n"/>
      <c r="AB78" s="390" t="n"/>
      <c r="AC78" s="390" t="n"/>
      <c r="AD78" s="390" t="n"/>
      <c r="AE78" s="390" t="n"/>
      <c r="AF78" s="390" t="n"/>
      <c r="AG78" s="390" t="n"/>
      <c r="AH78" s="390" t="n"/>
      <c r="AI78" s="390" t="n"/>
      <c r="AJ78" s="390" t="n"/>
      <c r="AK78" s="390" t="n"/>
      <c r="AL78" s="390" t="n"/>
      <c r="AM78" s="390" t="n"/>
      <c r="AN78" s="390" t="n"/>
      <c r="AO78" s="390" t="n"/>
      <c r="AP78" s="390" t="n"/>
      <c r="AQ78" s="390" t="n"/>
      <c r="AR78" s="390" t="n"/>
      <c r="AS78" s="390" t="n"/>
      <c r="AT78" s="390" t="n"/>
      <c r="AU78" s="390" t="n"/>
      <c r="AV78" s="390" t="n"/>
      <c r="AW78" s="390" t="n"/>
      <c r="AX78" s="390" t="n"/>
      <c r="AY78" s="390" t="n"/>
      <c r="AZ78" s="390" t="n"/>
      <c r="BA78" s="390" t="n"/>
      <c r="BB78" s="390" t="n"/>
      <c r="BC78" s="390" t="n"/>
      <c r="BD78" s="390" t="n"/>
      <c r="BE78" s="390" t="n"/>
      <c r="BF78" s="390" t="n"/>
      <c r="BG78" s="390" t="n"/>
      <c r="BH78" s="390" t="n"/>
      <c r="BI78" s="390" t="n"/>
      <c r="BJ78" s="390" t="n"/>
      <c r="BK78" s="390" t="n"/>
      <c r="BL78" s="390" t="n"/>
      <c r="BM78" s="390" t="n"/>
      <c r="BN78" s="390" t="n"/>
      <c r="BO78" s="390" t="n"/>
      <c r="BP78" s="390" t="n"/>
      <c r="BQ78" s="390" t="n"/>
      <c r="BR78" s="390" t="n"/>
      <c r="BS78" s="390" t="n"/>
      <c r="BT78" s="390" t="n"/>
      <c r="BU78" s="390" t="n"/>
      <c r="BV78" s="390" t="n"/>
      <c r="BW78" s="390" t="n"/>
      <c r="BX78" s="390" t="n"/>
      <c r="BY78" s="390" t="n"/>
      <c r="BZ78" s="390" t="n"/>
      <c r="CA78" s="390" t="n"/>
      <c r="CB78" s="390" t="n"/>
      <c r="CC78" s="394" t="n"/>
      <c r="CF78" s="254" t="inlineStr">
        <is>
          <t>休日</t>
        </is>
      </c>
      <c r="CG78" s="395" t="n"/>
      <c r="CH78" s="395" t="n"/>
      <c r="CI78" s="396" t="n"/>
      <c r="CJ78" s="397">
        <f>IF(Q75="作業者1",N78-N75,0)</f>
        <v/>
      </c>
      <c r="CK78" s="395" t="n"/>
      <c r="CL78" s="395" t="n"/>
      <c r="CM78" s="395" t="n"/>
      <c r="CN78" s="396" t="n"/>
      <c r="CP78" s="254" t="inlineStr">
        <is>
          <t>休日</t>
        </is>
      </c>
      <c r="CQ78" s="395" t="n"/>
      <c r="CR78" s="395" t="n"/>
      <c r="CS78" s="396" t="n"/>
      <c r="CT78" s="397">
        <f>IF(Q75="作業者2",N78-N75,0)</f>
        <v/>
      </c>
      <c r="CU78" s="395" t="n"/>
      <c r="CV78" s="395" t="n"/>
      <c r="CW78" s="395" t="n"/>
      <c r="CX78" s="396" t="n"/>
      <c r="CZ78" s="254" t="inlineStr">
        <is>
          <t>休日</t>
        </is>
      </c>
      <c r="DA78" s="395" t="n"/>
      <c r="DB78" s="395" t="n"/>
      <c r="DC78" s="396" t="n"/>
      <c r="DD78" s="397">
        <f>IF(Q75="作業者3",N78-N75,0)</f>
        <v/>
      </c>
      <c r="DE78" s="395" t="n"/>
      <c r="DF78" s="395" t="n"/>
      <c r="DG78" s="395" t="n"/>
      <c r="DH78" s="396" t="n"/>
      <c r="DJ78" s="254" t="inlineStr">
        <is>
          <t>休日</t>
        </is>
      </c>
      <c r="DK78" s="395" t="n"/>
      <c r="DL78" s="395" t="n"/>
      <c r="DM78" s="396" t="n"/>
      <c r="DN78" s="397">
        <f>IF(Q75="作業者4",N78-N75,0)</f>
        <v/>
      </c>
      <c r="DO78" s="395" t="n"/>
      <c r="DP78" s="395" t="n"/>
      <c r="DQ78" s="395" t="n"/>
      <c r="DR78" s="396" t="n"/>
      <c r="DT78" s="254" t="inlineStr">
        <is>
          <t>休日</t>
        </is>
      </c>
      <c r="DU78" s="395" t="n"/>
      <c r="DV78" s="395" t="n"/>
      <c r="DW78" s="396" t="n"/>
      <c r="DX78" s="397">
        <f>IF(Q75="作業者5",N78-N75,0)</f>
        <v/>
      </c>
      <c r="DY78" s="395" t="n"/>
      <c r="DZ78" s="395" t="n"/>
      <c r="EA78" s="395" t="n"/>
      <c r="EB78" s="396" t="n"/>
    </row>
    <row r="79" ht="9" customHeight="1" s="337">
      <c r="B79" s="398" t="n"/>
      <c r="C79" s="372" t="n"/>
      <c r="D79" s="373" t="n"/>
      <c r="E79" s="399" t="n"/>
      <c r="F79" s="372" t="n"/>
      <c r="G79" s="373" t="n"/>
      <c r="H79" s="399" t="n"/>
      <c r="I79" s="372" t="n"/>
      <c r="J79" s="373" t="n"/>
      <c r="K79" s="399" t="n"/>
      <c r="L79" s="372" t="n"/>
      <c r="M79" s="373" t="n"/>
      <c r="N79" s="399" t="n"/>
      <c r="O79" s="372" t="n"/>
      <c r="P79" s="373" t="n"/>
      <c r="Q79" s="371" t="n"/>
      <c r="R79" s="372" t="n"/>
      <c r="S79" s="373" t="n"/>
      <c r="T79" s="371" t="n"/>
      <c r="U79" s="372" t="n"/>
      <c r="V79" s="373" t="n"/>
      <c r="W79" s="443" t="n"/>
      <c r="X79" s="372" t="n"/>
      <c r="Y79" s="372" t="n"/>
      <c r="Z79" s="372" t="n"/>
      <c r="AA79" s="372" t="n"/>
      <c r="AB79" s="372" t="n"/>
      <c r="AC79" s="372" t="n"/>
      <c r="AD79" s="372" t="n"/>
      <c r="AE79" s="372" t="n"/>
      <c r="AF79" s="372" t="n"/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AQ79" s="372" t="n"/>
      <c r="AR79" s="372" t="n"/>
      <c r="AS79" s="372" t="n"/>
      <c r="AT79" s="372" t="n"/>
      <c r="AU79" s="372" t="n"/>
      <c r="AV79" s="372" t="n"/>
      <c r="AW79" s="372" t="n"/>
      <c r="AX79" s="372" t="n"/>
      <c r="AY79" s="372" t="n"/>
      <c r="AZ79" s="372" t="n"/>
      <c r="BA79" s="372" t="n"/>
      <c r="BB79" s="372" t="n"/>
      <c r="BC79" s="372" t="n"/>
      <c r="BD79" s="372" t="n"/>
      <c r="BE79" s="372" t="n"/>
      <c r="BF79" s="372" t="n"/>
      <c r="BG79" s="372" t="n"/>
      <c r="BH79" s="372" t="n"/>
      <c r="BI79" s="372" t="n"/>
      <c r="BJ79" s="372" t="n"/>
      <c r="BK79" s="372" t="n"/>
      <c r="BL79" s="372" t="n"/>
      <c r="BM79" s="372" t="n"/>
      <c r="BN79" s="372" t="n"/>
      <c r="BO79" s="372" t="n"/>
      <c r="BP79" s="372" t="n"/>
      <c r="BQ79" s="372" t="n"/>
      <c r="BR79" s="372" t="n"/>
      <c r="BS79" s="372" t="n"/>
      <c r="BT79" s="372" t="n"/>
      <c r="BU79" s="372" t="n"/>
      <c r="BV79" s="372" t="n"/>
      <c r="BW79" s="372" t="n"/>
      <c r="BX79" s="372" t="n"/>
      <c r="BY79" s="372" t="n"/>
      <c r="BZ79" s="372" t="n"/>
      <c r="CA79" s="372" t="n"/>
      <c r="CB79" s="372" t="n"/>
      <c r="CC79" s="402" t="n"/>
      <c r="CF79" s="248" t="inlineStr">
        <is>
          <t>移動</t>
        </is>
      </c>
      <c r="CG79" s="377" t="n"/>
      <c r="CH79" s="377" t="n"/>
      <c r="CI79" s="378" t="n"/>
      <c r="CJ79" s="379">
        <f>IF(Q79="作業者1",E82-E79,0)</f>
        <v/>
      </c>
      <c r="CK79" s="377" t="n"/>
      <c r="CL79" s="377" t="n"/>
      <c r="CM79" s="377" t="n"/>
      <c r="CN79" s="378" t="n"/>
      <c r="CP79" s="248" t="inlineStr">
        <is>
          <t>移動</t>
        </is>
      </c>
      <c r="CQ79" s="377" t="n"/>
      <c r="CR79" s="377" t="n"/>
      <c r="CS79" s="378" t="n"/>
      <c r="CT79" s="379">
        <f>IF(Q79="作業者2",E82-E79,0)</f>
        <v/>
      </c>
      <c r="CU79" s="377" t="n"/>
      <c r="CV79" s="377" t="n"/>
      <c r="CW79" s="377" t="n"/>
      <c r="CX79" s="378" t="n"/>
      <c r="CZ79" s="248" t="inlineStr">
        <is>
          <t>移動</t>
        </is>
      </c>
      <c r="DA79" s="377" t="n"/>
      <c r="DB79" s="377" t="n"/>
      <c r="DC79" s="378" t="n"/>
      <c r="DD79" s="379">
        <f>IF(Q79="作業者3",E82-E79,0)</f>
        <v/>
      </c>
      <c r="DE79" s="377" t="n"/>
      <c r="DF79" s="377" t="n"/>
      <c r="DG79" s="377" t="n"/>
      <c r="DH79" s="378" t="n"/>
      <c r="DJ79" s="248" t="inlineStr">
        <is>
          <t>移動</t>
        </is>
      </c>
      <c r="DK79" s="377" t="n"/>
      <c r="DL79" s="377" t="n"/>
      <c r="DM79" s="378" t="n"/>
      <c r="DN79" s="379">
        <f>IF(Q79="作業者4",E82-E79,0)</f>
        <v/>
      </c>
      <c r="DO79" s="377" t="n"/>
      <c r="DP79" s="377" t="n"/>
      <c r="DQ79" s="377" t="n"/>
      <c r="DR79" s="378" t="n"/>
      <c r="DT79" s="259" t="inlineStr">
        <is>
          <t>移動</t>
        </is>
      </c>
      <c r="DU79" s="403" t="n"/>
      <c r="DV79" s="403" t="n"/>
      <c r="DW79" s="404" t="n"/>
      <c r="DX79" s="379">
        <f>IF(Q79="作業者5",E82-E79,0)</f>
        <v/>
      </c>
      <c r="DY79" s="377" t="n"/>
      <c r="DZ79" s="377" t="n"/>
      <c r="EA79" s="377" t="n"/>
      <c r="EB79" s="378" t="n"/>
    </row>
    <row r="80" ht="9" customHeight="1" s="337">
      <c r="B80" s="350" t="n"/>
      <c r="C80" s="338" t="n"/>
      <c r="D80" s="380" t="n"/>
      <c r="E80" s="381" t="n"/>
      <c r="F80" s="122" t="inlineStr">
        <is>
          <t>～</t>
        </is>
      </c>
      <c r="G80" s="22" t="n"/>
      <c r="H80" s="381" t="n"/>
      <c r="I80" s="122" t="inlineStr">
        <is>
          <t>～</t>
        </is>
      </c>
      <c r="J80" s="22" t="n"/>
      <c r="K80" s="381" t="n"/>
      <c r="L80" s="122" t="inlineStr">
        <is>
          <t>～</t>
        </is>
      </c>
      <c r="M80" s="22" t="n"/>
      <c r="N80" s="381" t="n"/>
      <c r="O80" s="122" t="inlineStr">
        <is>
          <t>～</t>
        </is>
      </c>
      <c r="P80" s="22" t="n"/>
      <c r="Q80" s="382" t="n"/>
      <c r="R80" s="338" t="n"/>
      <c r="S80" s="380" t="n"/>
      <c r="T80" s="382" t="n"/>
      <c r="U80" s="338" t="n"/>
      <c r="V80" s="380" t="n"/>
      <c r="W80" s="382" t="n"/>
      <c r="X80" s="338" t="n"/>
      <c r="Y80" s="338" t="n"/>
      <c r="Z80" s="338" t="n"/>
      <c r="AA80" s="338" t="n"/>
      <c r="AB80" s="338" t="n"/>
      <c r="AC80" s="338" t="n"/>
      <c r="AD80" s="338" t="n"/>
      <c r="AE80" s="338" t="n"/>
      <c r="AF80" s="338" t="n"/>
      <c r="AG80" s="338" t="n"/>
      <c r="AH80" s="338" t="n"/>
      <c r="AI80" s="338" t="n"/>
      <c r="AJ80" s="338" t="n"/>
      <c r="AK80" s="338" t="n"/>
      <c r="AL80" s="338" t="n"/>
      <c r="AM80" s="338" t="n"/>
      <c r="AN80" s="338" t="n"/>
      <c r="AO80" s="338" t="n"/>
      <c r="AP80" s="338" t="n"/>
      <c r="AQ80" s="338" t="n"/>
      <c r="AR80" s="338" t="n"/>
      <c r="AS80" s="338" t="n"/>
      <c r="AT80" s="338" t="n"/>
      <c r="AU80" s="338" t="n"/>
      <c r="AV80" s="338" t="n"/>
      <c r="AW80" s="338" t="n"/>
      <c r="AX80" s="338" t="n"/>
      <c r="AY80" s="338" t="n"/>
      <c r="AZ80" s="338" t="n"/>
      <c r="BA80" s="338" t="n"/>
      <c r="BB80" s="338" t="n"/>
      <c r="BC80" s="338" t="n"/>
      <c r="BD80" s="338" t="n"/>
      <c r="BE80" s="338" t="n"/>
      <c r="BF80" s="338" t="n"/>
      <c r="BG80" s="338" t="n"/>
      <c r="BH80" s="338" t="n"/>
      <c r="BI80" s="338" t="n"/>
      <c r="BJ80" s="338" t="n"/>
      <c r="BK80" s="338" t="n"/>
      <c r="BL80" s="338" t="n"/>
      <c r="BM80" s="338" t="n"/>
      <c r="BN80" s="338" t="n"/>
      <c r="BO80" s="338" t="n"/>
      <c r="BP80" s="338" t="n"/>
      <c r="BQ80" s="338" t="n"/>
      <c r="BR80" s="338" t="n"/>
      <c r="BS80" s="338" t="n"/>
      <c r="BT80" s="338" t="n"/>
      <c r="BU80" s="338" t="n"/>
      <c r="BV80" s="338" t="n"/>
      <c r="BW80" s="338" t="n"/>
      <c r="BX80" s="338" t="n"/>
      <c r="BY80" s="338" t="n"/>
      <c r="BZ80" s="338" t="n"/>
      <c r="CA80" s="338" t="n"/>
      <c r="CB80" s="338" t="n"/>
      <c r="CC80" s="383" t="n"/>
      <c r="CF80" s="253" t="inlineStr">
        <is>
          <t>時間内</t>
        </is>
      </c>
      <c r="CG80" s="384" t="n"/>
      <c r="CH80" s="384" t="n"/>
      <c r="CI80" s="385" t="n"/>
      <c r="CJ80" s="386">
        <f>IF(Q79="作業者1",H82-H79,0)</f>
        <v/>
      </c>
      <c r="CK80" s="387" t="n"/>
      <c r="CL80" s="387" t="n"/>
      <c r="CM80" s="387" t="n"/>
      <c r="CN80" s="388" t="n"/>
      <c r="CP80" s="253" t="inlineStr">
        <is>
          <t>時間内</t>
        </is>
      </c>
      <c r="CQ80" s="384" t="n"/>
      <c r="CR80" s="384" t="n"/>
      <c r="CS80" s="385" t="n"/>
      <c r="CT80" s="386">
        <f>IF(Q79="作業者2",H82-H79,0)</f>
        <v/>
      </c>
      <c r="CU80" s="387" t="n"/>
      <c r="CV80" s="387" t="n"/>
      <c r="CW80" s="387" t="n"/>
      <c r="CX80" s="388" t="n"/>
      <c r="CZ80" s="253" t="inlineStr">
        <is>
          <t>時間内</t>
        </is>
      </c>
      <c r="DA80" s="384" t="n"/>
      <c r="DB80" s="384" t="n"/>
      <c r="DC80" s="385" t="n"/>
      <c r="DD80" s="386">
        <f>IF(Q79="作業者3",H82-H79,0)</f>
        <v/>
      </c>
      <c r="DE80" s="387" t="n"/>
      <c r="DF80" s="387" t="n"/>
      <c r="DG80" s="387" t="n"/>
      <c r="DH80" s="388" t="n"/>
      <c r="DJ80" s="253" t="inlineStr">
        <is>
          <t>時間内</t>
        </is>
      </c>
      <c r="DK80" s="384" t="n"/>
      <c r="DL80" s="384" t="n"/>
      <c r="DM80" s="385" t="n"/>
      <c r="DN80" s="386">
        <f>IF(Q79="作業者4",H82-H79,0)</f>
        <v/>
      </c>
      <c r="DO80" s="387" t="n"/>
      <c r="DP80" s="387" t="n"/>
      <c r="DQ80" s="387" t="n"/>
      <c r="DR80" s="388" t="n"/>
      <c r="DT80" s="253" t="inlineStr">
        <is>
          <t>時間内</t>
        </is>
      </c>
      <c r="DU80" s="384" t="n"/>
      <c r="DV80" s="384" t="n"/>
      <c r="DW80" s="385" t="n"/>
      <c r="DX80" s="386">
        <f>IF(Q79="作業者5",H82-H79,0)</f>
        <v/>
      </c>
      <c r="DY80" s="387" t="n"/>
      <c r="DZ80" s="387" t="n"/>
      <c r="EA80" s="387" t="n"/>
      <c r="EB80" s="388" t="n"/>
    </row>
    <row r="81" ht="9" customHeight="1" s="337">
      <c r="B81" s="350" t="n"/>
      <c r="C81" s="338" t="n"/>
      <c r="D81" s="380" t="n"/>
      <c r="E81" s="23" t="n"/>
      <c r="F81" s="338" t="n"/>
      <c r="G81" s="24" t="n"/>
      <c r="H81" s="23" t="n"/>
      <c r="I81" s="338" t="n"/>
      <c r="J81" s="24" t="n"/>
      <c r="K81" s="23" t="n"/>
      <c r="L81" s="338" t="n"/>
      <c r="M81" s="24" t="n"/>
      <c r="N81" s="23" t="n"/>
      <c r="O81" s="338" t="n"/>
      <c r="P81" s="24" t="n"/>
      <c r="Q81" s="382" t="n"/>
      <c r="R81" s="338" t="n"/>
      <c r="S81" s="380" t="n"/>
      <c r="T81" s="382" t="n"/>
      <c r="U81" s="338" t="n"/>
      <c r="V81" s="380" t="n"/>
      <c r="W81" s="382" t="n"/>
      <c r="X81" s="338" t="n"/>
      <c r="Y81" s="338" t="n"/>
      <c r="Z81" s="338" t="n"/>
      <c r="AA81" s="338" t="n"/>
      <c r="AB81" s="338" t="n"/>
      <c r="AC81" s="338" t="n"/>
      <c r="AD81" s="338" t="n"/>
      <c r="AE81" s="338" t="n"/>
      <c r="AF81" s="338" t="n"/>
      <c r="AG81" s="338" t="n"/>
      <c r="AH81" s="338" t="n"/>
      <c r="AI81" s="338" t="n"/>
      <c r="AJ81" s="338" t="n"/>
      <c r="AK81" s="338" t="n"/>
      <c r="AL81" s="338" t="n"/>
      <c r="AM81" s="338" t="n"/>
      <c r="AN81" s="338" t="n"/>
      <c r="AO81" s="338" t="n"/>
      <c r="AP81" s="338" t="n"/>
      <c r="AQ81" s="338" t="n"/>
      <c r="AR81" s="338" t="n"/>
      <c r="AS81" s="338" t="n"/>
      <c r="AT81" s="338" t="n"/>
      <c r="AU81" s="338" t="n"/>
      <c r="AV81" s="338" t="n"/>
      <c r="AW81" s="338" t="n"/>
      <c r="AX81" s="338" t="n"/>
      <c r="AY81" s="338" t="n"/>
      <c r="AZ81" s="338" t="n"/>
      <c r="BA81" s="338" t="n"/>
      <c r="BB81" s="338" t="n"/>
      <c r="BC81" s="338" t="n"/>
      <c r="BD81" s="338" t="n"/>
      <c r="BE81" s="338" t="n"/>
      <c r="BF81" s="338" t="n"/>
      <c r="BG81" s="338" t="n"/>
      <c r="BH81" s="338" t="n"/>
      <c r="BI81" s="338" t="n"/>
      <c r="BJ81" s="338" t="n"/>
      <c r="BK81" s="338" t="n"/>
      <c r="BL81" s="338" t="n"/>
      <c r="BM81" s="338" t="n"/>
      <c r="BN81" s="338" t="n"/>
      <c r="BO81" s="338" t="n"/>
      <c r="BP81" s="338" t="n"/>
      <c r="BQ81" s="338" t="n"/>
      <c r="BR81" s="338" t="n"/>
      <c r="BS81" s="338" t="n"/>
      <c r="BT81" s="338" t="n"/>
      <c r="BU81" s="338" t="n"/>
      <c r="BV81" s="338" t="n"/>
      <c r="BW81" s="338" t="n"/>
      <c r="BX81" s="338" t="n"/>
      <c r="BY81" s="338" t="n"/>
      <c r="BZ81" s="338" t="n"/>
      <c r="CA81" s="338" t="n"/>
      <c r="CB81" s="338" t="n"/>
      <c r="CC81" s="383" t="n"/>
      <c r="CF81" s="253" t="inlineStr">
        <is>
          <t>時間外</t>
        </is>
      </c>
      <c r="CG81" s="384" t="n"/>
      <c r="CH81" s="384" t="n"/>
      <c r="CI81" s="385" t="n"/>
      <c r="CJ81" s="386">
        <f>IF(Q79="作業者1",K82-K79,0)</f>
        <v/>
      </c>
      <c r="CK81" s="387" t="n"/>
      <c r="CL81" s="387" t="n"/>
      <c r="CM81" s="387" t="n"/>
      <c r="CN81" s="388" t="n"/>
      <c r="CP81" s="253" t="inlineStr">
        <is>
          <t>時間外</t>
        </is>
      </c>
      <c r="CQ81" s="384" t="n"/>
      <c r="CR81" s="384" t="n"/>
      <c r="CS81" s="385" t="n"/>
      <c r="CT81" s="386">
        <f>IF(Q79="作業者2",K82-K79,0)</f>
        <v/>
      </c>
      <c r="CU81" s="387" t="n"/>
      <c r="CV81" s="387" t="n"/>
      <c r="CW81" s="387" t="n"/>
      <c r="CX81" s="388" t="n"/>
      <c r="CZ81" s="253" t="inlineStr">
        <is>
          <t>時間外</t>
        </is>
      </c>
      <c r="DA81" s="384" t="n"/>
      <c r="DB81" s="384" t="n"/>
      <c r="DC81" s="385" t="n"/>
      <c r="DD81" s="386">
        <f>IF(Q79="作業者3",K82-K79,0)</f>
        <v/>
      </c>
      <c r="DE81" s="387" t="n"/>
      <c r="DF81" s="387" t="n"/>
      <c r="DG81" s="387" t="n"/>
      <c r="DH81" s="388" t="n"/>
      <c r="DJ81" s="253" t="inlineStr">
        <is>
          <t>時間外</t>
        </is>
      </c>
      <c r="DK81" s="384" t="n"/>
      <c r="DL81" s="384" t="n"/>
      <c r="DM81" s="385" t="n"/>
      <c r="DN81" s="386">
        <f>IF(Q79="作業者4",K82-K79,0)</f>
        <v/>
      </c>
      <c r="DO81" s="387" t="n"/>
      <c r="DP81" s="387" t="n"/>
      <c r="DQ81" s="387" t="n"/>
      <c r="DR81" s="388" t="n"/>
      <c r="DT81" s="253" t="inlineStr">
        <is>
          <t>時間外</t>
        </is>
      </c>
      <c r="DU81" s="384" t="n"/>
      <c r="DV81" s="384" t="n"/>
      <c r="DW81" s="385" t="n"/>
      <c r="DX81" s="386">
        <f>IF(Q79="作業者5",K82-K79,0)</f>
        <v/>
      </c>
      <c r="DY81" s="387" t="n"/>
      <c r="DZ81" s="387" t="n"/>
      <c r="EA81" s="387" t="n"/>
      <c r="EB81" s="388" t="n"/>
    </row>
    <row r="82" ht="9" customHeight="1" s="337">
      <c r="B82" s="389" t="n"/>
      <c r="C82" s="390" t="n"/>
      <c r="D82" s="391" t="n"/>
      <c r="E82" s="392" t="n"/>
      <c r="F82" s="390" t="n"/>
      <c r="G82" s="391" t="n"/>
      <c r="H82" s="392" t="n"/>
      <c r="I82" s="390" t="n"/>
      <c r="J82" s="391" t="n"/>
      <c r="K82" s="392" t="n"/>
      <c r="L82" s="390" t="n"/>
      <c r="M82" s="391" t="n"/>
      <c r="N82" s="392" t="n"/>
      <c r="O82" s="390" t="n"/>
      <c r="P82" s="391" t="n"/>
      <c r="Q82" s="393" t="n"/>
      <c r="R82" s="390" t="n"/>
      <c r="S82" s="391" t="n"/>
      <c r="T82" s="393" t="n"/>
      <c r="U82" s="390" t="n"/>
      <c r="V82" s="391" t="n"/>
      <c r="W82" s="393" t="n"/>
      <c r="X82" s="390" t="n"/>
      <c r="Y82" s="390" t="n"/>
      <c r="Z82" s="390" t="n"/>
      <c r="AA82" s="390" t="n"/>
      <c r="AB82" s="390" t="n"/>
      <c r="AC82" s="390" t="n"/>
      <c r="AD82" s="390" t="n"/>
      <c r="AE82" s="390" t="n"/>
      <c r="AF82" s="390" t="n"/>
      <c r="AG82" s="390" t="n"/>
      <c r="AH82" s="390" t="n"/>
      <c r="AI82" s="390" t="n"/>
      <c r="AJ82" s="390" t="n"/>
      <c r="AK82" s="390" t="n"/>
      <c r="AL82" s="390" t="n"/>
      <c r="AM82" s="390" t="n"/>
      <c r="AN82" s="390" t="n"/>
      <c r="AO82" s="390" t="n"/>
      <c r="AP82" s="390" t="n"/>
      <c r="AQ82" s="390" t="n"/>
      <c r="AR82" s="390" t="n"/>
      <c r="AS82" s="390" t="n"/>
      <c r="AT82" s="390" t="n"/>
      <c r="AU82" s="390" t="n"/>
      <c r="AV82" s="390" t="n"/>
      <c r="AW82" s="390" t="n"/>
      <c r="AX82" s="390" t="n"/>
      <c r="AY82" s="390" t="n"/>
      <c r="AZ82" s="390" t="n"/>
      <c r="BA82" s="390" t="n"/>
      <c r="BB82" s="390" t="n"/>
      <c r="BC82" s="390" t="n"/>
      <c r="BD82" s="390" t="n"/>
      <c r="BE82" s="390" t="n"/>
      <c r="BF82" s="390" t="n"/>
      <c r="BG82" s="390" t="n"/>
      <c r="BH82" s="390" t="n"/>
      <c r="BI82" s="390" t="n"/>
      <c r="BJ82" s="390" t="n"/>
      <c r="BK82" s="390" t="n"/>
      <c r="BL82" s="390" t="n"/>
      <c r="BM82" s="390" t="n"/>
      <c r="BN82" s="390" t="n"/>
      <c r="BO82" s="390" t="n"/>
      <c r="BP82" s="390" t="n"/>
      <c r="BQ82" s="390" t="n"/>
      <c r="BR82" s="390" t="n"/>
      <c r="BS82" s="390" t="n"/>
      <c r="BT82" s="390" t="n"/>
      <c r="BU82" s="390" t="n"/>
      <c r="BV82" s="390" t="n"/>
      <c r="BW82" s="390" t="n"/>
      <c r="BX82" s="390" t="n"/>
      <c r="BY82" s="390" t="n"/>
      <c r="BZ82" s="390" t="n"/>
      <c r="CA82" s="390" t="n"/>
      <c r="CB82" s="390" t="n"/>
      <c r="CC82" s="394" t="n"/>
      <c r="CF82" s="254" t="inlineStr">
        <is>
          <t>休日</t>
        </is>
      </c>
      <c r="CG82" s="395" t="n"/>
      <c r="CH82" s="395" t="n"/>
      <c r="CI82" s="396" t="n"/>
      <c r="CJ82" s="386">
        <f>IF(Q79="作業者1",N82-N79,0)</f>
        <v/>
      </c>
      <c r="CK82" s="387" t="n"/>
      <c r="CL82" s="387" t="n"/>
      <c r="CM82" s="387" t="n"/>
      <c r="CN82" s="388" t="n"/>
      <c r="CP82" s="253" t="inlineStr">
        <is>
          <t>休日</t>
        </is>
      </c>
      <c r="CQ82" s="384" t="n"/>
      <c r="CR82" s="384" t="n"/>
      <c r="CS82" s="385" t="n"/>
      <c r="CT82" s="386">
        <f>IF(Q79="作業者2",N82-N79,0)</f>
        <v/>
      </c>
      <c r="CU82" s="387" t="n"/>
      <c r="CV82" s="387" t="n"/>
      <c r="CW82" s="387" t="n"/>
      <c r="CX82" s="388" t="n"/>
      <c r="CZ82" s="254" t="inlineStr">
        <is>
          <t>休日</t>
        </is>
      </c>
      <c r="DA82" s="395" t="n"/>
      <c r="DB82" s="395" t="n"/>
      <c r="DC82" s="396" t="n"/>
      <c r="DD82" s="397">
        <f>IF(Q79="作業者3",N82-N79,0)</f>
        <v/>
      </c>
      <c r="DE82" s="395" t="n"/>
      <c r="DF82" s="395" t="n"/>
      <c r="DG82" s="395" t="n"/>
      <c r="DH82" s="396" t="n"/>
      <c r="DJ82" s="254" t="inlineStr">
        <is>
          <t>休日</t>
        </is>
      </c>
      <c r="DK82" s="395" t="n"/>
      <c r="DL82" s="395" t="n"/>
      <c r="DM82" s="396" t="n"/>
      <c r="DN82" s="397">
        <f>IF(Q79="作業者4",N82-N79,0)</f>
        <v/>
      </c>
      <c r="DO82" s="395" t="n"/>
      <c r="DP82" s="395" t="n"/>
      <c r="DQ82" s="395" t="n"/>
      <c r="DR82" s="396" t="n"/>
      <c r="DT82" s="254" t="inlineStr">
        <is>
          <t>休日</t>
        </is>
      </c>
      <c r="DU82" s="395" t="n"/>
      <c r="DV82" s="395" t="n"/>
      <c r="DW82" s="396" t="n"/>
      <c r="DX82" s="397">
        <f>IF(Q79="作業者5",N82-N79,0)</f>
        <v/>
      </c>
      <c r="DY82" s="395" t="n"/>
      <c r="DZ82" s="395" t="n"/>
      <c r="EA82" s="395" t="n"/>
      <c r="EB82" s="396" t="n"/>
    </row>
    <row r="83" ht="9" customHeight="1" s="337">
      <c r="B83" s="398" t="n"/>
      <c r="C83" s="372" t="n"/>
      <c r="D83" s="373" t="n"/>
      <c r="E83" s="399" t="n"/>
      <c r="F83" s="372" t="n"/>
      <c r="G83" s="373" t="n"/>
      <c r="H83" s="399" t="n"/>
      <c r="I83" s="372" t="n"/>
      <c r="J83" s="373" t="n"/>
      <c r="K83" s="399" t="n"/>
      <c r="L83" s="372" t="n"/>
      <c r="M83" s="373" t="n"/>
      <c r="N83" s="399" t="n"/>
      <c r="O83" s="372" t="n"/>
      <c r="P83" s="373" t="n"/>
      <c r="Q83" s="371" t="n"/>
      <c r="R83" s="372" t="n"/>
      <c r="S83" s="373" t="n"/>
      <c r="T83" s="371" t="n"/>
      <c r="U83" s="372" t="n"/>
      <c r="V83" s="373" t="n"/>
      <c r="W83" s="443" t="n"/>
      <c r="X83" s="372" t="n"/>
      <c r="Y83" s="372" t="n"/>
      <c r="Z83" s="372" t="n"/>
      <c r="AA83" s="372" t="n"/>
      <c r="AB83" s="372" t="n"/>
      <c r="AC83" s="372" t="n"/>
      <c r="AD83" s="372" t="n"/>
      <c r="AE83" s="372" t="n"/>
      <c r="AF83" s="372" t="n"/>
      <c r="AG83" s="372" t="n"/>
      <c r="AH83" s="372" t="n"/>
      <c r="AI83" s="372" t="n"/>
      <c r="AJ83" s="372" t="n"/>
      <c r="AK83" s="372" t="n"/>
      <c r="AL83" s="372" t="n"/>
      <c r="AM83" s="372" t="n"/>
      <c r="AN83" s="372" t="n"/>
      <c r="AO83" s="372" t="n"/>
      <c r="AP83" s="372" t="n"/>
      <c r="AQ83" s="372" t="n"/>
      <c r="AR83" s="372" t="n"/>
      <c r="AS83" s="372" t="n"/>
      <c r="AT83" s="372" t="n"/>
      <c r="AU83" s="372" t="n"/>
      <c r="AV83" s="372" t="n"/>
      <c r="AW83" s="372" t="n"/>
      <c r="AX83" s="372" t="n"/>
      <c r="AY83" s="372" t="n"/>
      <c r="AZ83" s="372" t="n"/>
      <c r="BA83" s="372" t="n"/>
      <c r="BB83" s="372" t="n"/>
      <c r="BC83" s="372" t="n"/>
      <c r="BD83" s="372" t="n"/>
      <c r="BE83" s="372" t="n"/>
      <c r="BF83" s="372" t="n"/>
      <c r="BG83" s="372" t="n"/>
      <c r="BH83" s="372" t="n"/>
      <c r="BI83" s="372" t="n"/>
      <c r="BJ83" s="372" t="n"/>
      <c r="BK83" s="372" t="n"/>
      <c r="BL83" s="372" t="n"/>
      <c r="BM83" s="372" t="n"/>
      <c r="BN83" s="372" t="n"/>
      <c r="BO83" s="372" t="n"/>
      <c r="BP83" s="372" t="n"/>
      <c r="BQ83" s="372" t="n"/>
      <c r="BR83" s="372" t="n"/>
      <c r="BS83" s="372" t="n"/>
      <c r="BT83" s="372" t="n"/>
      <c r="BU83" s="372" t="n"/>
      <c r="BV83" s="372" t="n"/>
      <c r="BW83" s="372" t="n"/>
      <c r="BX83" s="372" t="n"/>
      <c r="BY83" s="372" t="n"/>
      <c r="BZ83" s="372" t="n"/>
      <c r="CA83" s="372" t="n"/>
      <c r="CB83" s="372" t="n"/>
      <c r="CC83" s="402" t="n"/>
      <c r="CF83" s="259" t="inlineStr">
        <is>
          <t>移動</t>
        </is>
      </c>
      <c r="CG83" s="403" t="n"/>
      <c r="CH83" s="403" t="n"/>
      <c r="CI83" s="404" t="n"/>
      <c r="CJ83" s="379">
        <f>IF(Q83="作業者1",E86-E83,0)</f>
        <v/>
      </c>
      <c r="CK83" s="377" t="n"/>
      <c r="CL83" s="377" t="n"/>
      <c r="CM83" s="377" t="n"/>
      <c r="CN83" s="378" t="n"/>
      <c r="CP83" s="248" t="inlineStr">
        <is>
          <t>移動</t>
        </is>
      </c>
      <c r="CQ83" s="377" t="n"/>
      <c r="CR83" s="377" t="n"/>
      <c r="CS83" s="378" t="n"/>
      <c r="CT83" s="379">
        <f>IF(Q83="作業者2",E86-E83,0)</f>
        <v/>
      </c>
      <c r="CU83" s="377" t="n"/>
      <c r="CV83" s="377" t="n"/>
      <c r="CW83" s="377" t="n"/>
      <c r="CX83" s="378" t="n"/>
      <c r="CZ83" s="259" t="inlineStr">
        <is>
          <t>移動</t>
        </is>
      </c>
      <c r="DA83" s="403" t="n"/>
      <c r="DB83" s="403" t="n"/>
      <c r="DC83" s="404" t="n"/>
      <c r="DD83" s="405">
        <f>IF(Q83="作業者3",E86-E83,0)</f>
        <v/>
      </c>
      <c r="DE83" s="406" t="n"/>
      <c r="DF83" s="406" t="n"/>
      <c r="DG83" s="406" t="n"/>
      <c r="DH83" s="407" t="n"/>
      <c r="DJ83" s="259" t="inlineStr">
        <is>
          <t>移動</t>
        </is>
      </c>
      <c r="DK83" s="403" t="n"/>
      <c r="DL83" s="403" t="n"/>
      <c r="DM83" s="404" t="n"/>
      <c r="DN83" s="379">
        <f>IF(Q83="作業者4",E86-E83,0)</f>
        <v/>
      </c>
      <c r="DO83" s="377" t="n"/>
      <c r="DP83" s="377" t="n"/>
      <c r="DQ83" s="377" t="n"/>
      <c r="DR83" s="378" t="n"/>
      <c r="DT83" s="259" t="inlineStr">
        <is>
          <t>移動</t>
        </is>
      </c>
      <c r="DU83" s="403" t="n"/>
      <c r="DV83" s="403" t="n"/>
      <c r="DW83" s="404" t="n"/>
      <c r="DX83" s="379">
        <f>IF(Q83="作業者5",E86-E83,0)</f>
        <v/>
      </c>
      <c r="DY83" s="377" t="n"/>
      <c r="DZ83" s="377" t="n"/>
      <c r="EA83" s="377" t="n"/>
      <c r="EB83" s="378" t="n"/>
    </row>
    <row r="84" ht="9" customHeight="1" s="337">
      <c r="B84" s="350" t="n"/>
      <c r="C84" s="338" t="n"/>
      <c r="D84" s="380" t="n"/>
      <c r="E84" s="381" t="n"/>
      <c r="F84" s="122" t="inlineStr">
        <is>
          <t>～</t>
        </is>
      </c>
      <c r="G84" s="22" t="n"/>
      <c r="H84" s="381" t="n"/>
      <c r="I84" s="122" t="inlineStr">
        <is>
          <t>～</t>
        </is>
      </c>
      <c r="J84" s="22" t="n"/>
      <c r="K84" s="381" t="n"/>
      <c r="L84" s="122" t="inlineStr">
        <is>
          <t>～</t>
        </is>
      </c>
      <c r="M84" s="22" t="n"/>
      <c r="N84" s="381" t="n"/>
      <c r="O84" s="122" t="inlineStr">
        <is>
          <t>～</t>
        </is>
      </c>
      <c r="P84" s="22" t="n"/>
      <c r="Q84" s="382" t="n"/>
      <c r="R84" s="338" t="n"/>
      <c r="S84" s="380" t="n"/>
      <c r="T84" s="382" t="n"/>
      <c r="U84" s="338" t="n"/>
      <c r="V84" s="380" t="n"/>
      <c r="W84" s="382" t="n"/>
      <c r="X84" s="338" t="n"/>
      <c r="Y84" s="338" t="n"/>
      <c r="Z84" s="338" t="n"/>
      <c r="AA84" s="338" t="n"/>
      <c r="AB84" s="338" t="n"/>
      <c r="AC84" s="338" t="n"/>
      <c r="AD84" s="338" t="n"/>
      <c r="AE84" s="338" t="n"/>
      <c r="AF84" s="338" t="n"/>
      <c r="AG84" s="338" t="n"/>
      <c r="AH84" s="338" t="n"/>
      <c r="AI84" s="338" t="n"/>
      <c r="AJ84" s="338" t="n"/>
      <c r="AK84" s="338" t="n"/>
      <c r="AL84" s="338" t="n"/>
      <c r="AM84" s="338" t="n"/>
      <c r="AN84" s="338" t="n"/>
      <c r="AO84" s="338" t="n"/>
      <c r="AP84" s="338" t="n"/>
      <c r="AQ84" s="338" t="n"/>
      <c r="AR84" s="338" t="n"/>
      <c r="AS84" s="338" t="n"/>
      <c r="AT84" s="338" t="n"/>
      <c r="AU84" s="338" t="n"/>
      <c r="AV84" s="338" t="n"/>
      <c r="AW84" s="338" t="n"/>
      <c r="AX84" s="338" t="n"/>
      <c r="AY84" s="338" t="n"/>
      <c r="AZ84" s="338" t="n"/>
      <c r="BA84" s="338" t="n"/>
      <c r="BB84" s="338" t="n"/>
      <c r="BC84" s="338" t="n"/>
      <c r="BD84" s="338" t="n"/>
      <c r="BE84" s="338" t="n"/>
      <c r="BF84" s="338" t="n"/>
      <c r="BG84" s="338" t="n"/>
      <c r="BH84" s="338" t="n"/>
      <c r="BI84" s="338" t="n"/>
      <c r="BJ84" s="338" t="n"/>
      <c r="BK84" s="338" t="n"/>
      <c r="BL84" s="338" t="n"/>
      <c r="BM84" s="338" t="n"/>
      <c r="BN84" s="338" t="n"/>
      <c r="BO84" s="338" t="n"/>
      <c r="BP84" s="338" t="n"/>
      <c r="BQ84" s="338" t="n"/>
      <c r="BR84" s="338" t="n"/>
      <c r="BS84" s="338" t="n"/>
      <c r="BT84" s="338" t="n"/>
      <c r="BU84" s="338" t="n"/>
      <c r="BV84" s="338" t="n"/>
      <c r="BW84" s="338" t="n"/>
      <c r="BX84" s="338" t="n"/>
      <c r="BY84" s="338" t="n"/>
      <c r="BZ84" s="338" t="n"/>
      <c r="CA84" s="338" t="n"/>
      <c r="CB84" s="338" t="n"/>
      <c r="CC84" s="383" t="n"/>
      <c r="CF84" s="253" t="inlineStr">
        <is>
          <t>時間内</t>
        </is>
      </c>
      <c r="CG84" s="384" t="n"/>
      <c r="CH84" s="384" t="n"/>
      <c r="CI84" s="385" t="n"/>
      <c r="CJ84" s="386">
        <f>IF(Q83="作業者1",H86-H83,0)</f>
        <v/>
      </c>
      <c r="CK84" s="387" t="n"/>
      <c r="CL84" s="387" t="n"/>
      <c r="CM84" s="387" t="n"/>
      <c r="CN84" s="388" t="n"/>
      <c r="CP84" s="253" t="inlineStr">
        <is>
          <t>時間内</t>
        </is>
      </c>
      <c r="CQ84" s="384" t="n"/>
      <c r="CR84" s="384" t="n"/>
      <c r="CS84" s="385" t="n"/>
      <c r="CT84" s="386">
        <f>IF(Q83="作業者2",H86-H83,0)</f>
        <v/>
      </c>
      <c r="CU84" s="387" t="n"/>
      <c r="CV84" s="387" t="n"/>
      <c r="CW84" s="387" t="n"/>
      <c r="CX84" s="388" t="n"/>
      <c r="CZ84" s="253" t="inlineStr">
        <is>
          <t>時間内</t>
        </is>
      </c>
      <c r="DA84" s="384" t="n"/>
      <c r="DB84" s="384" t="n"/>
      <c r="DC84" s="385" t="n"/>
      <c r="DD84" s="386">
        <f>IF(Q83="作業者3",H86-H83,0)</f>
        <v/>
      </c>
      <c r="DE84" s="387" t="n"/>
      <c r="DF84" s="387" t="n"/>
      <c r="DG84" s="387" t="n"/>
      <c r="DH84" s="388" t="n"/>
      <c r="DJ84" s="253" t="inlineStr">
        <is>
          <t>時間内</t>
        </is>
      </c>
      <c r="DK84" s="384" t="n"/>
      <c r="DL84" s="384" t="n"/>
      <c r="DM84" s="385" t="n"/>
      <c r="DN84" s="386">
        <f>IF(Q83="作業者4",H86-H83,0)</f>
        <v/>
      </c>
      <c r="DO84" s="387" t="n"/>
      <c r="DP84" s="387" t="n"/>
      <c r="DQ84" s="387" t="n"/>
      <c r="DR84" s="388" t="n"/>
      <c r="DT84" s="253" t="inlineStr">
        <is>
          <t>時間内</t>
        </is>
      </c>
      <c r="DU84" s="384" t="n"/>
      <c r="DV84" s="384" t="n"/>
      <c r="DW84" s="385" t="n"/>
      <c r="DX84" s="386">
        <f>IF(Q83="作業者5",H86-H83,0)</f>
        <v/>
      </c>
      <c r="DY84" s="387" t="n"/>
      <c r="DZ84" s="387" t="n"/>
      <c r="EA84" s="387" t="n"/>
      <c r="EB84" s="388" t="n"/>
    </row>
    <row r="85" ht="9" customHeight="1" s="337">
      <c r="B85" s="350" t="n"/>
      <c r="C85" s="338" t="n"/>
      <c r="D85" s="380" t="n"/>
      <c r="E85" s="23" t="n"/>
      <c r="F85" s="338" t="n"/>
      <c r="G85" s="24" t="n"/>
      <c r="H85" s="23" t="n"/>
      <c r="I85" s="338" t="n"/>
      <c r="J85" s="24" t="n"/>
      <c r="K85" s="23" t="n"/>
      <c r="L85" s="338" t="n"/>
      <c r="M85" s="24" t="n"/>
      <c r="N85" s="23" t="n"/>
      <c r="O85" s="338" t="n"/>
      <c r="P85" s="24" t="n"/>
      <c r="Q85" s="382" t="n"/>
      <c r="R85" s="338" t="n"/>
      <c r="S85" s="380" t="n"/>
      <c r="T85" s="382" t="n"/>
      <c r="U85" s="338" t="n"/>
      <c r="V85" s="380" t="n"/>
      <c r="W85" s="382" t="n"/>
      <c r="X85" s="338" t="n"/>
      <c r="Y85" s="338" t="n"/>
      <c r="Z85" s="338" t="n"/>
      <c r="AA85" s="338" t="n"/>
      <c r="AB85" s="338" t="n"/>
      <c r="AC85" s="338" t="n"/>
      <c r="AD85" s="338" t="n"/>
      <c r="AE85" s="338" t="n"/>
      <c r="AF85" s="338" t="n"/>
      <c r="AG85" s="338" t="n"/>
      <c r="AH85" s="338" t="n"/>
      <c r="AI85" s="338" t="n"/>
      <c r="AJ85" s="338" t="n"/>
      <c r="AK85" s="338" t="n"/>
      <c r="AL85" s="338" t="n"/>
      <c r="AM85" s="338" t="n"/>
      <c r="AN85" s="338" t="n"/>
      <c r="AO85" s="338" t="n"/>
      <c r="AP85" s="338" t="n"/>
      <c r="AQ85" s="338" t="n"/>
      <c r="AR85" s="338" t="n"/>
      <c r="AS85" s="338" t="n"/>
      <c r="AT85" s="338" t="n"/>
      <c r="AU85" s="338" t="n"/>
      <c r="AV85" s="338" t="n"/>
      <c r="AW85" s="338" t="n"/>
      <c r="AX85" s="338" t="n"/>
      <c r="AY85" s="338" t="n"/>
      <c r="AZ85" s="338" t="n"/>
      <c r="BA85" s="338" t="n"/>
      <c r="BB85" s="338" t="n"/>
      <c r="BC85" s="338" t="n"/>
      <c r="BD85" s="338" t="n"/>
      <c r="BE85" s="338" t="n"/>
      <c r="BF85" s="338" t="n"/>
      <c r="BG85" s="338" t="n"/>
      <c r="BH85" s="338" t="n"/>
      <c r="BI85" s="338" t="n"/>
      <c r="BJ85" s="338" t="n"/>
      <c r="BK85" s="338" t="n"/>
      <c r="BL85" s="338" t="n"/>
      <c r="BM85" s="338" t="n"/>
      <c r="BN85" s="338" t="n"/>
      <c r="BO85" s="338" t="n"/>
      <c r="BP85" s="338" t="n"/>
      <c r="BQ85" s="338" t="n"/>
      <c r="BR85" s="338" t="n"/>
      <c r="BS85" s="338" t="n"/>
      <c r="BT85" s="338" t="n"/>
      <c r="BU85" s="338" t="n"/>
      <c r="BV85" s="338" t="n"/>
      <c r="BW85" s="338" t="n"/>
      <c r="BX85" s="338" t="n"/>
      <c r="BY85" s="338" t="n"/>
      <c r="BZ85" s="338" t="n"/>
      <c r="CA85" s="338" t="n"/>
      <c r="CB85" s="338" t="n"/>
      <c r="CC85" s="383" t="n"/>
      <c r="CF85" s="253" t="inlineStr">
        <is>
          <t>時間外</t>
        </is>
      </c>
      <c r="CG85" s="384" t="n"/>
      <c r="CH85" s="384" t="n"/>
      <c r="CI85" s="385" t="n"/>
      <c r="CJ85" s="386">
        <f>IF(Q83="作業者1",K86-K83,0)</f>
        <v/>
      </c>
      <c r="CK85" s="387" t="n"/>
      <c r="CL85" s="387" t="n"/>
      <c r="CM85" s="387" t="n"/>
      <c r="CN85" s="388" t="n"/>
      <c r="CP85" s="253" t="inlineStr">
        <is>
          <t>時間外</t>
        </is>
      </c>
      <c r="CQ85" s="384" t="n"/>
      <c r="CR85" s="384" t="n"/>
      <c r="CS85" s="385" t="n"/>
      <c r="CT85" s="386">
        <f>IF(Q83="作業者2",K86-K83,0)</f>
        <v/>
      </c>
      <c r="CU85" s="387" t="n"/>
      <c r="CV85" s="387" t="n"/>
      <c r="CW85" s="387" t="n"/>
      <c r="CX85" s="388" t="n"/>
      <c r="CZ85" s="253" t="inlineStr">
        <is>
          <t>時間外</t>
        </is>
      </c>
      <c r="DA85" s="384" t="n"/>
      <c r="DB85" s="384" t="n"/>
      <c r="DC85" s="385" t="n"/>
      <c r="DD85" s="386">
        <f>IF(Q83="作業者3",K86-K83,0)</f>
        <v/>
      </c>
      <c r="DE85" s="387" t="n"/>
      <c r="DF85" s="387" t="n"/>
      <c r="DG85" s="387" t="n"/>
      <c r="DH85" s="388" t="n"/>
      <c r="DJ85" s="253" t="inlineStr">
        <is>
          <t>時間外</t>
        </is>
      </c>
      <c r="DK85" s="384" t="n"/>
      <c r="DL85" s="384" t="n"/>
      <c r="DM85" s="385" t="n"/>
      <c r="DN85" s="386">
        <f>IF(Q83="作業者4",K86-K83,0)</f>
        <v/>
      </c>
      <c r="DO85" s="387" t="n"/>
      <c r="DP85" s="387" t="n"/>
      <c r="DQ85" s="387" t="n"/>
      <c r="DR85" s="388" t="n"/>
      <c r="DT85" s="253" t="inlineStr">
        <is>
          <t>時間外</t>
        </is>
      </c>
      <c r="DU85" s="384" t="n"/>
      <c r="DV85" s="384" t="n"/>
      <c r="DW85" s="385" t="n"/>
      <c r="DX85" s="386">
        <f>IF(Q83="作業者5",K86-K83,0)</f>
        <v/>
      </c>
      <c r="DY85" s="387" t="n"/>
      <c r="DZ85" s="387" t="n"/>
      <c r="EA85" s="387" t="n"/>
      <c r="EB85" s="388" t="n"/>
    </row>
    <row r="86" ht="9" customHeight="1" s="337">
      <c r="B86" s="389" t="n"/>
      <c r="C86" s="390" t="n"/>
      <c r="D86" s="391" t="n"/>
      <c r="E86" s="392" t="n"/>
      <c r="F86" s="390" t="n"/>
      <c r="G86" s="391" t="n"/>
      <c r="H86" s="392" t="n"/>
      <c r="I86" s="390" t="n"/>
      <c r="J86" s="391" t="n"/>
      <c r="K86" s="392" t="n"/>
      <c r="L86" s="390" t="n"/>
      <c r="M86" s="391" t="n"/>
      <c r="N86" s="392" t="n"/>
      <c r="O86" s="390" t="n"/>
      <c r="P86" s="391" t="n"/>
      <c r="Q86" s="393" t="n"/>
      <c r="R86" s="390" t="n"/>
      <c r="S86" s="391" t="n"/>
      <c r="T86" s="393" t="n"/>
      <c r="U86" s="390" t="n"/>
      <c r="V86" s="391" t="n"/>
      <c r="W86" s="393" t="n"/>
      <c r="X86" s="390" t="n"/>
      <c r="Y86" s="390" t="n"/>
      <c r="Z86" s="390" t="n"/>
      <c r="AA86" s="390" t="n"/>
      <c r="AB86" s="390" t="n"/>
      <c r="AC86" s="390" t="n"/>
      <c r="AD86" s="390" t="n"/>
      <c r="AE86" s="390" t="n"/>
      <c r="AF86" s="390" t="n"/>
      <c r="AG86" s="390" t="n"/>
      <c r="AH86" s="390" t="n"/>
      <c r="AI86" s="390" t="n"/>
      <c r="AJ86" s="390" t="n"/>
      <c r="AK86" s="390" t="n"/>
      <c r="AL86" s="390" t="n"/>
      <c r="AM86" s="390" t="n"/>
      <c r="AN86" s="390" t="n"/>
      <c r="AO86" s="390" t="n"/>
      <c r="AP86" s="390" t="n"/>
      <c r="AQ86" s="390" t="n"/>
      <c r="AR86" s="390" t="n"/>
      <c r="AS86" s="390" t="n"/>
      <c r="AT86" s="390" t="n"/>
      <c r="AU86" s="390" t="n"/>
      <c r="AV86" s="390" t="n"/>
      <c r="AW86" s="390" t="n"/>
      <c r="AX86" s="390" t="n"/>
      <c r="AY86" s="390" t="n"/>
      <c r="AZ86" s="390" t="n"/>
      <c r="BA86" s="390" t="n"/>
      <c r="BB86" s="390" t="n"/>
      <c r="BC86" s="390" t="n"/>
      <c r="BD86" s="390" t="n"/>
      <c r="BE86" s="390" t="n"/>
      <c r="BF86" s="390" t="n"/>
      <c r="BG86" s="390" t="n"/>
      <c r="BH86" s="390" t="n"/>
      <c r="BI86" s="390" t="n"/>
      <c r="BJ86" s="390" t="n"/>
      <c r="BK86" s="390" t="n"/>
      <c r="BL86" s="390" t="n"/>
      <c r="BM86" s="390" t="n"/>
      <c r="BN86" s="390" t="n"/>
      <c r="BO86" s="390" t="n"/>
      <c r="BP86" s="390" t="n"/>
      <c r="BQ86" s="390" t="n"/>
      <c r="BR86" s="390" t="n"/>
      <c r="BS86" s="390" t="n"/>
      <c r="BT86" s="390" t="n"/>
      <c r="BU86" s="390" t="n"/>
      <c r="BV86" s="390" t="n"/>
      <c r="BW86" s="390" t="n"/>
      <c r="BX86" s="390" t="n"/>
      <c r="BY86" s="390" t="n"/>
      <c r="BZ86" s="390" t="n"/>
      <c r="CA86" s="390" t="n"/>
      <c r="CB86" s="390" t="n"/>
      <c r="CC86" s="394" t="n"/>
      <c r="CF86" s="254" t="inlineStr">
        <is>
          <t>休日</t>
        </is>
      </c>
      <c r="CG86" s="395" t="n"/>
      <c r="CH86" s="395" t="n"/>
      <c r="CI86" s="396" t="n"/>
      <c r="CJ86" s="397">
        <f>IF(Q83="作業者1",N86-N83,0)</f>
        <v/>
      </c>
      <c r="CK86" s="395" t="n"/>
      <c r="CL86" s="395" t="n"/>
      <c r="CM86" s="395" t="n"/>
      <c r="CN86" s="396" t="n"/>
      <c r="CP86" s="254" t="inlineStr">
        <is>
          <t>休日</t>
        </is>
      </c>
      <c r="CQ86" s="395" t="n"/>
      <c r="CR86" s="395" t="n"/>
      <c r="CS86" s="396" t="n"/>
      <c r="CT86" s="397">
        <f>IF(Q83="作業者2",N86-N83,0)</f>
        <v/>
      </c>
      <c r="CU86" s="395" t="n"/>
      <c r="CV86" s="395" t="n"/>
      <c r="CW86" s="395" t="n"/>
      <c r="CX86" s="396" t="n"/>
      <c r="CZ86" s="254" t="inlineStr">
        <is>
          <t>休日</t>
        </is>
      </c>
      <c r="DA86" s="395" t="n"/>
      <c r="DB86" s="395" t="n"/>
      <c r="DC86" s="396" t="n"/>
      <c r="DD86" s="397">
        <f>IF(Q83="作業者3",N86-N83,0)</f>
        <v/>
      </c>
      <c r="DE86" s="395" t="n"/>
      <c r="DF86" s="395" t="n"/>
      <c r="DG86" s="395" t="n"/>
      <c r="DH86" s="396" t="n"/>
      <c r="DJ86" s="254" t="inlineStr">
        <is>
          <t>休日</t>
        </is>
      </c>
      <c r="DK86" s="395" t="n"/>
      <c r="DL86" s="395" t="n"/>
      <c r="DM86" s="396" t="n"/>
      <c r="DN86" s="397">
        <f>IF(Q83="作業者4",N86-N83,0)</f>
        <v/>
      </c>
      <c r="DO86" s="395" t="n"/>
      <c r="DP86" s="395" t="n"/>
      <c r="DQ86" s="395" t="n"/>
      <c r="DR86" s="396" t="n"/>
      <c r="DT86" s="254" t="inlineStr">
        <is>
          <t>休日</t>
        </is>
      </c>
      <c r="DU86" s="395" t="n"/>
      <c r="DV86" s="395" t="n"/>
      <c r="DW86" s="396" t="n"/>
      <c r="DX86" s="397">
        <f>IF(Q83="作業者5",N86-N83,0)</f>
        <v/>
      </c>
      <c r="DY86" s="395" t="n"/>
      <c r="DZ86" s="395" t="n"/>
      <c r="EA86" s="395" t="n"/>
      <c r="EB86" s="396" t="n"/>
    </row>
    <row r="87" ht="9" customHeight="1" s="337">
      <c r="B87" s="398" t="n"/>
      <c r="C87" s="372" t="n"/>
      <c r="D87" s="373" t="n"/>
      <c r="E87" s="399" t="n"/>
      <c r="F87" s="372" t="n"/>
      <c r="G87" s="373" t="n"/>
      <c r="H87" s="399" t="n"/>
      <c r="I87" s="372" t="n"/>
      <c r="J87" s="373" t="n"/>
      <c r="K87" s="399" t="n"/>
      <c r="L87" s="372" t="n"/>
      <c r="M87" s="373" t="n"/>
      <c r="N87" s="399" t="n"/>
      <c r="O87" s="372" t="n"/>
      <c r="P87" s="373" t="n"/>
      <c r="Q87" s="371" t="n"/>
      <c r="R87" s="372" t="n"/>
      <c r="S87" s="373" t="n"/>
      <c r="T87" s="371" t="n"/>
      <c r="U87" s="372" t="n"/>
      <c r="V87" s="373" t="n"/>
      <c r="W87" s="443" t="n"/>
      <c r="X87" s="372" t="n"/>
      <c r="Y87" s="372" t="n"/>
      <c r="Z87" s="372" t="n"/>
      <c r="AA87" s="372" t="n"/>
      <c r="AB87" s="372" t="n"/>
      <c r="AC87" s="372" t="n"/>
      <c r="AD87" s="372" t="n"/>
      <c r="AE87" s="372" t="n"/>
      <c r="AF87" s="372" t="n"/>
      <c r="AG87" s="372" t="n"/>
      <c r="AH87" s="372" t="n"/>
      <c r="AI87" s="372" t="n"/>
      <c r="AJ87" s="372" t="n"/>
      <c r="AK87" s="372" t="n"/>
      <c r="AL87" s="372" t="n"/>
      <c r="AM87" s="372" t="n"/>
      <c r="AN87" s="372" t="n"/>
      <c r="AO87" s="372" t="n"/>
      <c r="AP87" s="372" t="n"/>
      <c r="AQ87" s="372" t="n"/>
      <c r="AR87" s="372" t="n"/>
      <c r="AS87" s="372" t="n"/>
      <c r="AT87" s="372" t="n"/>
      <c r="AU87" s="372" t="n"/>
      <c r="AV87" s="372" t="n"/>
      <c r="AW87" s="372" t="n"/>
      <c r="AX87" s="372" t="n"/>
      <c r="AY87" s="372" t="n"/>
      <c r="AZ87" s="372" t="n"/>
      <c r="BA87" s="372" t="n"/>
      <c r="BB87" s="372" t="n"/>
      <c r="BC87" s="372" t="n"/>
      <c r="BD87" s="372" t="n"/>
      <c r="BE87" s="372" t="n"/>
      <c r="BF87" s="372" t="n"/>
      <c r="BG87" s="372" t="n"/>
      <c r="BH87" s="372" t="n"/>
      <c r="BI87" s="372" t="n"/>
      <c r="BJ87" s="372" t="n"/>
      <c r="BK87" s="372" t="n"/>
      <c r="BL87" s="372" t="n"/>
      <c r="BM87" s="372" t="n"/>
      <c r="BN87" s="372" t="n"/>
      <c r="BO87" s="372" t="n"/>
      <c r="BP87" s="372" t="n"/>
      <c r="BQ87" s="372" t="n"/>
      <c r="BR87" s="372" t="n"/>
      <c r="BS87" s="372" t="n"/>
      <c r="BT87" s="372" t="n"/>
      <c r="BU87" s="372" t="n"/>
      <c r="BV87" s="372" t="n"/>
      <c r="BW87" s="372" t="n"/>
      <c r="BX87" s="372" t="n"/>
      <c r="BY87" s="372" t="n"/>
      <c r="BZ87" s="372" t="n"/>
      <c r="CA87" s="372" t="n"/>
      <c r="CB87" s="372" t="n"/>
      <c r="CC87" s="402" t="n"/>
      <c r="CF87" s="248" t="inlineStr">
        <is>
          <t>移動</t>
        </is>
      </c>
      <c r="CG87" s="377" t="n"/>
      <c r="CH87" s="377" t="n"/>
      <c r="CI87" s="378" t="n"/>
      <c r="CJ87" s="379">
        <f>IF(Q87="作業者1",E90-E87,0)</f>
        <v/>
      </c>
      <c r="CK87" s="377" t="n"/>
      <c r="CL87" s="377" t="n"/>
      <c r="CM87" s="377" t="n"/>
      <c r="CN87" s="378" t="n"/>
      <c r="CP87" s="248" t="inlineStr">
        <is>
          <t>移動</t>
        </is>
      </c>
      <c r="CQ87" s="377" t="n"/>
      <c r="CR87" s="377" t="n"/>
      <c r="CS87" s="378" t="n"/>
      <c r="CT87" s="379">
        <f>IF(Q87="作業者2",E90-E87,0)</f>
        <v/>
      </c>
      <c r="CU87" s="377" t="n"/>
      <c r="CV87" s="377" t="n"/>
      <c r="CW87" s="377" t="n"/>
      <c r="CX87" s="378" t="n"/>
      <c r="CZ87" s="248" t="inlineStr">
        <is>
          <t>移動</t>
        </is>
      </c>
      <c r="DA87" s="377" t="n"/>
      <c r="DB87" s="377" t="n"/>
      <c r="DC87" s="378" t="n"/>
      <c r="DD87" s="379">
        <f>IF(Q87="作業者3",E90-E87,0)</f>
        <v/>
      </c>
      <c r="DE87" s="377" t="n"/>
      <c r="DF87" s="377" t="n"/>
      <c r="DG87" s="377" t="n"/>
      <c r="DH87" s="378" t="n"/>
      <c r="DJ87" s="248" t="inlineStr">
        <is>
          <t>移動</t>
        </is>
      </c>
      <c r="DK87" s="377" t="n"/>
      <c r="DL87" s="377" t="n"/>
      <c r="DM87" s="378" t="n"/>
      <c r="DN87" s="379">
        <f>IF(Q87="作業者4",E90-E87,0)</f>
        <v/>
      </c>
      <c r="DO87" s="377" t="n"/>
      <c r="DP87" s="377" t="n"/>
      <c r="DQ87" s="377" t="n"/>
      <c r="DR87" s="378" t="n"/>
      <c r="DT87" s="259" t="inlineStr">
        <is>
          <t>移動</t>
        </is>
      </c>
      <c r="DU87" s="403" t="n"/>
      <c r="DV87" s="403" t="n"/>
      <c r="DW87" s="404" t="n"/>
      <c r="DX87" s="379">
        <f>IF(Q87="作業者5",E90-E87,0)</f>
        <v/>
      </c>
      <c r="DY87" s="377" t="n"/>
      <c r="DZ87" s="377" t="n"/>
      <c r="EA87" s="377" t="n"/>
      <c r="EB87" s="378" t="n"/>
    </row>
    <row r="88" ht="9" customHeight="1" s="337">
      <c r="B88" s="350" t="n"/>
      <c r="C88" s="338" t="n"/>
      <c r="D88" s="380" t="n"/>
      <c r="E88" s="381" t="n"/>
      <c r="F88" s="122" t="inlineStr">
        <is>
          <t>～</t>
        </is>
      </c>
      <c r="G88" s="22" t="n"/>
      <c r="H88" s="381" t="n"/>
      <c r="I88" s="122" t="inlineStr">
        <is>
          <t>～</t>
        </is>
      </c>
      <c r="J88" s="22" t="n"/>
      <c r="K88" s="381" t="n"/>
      <c r="L88" s="122" t="inlineStr">
        <is>
          <t>～</t>
        </is>
      </c>
      <c r="M88" s="22" t="n"/>
      <c r="N88" s="381" t="n"/>
      <c r="O88" s="122" t="inlineStr">
        <is>
          <t>～</t>
        </is>
      </c>
      <c r="P88" s="22" t="n"/>
      <c r="Q88" s="382" t="n"/>
      <c r="R88" s="338" t="n"/>
      <c r="S88" s="380" t="n"/>
      <c r="T88" s="382" t="n"/>
      <c r="U88" s="338" t="n"/>
      <c r="V88" s="380" t="n"/>
      <c r="W88" s="382" t="n"/>
      <c r="X88" s="338" t="n"/>
      <c r="Y88" s="338" t="n"/>
      <c r="Z88" s="338" t="n"/>
      <c r="AA88" s="338" t="n"/>
      <c r="AB88" s="338" t="n"/>
      <c r="AC88" s="338" t="n"/>
      <c r="AD88" s="338" t="n"/>
      <c r="AE88" s="338" t="n"/>
      <c r="AF88" s="338" t="n"/>
      <c r="AG88" s="338" t="n"/>
      <c r="AH88" s="338" t="n"/>
      <c r="AI88" s="338" t="n"/>
      <c r="AJ88" s="338" t="n"/>
      <c r="AK88" s="338" t="n"/>
      <c r="AL88" s="338" t="n"/>
      <c r="AM88" s="338" t="n"/>
      <c r="AN88" s="338" t="n"/>
      <c r="AO88" s="338" t="n"/>
      <c r="AP88" s="338" t="n"/>
      <c r="AQ88" s="338" t="n"/>
      <c r="AR88" s="338" t="n"/>
      <c r="AS88" s="338" t="n"/>
      <c r="AT88" s="338" t="n"/>
      <c r="AU88" s="338" t="n"/>
      <c r="AV88" s="338" t="n"/>
      <c r="AW88" s="338" t="n"/>
      <c r="AX88" s="338" t="n"/>
      <c r="AY88" s="338" t="n"/>
      <c r="AZ88" s="338" t="n"/>
      <c r="BA88" s="338" t="n"/>
      <c r="BB88" s="338" t="n"/>
      <c r="BC88" s="338" t="n"/>
      <c r="BD88" s="338" t="n"/>
      <c r="BE88" s="338" t="n"/>
      <c r="BF88" s="338" t="n"/>
      <c r="BG88" s="338" t="n"/>
      <c r="BH88" s="338" t="n"/>
      <c r="BI88" s="338" t="n"/>
      <c r="BJ88" s="338" t="n"/>
      <c r="BK88" s="338" t="n"/>
      <c r="BL88" s="338" t="n"/>
      <c r="BM88" s="338" t="n"/>
      <c r="BN88" s="338" t="n"/>
      <c r="BO88" s="338" t="n"/>
      <c r="BP88" s="338" t="n"/>
      <c r="BQ88" s="338" t="n"/>
      <c r="BR88" s="338" t="n"/>
      <c r="BS88" s="338" t="n"/>
      <c r="BT88" s="338" t="n"/>
      <c r="BU88" s="338" t="n"/>
      <c r="BV88" s="338" t="n"/>
      <c r="BW88" s="338" t="n"/>
      <c r="BX88" s="338" t="n"/>
      <c r="BY88" s="338" t="n"/>
      <c r="BZ88" s="338" t="n"/>
      <c r="CA88" s="338" t="n"/>
      <c r="CB88" s="338" t="n"/>
      <c r="CC88" s="383" t="n"/>
      <c r="CF88" s="253" t="inlineStr">
        <is>
          <t>時間内</t>
        </is>
      </c>
      <c r="CG88" s="384" t="n"/>
      <c r="CH88" s="384" t="n"/>
      <c r="CI88" s="385" t="n"/>
      <c r="CJ88" s="386">
        <f>IF(Q87="作業者1",H90-H87,0)</f>
        <v/>
      </c>
      <c r="CK88" s="387" t="n"/>
      <c r="CL88" s="387" t="n"/>
      <c r="CM88" s="387" t="n"/>
      <c r="CN88" s="388" t="n"/>
      <c r="CP88" s="253" t="inlineStr">
        <is>
          <t>時間内</t>
        </is>
      </c>
      <c r="CQ88" s="384" t="n"/>
      <c r="CR88" s="384" t="n"/>
      <c r="CS88" s="385" t="n"/>
      <c r="CT88" s="386">
        <f>IF(Q87="作業者2",H90-H87,0)</f>
        <v/>
      </c>
      <c r="CU88" s="387" t="n"/>
      <c r="CV88" s="387" t="n"/>
      <c r="CW88" s="387" t="n"/>
      <c r="CX88" s="388" t="n"/>
      <c r="CZ88" s="253" t="inlineStr">
        <is>
          <t>時間内</t>
        </is>
      </c>
      <c r="DA88" s="384" t="n"/>
      <c r="DB88" s="384" t="n"/>
      <c r="DC88" s="385" t="n"/>
      <c r="DD88" s="386">
        <f>IF(Q87="作業者3",H90-H87,0)</f>
        <v/>
      </c>
      <c r="DE88" s="387" t="n"/>
      <c r="DF88" s="387" t="n"/>
      <c r="DG88" s="387" t="n"/>
      <c r="DH88" s="388" t="n"/>
      <c r="DJ88" s="253" t="inlineStr">
        <is>
          <t>時間内</t>
        </is>
      </c>
      <c r="DK88" s="384" t="n"/>
      <c r="DL88" s="384" t="n"/>
      <c r="DM88" s="385" t="n"/>
      <c r="DN88" s="386">
        <f>IF(Q87="作業者4",H90-H87,0)</f>
        <v/>
      </c>
      <c r="DO88" s="387" t="n"/>
      <c r="DP88" s="387" t="n"/>
      <c r="DQ88" s="387" t="n"/>
      <c r="DR88" s="388" t="n"/>
      <c r="DT88" s="253" t="inlineStr">
        <is>
          <t>時間内</t>
        </is>
      </c>
      <c r="DU88" s="384" t="n"/>
      <c r="DV88" s="384" t="n"/>
      <c r="DW88" s="385" t="n"/>
      <c r="DX88" s="386">
        <f>IF(Q87="作業者5",H90-H87,0)</f>
        <v/>
      </c>
      <c r="DY88" s="387" t="n"/>
      <c r="DZ88" s="387" t="n"/>
      <c r="EA88" s="387" t="n"/>
      <c r="EB88" s="388" t="n"/>
    </row>
    <row r="89" ht="9" customHeight="1" s="337">
      <c r="B89" s="350" t="n"/>
      <c r="C89" s="338" t="n"/>
      <c r="D89" s="380" t="n"/>
      <c r="E89" s="23" t="n"/>
      <c r="F89" s="338" t="n"/>
      <c r="G89" s="24" t="n"/>
      <c r="H89" s="23" t="n"/>
      <c r="I89" s="338" t="n"/>
      <c r="J89" s="24" t="n"/>
      <c r="K89" s="23" t="n"/>
      <c r="L89" s="338" t="n"/>
      <c r="M89" s="24" t="n"/>
      <c r="N89" s="23" t="n"/>
      <c r="O89" s="338" t="n"/>
      <c r="P89" s="24" t="n"/>
      <c r="Q89" s="382" t="n"/>
      <c r="R89" s="338" t="n"/>
      <c r="S89" s="380" t="n"/>
      <c r="T89" s="382" t="n"/>
      <c r="U89" s="338" t="n"/>
      <c r="V89" s="380" t="n"/>
      <c r="W89" s="382" t="n"/>
      <c r="X89" s="338" t="n"/>
      <c r="Y89" s="338" t="n"/>
      <c r="Z89" s="338" t="n"/>
      <c r="AA89" s="338" t="n"/>
      <c r="AB89" s="338" t="n"/>
      <c r="AC89" s="338" t="n"/>
      <c r="AD89" s="338" t="n"/>
      <c r="AE89" s="338" t="n"/>
      <c r="AF89" s="338" t="n"/>
      <c r="AG89" s="338" t="n"/>
      <c r="AH89" s="338" t="n"/>
      <c r="AI89" s="338" t="n"/>
      <c r="AJ89" s="338" t="n"/>
      <c r="AK89" s="338" t="n"/>
      <c r="AL89" s="338" t="n"/>
      <c r="AM89" s="338" t="n"/>
      <c r="AN89" s="338" t="n"/>
      <c r="AO89" s="338" t="n"/>
      <c r="AP89" s="338" t="n"/>
      <c r="AQ89" s="338" t="n"/>
      <c r="AR89" s="338" t="n"/>
      <c r="AS89" s="338" t="n"/>
      <c r="AT89" s="338" t="n"/>
      <c r="AU89" s="338" t="n"/>
      <c r="AV89" s="338" t="n"/>
      <c r="AW89" s="338" t="n"/>
      <c r="AX89" s="338" t="n"/>
      <c r="AY89" s="338" t="n"/>
      <c r="AZ89" s="338" t="n"/>
      <c r="BA89" s="338" t="n"/>
      <c r="BB89" s="338" t="n"/>
      <c r="BC89" s="338" t="n"/>
      <c r="BD89" s="338" t="n"/>
      <c r="BE89" s="338" t="n"/>
      <c r="BF89" s="338" t="n"/>
      <c r="BG89" s="338" t="n"/>
      <c r="BH89" s="338" t="n"/>
      <c r="BI89" s="338" t="n"/>
      <c r="BJ89" s="338" t="n"/>
      <c r="BK89" s="338" t="n"/>
      <c r="BL89" s="338" t="n"/>
      <c r="BM89" s="338" t="n"/>
      <c r="BN89" s="338" t="n"/>
      <c r="BO89" s="338" t="n"/>
      <c r="BP89" s="338" t="n"/>
      <c r="BQ89" s="338" t="n"/>
      <c r="BR89" s="338" t="n"/>
      <c r="BS89" s="338" t="n"/>
      <c r="BT89" s="338" t="n"/>
      <c r="BU89" s="338" t="n"/>
      <c r="BV89" s="338" t="n"/>
      <c r="BW89" s="338" t="n"/>
      <c r="BX89" s="338" t="n"/>
      <c r="BY89" s="338" t="n"/>
      <c r="BZ89" s="338" t="n"/>
      <c r="CA89" s="338" t="n"/>
      <c r="CB89" s="338" t="n"/>
      <c r="CC89" s="383" t="n"/>
      <c r="CF89" s="253" t="inlineStr">
        <is>
          <t>時間外</t>
        </is>
      </c>
      <c r="CG89" s="384" t="n"/>
      <c r="CH89" s="384" t="n"/>
      <c r="CI89" s="385" t="n"/>
      <c r="CJ89" s="386">
        <f>IF(Q87="作業者1",K90-K87,0)</f>
        <v/>
      </c>
      <c r="CK89" s="387" t="n"/>
      <c r="CL89" s="387" t="n"/>
      <c r="CM89" s="387" t="n"/>
      <c r="CN89" s="388" t="n"/>
      <c r="CP89" s="253" t="inlineStr">
        <is>
          <t>時間外</t>
        </is>
      </c>
      <c r="CQ89" s="384" t="n"/>
      <c r="CR89" s="384" t="n"/>
      <c r="CS89" s="385" t="n"/>
      <c r="CT89" s="386">
        <f>IF(Q87="作業者2",K90-K87,0)</f>
        <v/>
      </c>
      <c r="CU89" s="387" t="n"/>
      <c r="CV89" s="387" t="n"/>
      <c r="CW89" s="387" t="n"/>
      <c r="CX89" s="388" t="n"/>
      <c r="CZ89" s="253" t="inlineStr">
        <is>
          <t>時間外</t>
        </is>
      </c>
      <c r="DA89" s="384" t="n"/>
      <c r="DB89" s="384" t="n"/>
      <c r="DC89" s="385" t="n"/>
      <c r="DD89" s="386">
        <f>IF(Q87="作業者3",K90-K87,0)</f>
        <v/>
      </c>
      <c r="DE89" s="387" t="n"/>
      <c r="DF89" s="387" t="n"/>
      <c r="DG89" s="387" t="n"/>
      <c r="DH89" s="388" t="n"/>
      <c r="DJ89" s="253" t="inlineStr">
        <is>
          <t>時間外</t>
        </is>
      </c>
      <c r="DK89" s="384" t="n"/>
      <c r="DL89" s="384" t="n"/>
      <c r="DM89" s="385" t="n"/>
      <c r="DN89" s="386">
        <f>IF(Q87="作業者4",K90-K87,0)</f>
        <v/>
      </c>
      <c r="DO89" s="387" t="n"/>
      <c r="DP89" s="387" t="n"/>
      <c r="DQ89" s="387" t="n"/>
      <c r="DR89" s="388" t="n"/>
      <c r="DT89" s="253" t="inlineStr">
        <is>
          <t>時間外</t>
        </is>
      </c>
      <c r="DU89" s="384" t="n"/>
      <c r="DV89" s="384" t="n"/>
      <c r="DW89" s="385" t="n"/>
      <c r="DX89" s="386">
        <f>IF(Q87="作業者5",K90-K87,0)</f>
        <v/>
      </c>
      <c r="DY89" s="387" t="n"/>
      <c r="DZ89" s="387" t="n"/>
      <c r="EA89" s="387" t="n"/>
      <c r="EB89" s="388" t="n"/>
    </row>
    <row r="90" ht="9" customHeight="1" s="337">
      <c r="B90" s="389" t="n"/>
      <c r="C90" s="390" t="n"/>
      <c r="D90" s="391" t="n"/>
      <c r="E90" s="392" t="n"/>
      <c r="F90" s="390" t="n"/>
      <c r="G90" s="391" t="n"/>
      <c r="H90" s="392" t="n"/>
      <c r="I90" s="390" t="n"/>
      <c r="J90" s="391" t="n"/>
      <c r="K90" s="392" t="n"/>
      <c r="L90" s="390" t="n"/>
      <c r="M90" s="391" t="n"/>
      <c r="N90" s="392" t="n"/>
      <c r="O90" s="390" t="n"/>
      <c r="P90" s="391" t="n"/>
      <c r="Q90" s="393" t="n"/>
      <c r="R90" s="390" t="n"/>
      <c r="S90" s="391" t="n"/>
      <c r="T90" s="393" t="n"/>
      <c r="U90" s="390" t="n"/>
      <c r="V90" s="391" t="n"/>
      <c r="W90" s="393" t="n"/>
      <c r="X90" s="390" t="n"/>
      <c r="Y90" s="390" t="n"/>
      <c r="Z90" s="390" t="n"/>
      <c r="AA90" s="390" t="n"/>
      <c r="AB90" s="390" t="n"/>
      <c r="AC90" s="390" t="n"/>
      <c r="AD90" s="390" t="n"/>
      <c r="AE90" s="390" t="n"/>
      <c r="AF90" s="390" t="n"/>
      <c r="AG90" s="390" t="n"/>
      <c r="AH90" s="390" t="n"/>
      <c r="AI90" s="390" t="n"/>
      <c r="AJ90" s="390" t="n"/>
      <c r="AK90" s="390" t="n"/>
      <c r="AL90" s="390" t="n"/>
      <c r="AM90" s="390" t="n"/>
      <c r="AN90" s="390" t="n"/>
      <c r="AO90" s="390" t="n"/>
      <c r="AP90" s="390" t="n"/>
      <c r="AQ90" s="390" t="n"/>
      <c r="AR90" s="390" t="n"/>
      <c r="AS90" s="390" t="n"/>
      <c r="AT90" s="390" t="n"/>
      <c r="AU90" s="390" t="n"/>
      <c r="AV90" s="390" t="n"/>
      <c r="AW90" s="390" t="n"/>
      <c r="AX90" s="390" t="n"/>
      <c r="AY90" s="390" t="n"/>
      <c r="AZ90" s="390" t="n"/>
      <c r="BA90" s="390" t="n"/>
      <c r="BB90" s="390" t="n"/>
      <c r="BC90" s="390" t="n"/>
      <c r="BD90" s="390" t="n"/>
      <c r="BE90" s="390" t="n"/>
      <c r="BF90" s="390" t="n"/>
      <c r="BG90" s="390" t="n"/>
      <c r="BH90" s="390" t="n"/>
      <c r="BI90" s="390" t="n"/>
      <c r="BJ90" s="390" t="n"/>
      <c r="BK90" s="390" t="n"/>
      <c r="BL90" s="390" t="n"/>
      <c r="BM90" s="390" t="n"/>
      <c r="BN90" s="390" t="n"/>
      <c r="BO90" s="390" t="n"/>
      <c r="BP90" s="390" t="n"/>
      <c r="BQ90" s="390" t="n"/>
      <c r="BR90" s="390" t="n"/>
      <c r="BS90" s="390" t="n"/>
      <c r="BT90" s="390" t="n"/>
      <c r="BU90" s="390" t="n"/>
      <c r="BV90" s="390" t="n"/>
      <c r="BW90" s="390" t="n"/>
      <c r="BX90" s="390" t="n"/>
      <c r="BY90" s="390" t="n"/>
      <c r="BZ90" s="390" t="n"/>
      <c r="CA90" s="390" t="n"/>
      <c r="CB90" s="390" t="n"/>
      <c r="CC90" s="394" t="n"/>
      <c r="CF90" s="254" t="inlineStr">
        <is>
          <t>休日</t>
        </is>
      </c>
      <c r="CG90" s="395" t="n"/>
      <c r="CH90" s="395" t="n"/>
      <c r="CI90" s="396" t="n"/>
      <c r="CJ90" s="386">
        <f>IF(Q87="作業者1",N90-N87,0)</f>
        <v/>
      </c>
      <c r="CK90" s="387" t="n"/>
      <c r="CL90" s="387" t="n"/>
      <c r="CM90" s="387" t="n"/>
      <c r="CN90" s="388" t="n"/>
      <c r="CP90" s="253" t="inlineStr">
        <is>
          <t>休日</t>
        </is>
      </c>
      <c r="CQ90" s="384" t="n"/>
      <c r="CR90" s="384" t="n"/>
      <c r="CS90" s="385" t="n"/>
      <c r="CT90" s="386">
        <f>IF(Q87="作業者2",N90-N87,0)</f>
        <v/>
      </c>
      <c r="CU90" s="387" t="n"/>
      <c r="CV90" s="387" t="n"/>
      <c r="CW90" s="387" t="n"/>
      <c r="CX90" s="388" t="n"/>
      <c r="CZ90" s="254" t="inlineStr">
        <is>
          <t>休日</t>
        </is>
      </c>
      <c r="DA90" s="395" t="n"/>
      <c r="DB90" s="395" t="n"/>
      <c r="DC90" s="396" t="n"/>
      <c r="DD90" s="397">
        <f>IF(Q87="作業者3",N90-N87,0)</f>
        <v/>
      </c>
      <c r="DE90" s="395" t="n"/>
      <c r="DF90" s="395" t="n"/>
      <c r="DG90" s="395" t="n"/>
      <c r="DH90" s="396" t="n"/>
      <c r="DJ90" s="254" t="inlineStr">
        <is>
          <t>休日</t>
        </is>
      </c>
      <c r="DK90" s="395" t="n"/>
      <c r="DL90" s="395" t="n"/>
      <c r="DM90" s="396" t="n"/>
      <c r="DN90" s="397">
        <f>IF(Q87="作業者4",N90-N87,0)</f>
        <v/>
      </c>
      <c r="DO90" s="395" t="n"/>
      <c r="DP90" s="395" t="n"/>
      <c r="DQ90" s="395" t="n"/>
      <c r="DR90" s="396" t="n"/>
      <c r="DT90" s="254" t="inlineStr">
        <is>
          <t>休日</t>
        </is>
      </c>
      <c r="DU90" s="395" t="n"/>
      <c r="DV90" s="395" t="n"/>
      <c r="DW90" s="396" t="n"/>
      <c r="DX90" s="397">
        <f>IF(Q87="作業者5",N90-N87,0)</f>
        <v/>
      </c>
      <c r="DY90" s="395" t="n"/>
      <c r="DZ90" s="395" t="n"/>
      <c r="EA90" s="395" t="n"/>
      <c r="EB90" s="396" t="n"/>
    </row>
    <row r="91" ht="9" customHeight="1" s="337">
      <c r="B91" s="398" t="n"/>
      <c r="C91" s="372" t="n"/>
      <c r="D91" s="373" t="n"/>
      <c r="E91" s="399" t="n"/>
      <c r="F91" s="372" t="n"/>
      <c r="G91" s="373" t="n"/>
      <c r="H91" s="399" t="n"/>
      <c r="I91" s="372" t="n"/>
      <c r="J91" s="373" t="n"/>
      <c r="K91" s="399" t="n"/>
      <c r="L91" s="372" t="n"/>
      <c r="M91" s="373" t="n"/>
      <c r="N91" s="399" t="n"/>
      <c r="O91" s="372" t="n"/>
      <c r="P91" s="373" t="n"/>
      <c r="Q91" s="371" t="n"/>
      <c r="R91" s="372" t="n"/>
      <c r="S91" s="373" t="n"/>
      <c r="T91" s="371" t="n"/>
      <c r="U91" s="372" t="n"/>
      <c r="V91" s="373" t="n"/>
      <c r="W91" s="443" t="n"/>
      <c r="X91" s="372" t="n"/>
      <c r="Y91" s="372" t="n"/>
      <c r="Z91" s="372" t="n"/>
      <c r="AA91" s="372" t="n"/>
      <c r="AB91" s="372" t="n"/>
      <c r="AC91" s="372" t="n"/>
      <c r="AD91" s="372" t="n"/>
      <c r="AE91" s="372" t="n"/>
      <c r="AF91" s="372" t="n"/>
      <c r="AG91" s="372" t="n"/>
      <c r="AH91" s="372" t="n"/>
      <c r="AI91" s="372" t="n"/>
      <c r="AJ91" s="372" t="n"/>
      <c r="AK91" s="372" t="n"/>
      <c r="AL91" s="372" t="n"/>
      <c r="AM91" s="372" t="n"/>
      <c r="AN91" s="372" t="n"/>
      <c r="AO91" s="372" t="n"/>
      <c r="AP91" s="372" t="n"/>
      <c r="AQ91" s="372" t="n"/>
      <c r="AR91" s="372" t="n"/>
      <c r="AS91" s="372" t="n"/>
      <c r="AT91" s="372" t="n"/>
      <c r="AU91" s="372" t="n"/>
      <c r="AV91" s="372" t="n"/>
      <c r="AW91" s="372" t="n"/>
      <c r="AX91" s="372" t="n"/>
      <c r="AY91" s="372" t="n"/>
      <c r="AZ91" s="372" t="n"/>
      <c r="BA91" s="372" t="n"/>
      <c r="BB91" s="372" t="n"/>
      <c r="BC91" s="372" t="n"/>
      <c r="BD91" s="372" t="n"/>
      <c r="BE91" s="372" t="n"/>
      <c r="BF91" s="372" t="n"/>
      <c r="BG91" s="372" t="n"/>
      <c r="BH91" s="372" t="n"/>
      <c r="BI91" s="372" t="n"/>
      <c r="BJ91" s="372" t="n"/>
      <c r="BK91" s="372" t="n"/>
      <c r="BL91" s="372" t="n"/>
      <c r="BM91" s="372" t="n"/>
      <c r="BN91" s="372" t="n"/>
      <c r="BO91" s="372" t="n"/>
      <c r="BP91" s="372" t="n"/>
      <c r="BQ91" s="372" t="n"/>
      <c r="BR91" s="372" t="n"/>
      <c r="BS91" s="372" t="n"/>
      <c r="BT91" s="372" t="n"/>
      <c r="BU91" s="372" t="n"/>
      <c r="BV91" s="372" t="n"/>
      <c r="BW91" s="372" t="n"/>
      <c r="BX91" s="372" t="n"/>
      <c r="BY91" s="372" t="n"/>
      <c r="BZ91" s="372" t="n"/>
      <c r="CA91" s="372" t="n"/>
      <c r="CB91" s="372" t="n"/>
      <c r="CC91" s="402" t="n"/>
      <c r="CF91" s="259" t="inlineStr">
        <is>
          <t>移動</t>
        </is>
      </c>
      <c r="CG91" s="403" t="n"/>
      <c r="CH91" s="403" t="n"/>
      <c r="CI91" s="404" t="n"/>
      <c r="CJ91" s="379">
        <f>IF(Q91="作業者1",E94-E91,0)</f>
        <v/>
      </c>
      <c r="CK91" s="377" t="n"/>
      <c r="CL91" s="377" t="n"/>
      <c r="CM91" s="377" t="n"/>
      <c r="CN91" s="378" t="n"/>
      <c r="CP91" s="248" t="inlineStr">
        <is>
          <t>移動</t>
        </is>
      </c>
      <c r="CQ91" s="377" t="n"/>
      <c r="CR91" s="377" t="n"/>
      <c r="CS91" s="378" t="n"/>
      <c r="CT91" s="379">
        <f>IF(Q91="作業者2",E94-E91,0)</f>
        <v/>
      </c>
      <c r="CU91" s="377" t="n"/>
      <c r="CV91" s="377" t="n"/>
      <c r="CW91" s="377" t="n"/>
      <c r="CX91" s="378" t="n"/>
      <c r="CZ91" s="259" t="inlineStr">
        <is>
          <t>移動</t>
        </is>
      </c>
      <c r="DA91" s="403" t="n"/>
      <c r="DB91" s="403" t="n"/>
      <c r="DC91" s="404" t="n"/>
      <c r="DD91" s="405">
        <f>IF(Q91="作業者3",E94-E91,0)</f>
        <v/>
      </c>
      <c r="DE91" s="406" t="n"/>
      <c r="DF91" s="406" t="n"/>
      <c r="DG91" s="406" t="n"/>
      <c r="DH91" s="407" t="n"/>
      <c r="DJ91" s="259" t="inlineStr">
        <is>
          <t>移動</t>
        </is>
      </c>
      <c r="DK91" s="403" t="n"/>
      <c r="DL91" s="403" t="n"/>
      <c r="DM91" s="404" t="n"/>
      <c r="DN91" s="379">
        <f>IF(Q91="作業者4",E94-E91,0)</f>
        <v/>
      </c>
      <c r="DO91" s="377" t="n"/>
      <c r="DP91" s="377" t="n"/>
      <c r="DQ91" s="377" t="n"/>
      <c r="DR91" s="378" t="n"/>
      <c r="DT91" s="259" t="inlineStr">
        <is>
          <t>移動</t>
        </is>
      </c>
      <c r="DU91" s="403" t="n"/>
      <c r="DV91" s="403" t="n"/>
      <c r="DW91" s="404" t="n"/>
      <c r="DX91" s="379">
        <f>IF(Q91="作業者5",E94-E91,0)</f>
        <v/>
      </c>
      <c r="DY91" s="377" t="n"/>
      <c r="DZ91" s="377" t="n"/>
      <c r="EA91" s="377" t="n"/>
      <c r="EB91" s="378" t="n"/>
    </row>
    <row r="92" ht="9" customHeight="1" s="337">
      <c r="B92" s="350" t="n"/>
      <c r="C92" s="338" t="n"/>
      <c r="D92" s="380" t="n"/>
      <c r="E92" s="381" t="n"/>
      <c r="F92" s="122" t="inlineStr">
        <is>
          <t>～</t>
        </is>
      </c>
      <c r="G92" s="22" t="n"/>
      <c r="H92" s="381" t="n"/>
      <c r="I92" s="122" t="inlineStr">
        <is>
          <t>～</t>
        </is>
      </c>
      <c r="J92" s="22" t="n"/>
      <c r="K92" s="381" t="n"/>
      <c r="L92" s="122" t="inlineStr">
        <is>
          <t>～</t>
        </is>
      </c>
      <c r="M92" s="22" t="n"/>
      <c r="N92" s="381" t="n"/>
      <c r="O92" s="122" t="inlineStr">
        <is>
          <t>～</t>
        </is>
      </c>
      <c r="P92" s="22" t="n"/>
      <c r="Q92" s="382" t="n"/>
      <c r="R92" s="338" t="n"/>
      <c r="S92" s="380" t="n"/>
      <c r="T92" s="382" t="n"/>
      <c r="U92" s="338" t="n"/>
      <c r="V92" s="380" t="n"/>
      <c r="W92" s="382" t="n"/>
      <c r="X92" s="338" t="n"/>
      <c r="Y92" s="338" t="n"/>
      <c r="Z92" s="338" t="n"/>
      <c r="AA92" s="338" t="n"/>
      <c r="AB92" s="338" t="n"/>
      <c r="AC92" s="338" t="n"/>
      <c r="AD92" s="338" t="n"/>
      <c r="AE92" s="338" t="n"/>
      <c r="AF92" s="338" t="n"/>
      <c r="AG92" s="338" t="n"/>
      <c r="AH92" s="338" t="n"/>
      <c r="AI92" s="338" t="n"/>
      <c r="AJ92" s="338" t="n"/>
      <c r="AK92" s="338" t="n"/>
      <c r="AL92" s="338" t="n"/>
      <c r="AM92" s="338" t="n"/>
      <c r="AN92" s="338" t="n"/>
      <c r="AO92" s="338" t="n"/>
      <c r="AP92" s="338" t="n"/>
      <c r="AQ92" s="338" t="n"/>
      <c r="AR92" s="338" t="n"/>
      <c r="AS92" s="338" t="n"/>
      <c r="AT92" s="338" t="n"/>
      <c r="AU92" s="338" t="n"/>
      <c r="AV92" s="338" t="n"/>
      <c r="AW92" s="338" t="n"/>
      <c r="AX92" s="338" t="n"/>
      <c r="AY92" s="338" t="n"/>
      <c r="AZ92" s="338" t="n"/>
      <c r="BA92" s="338" t="n"/>
      <c r="BB92" s="338" t="n"/>
      <c r="BC92" s="338" t="n"/>
      <c r="BD92" s="338" t="n"/>
      <c r="BE92" s="338" t="n"/>
      <c r="BF92" s="338" t="n"/>
      <c r="BG92" s="338" t="n"/>
      <c r="BH92" s="338" t="n"/>
      <c r="BI92" s="338" t="n"/>
      <c r="BJ92" s="338" t="n"/>
      <c r="BK92" s="338" t="n"/>
      <c r="BL92" s="338" t="n"/>
      <c r="BM92" s="338" t="n"/>
      <c r="BN92" s="338" t="n"/>
      <c r="BO92" s="338" t="n"/>
      <c r="BP92" s="338" t="n"/>
      <c r="BQ92" s="338" t="n"/>
      <c r="BR92" s="338" t="n"/>
      <c r="BS92" s="338" t="n"/>
      <c r="BT92" s="338" t="n"/>
      <c r="BU92" s="338" t="n"/>
      <c r="BV92" s="338" t="n"/>
      <c r="BW92" s="338" t="n"/>
      <c r="BX92" s="338" t="n"/>
      <c r="BY92" s="338" t="n"/>
      <c r="BZ92" s="338" t="n"/>
      <c r="CA92" s="338" t="n"/>
      <c r="CB92" s="338" t="n"/>
      <c r="CC92" s="383" t="n"/>
      <c r="CF92" s="253" t="inlineStr">
        <is>
          <t>時間内</t>
        </is>
      </c>
      <c r="CG92" s="384" t="n"/>
      <c r="CH92" s="384" t="n"/>
      <c r="CI92" s="385" t="n"/>
      <c r="CJ92" s="386">
        <f>IF(Q91="作業者1",H94-H91,0)</f>
        <v/>
      </c>
      <c r="CK92" s="387" t="n"/>
      <c r="CL92" s="387" t="n"/>
      <c r="CM92" s="387" t="n"/>
      <c r="CN92" s="388" t="n"/>
      <c r="CP92" s="253" t="inlineStr">
        <is>
          <t>時間内</t>
        </is>
      </c>
      <c r="CQ92" s="384" t="n"/>
      <c r="CR92" s="384" t="n"/>
      <c r="CS92" s="385" t="n"/>
      <c r="CT92" s="386">
        <f>IF(Q91="作業者2",H94-H91,0)</f>
        <v/>
      </c>
      <c r="CU92" s="387" t="n"/>
      <c r="CV92" s="387" t="n"/>
      <c r="CW92" s="387" t="n"/>
      <c r="CX92" s="388" t="n"/>
      <c r="CZ92" s="253" t="inlineStr">
        <is>
          <t>時間内</t>
        </is>
      </c>
      <c r="DA92" s="384" t="n"/>
      <c r="DB92" s="384" t="n"/>
      <c r="DC92" s="385" t="n"/>
      <c r="DD92" s="386">
        <f>IF(Q91="作業者3",H94-H91,0)</f>
        <v/>
      </c>
      <c r="DE92" s="387" t="n"/>
      <c r="DF92" s="387" t="n"/>
      <c r="DG92" s="387" t="n"/>
      <c r="DH92" s="388" t="n"/>
      <c r="DJ92" s="253" t="inlineStr">
        <is>
          <t>時間内</t>
        </is>
      </c>
      <c r="DK92" s="384" t="n"/>
      <c r="DL92" s="384" t="n"/>
      <c r="DM92" s="385" t="n"/>
      <c r="DN92" s="386">
        <f>IF(Q91="作業者4",H94-H91,0)</f>
        <v/>
      </c>
      <c r="DO92" s="387" t="n"/>
      <c r="DP92" s="387" t="n"/>
      <c r="DQ92" s="387" t="n"/>
      <c r="DR92" s="388" t="n"/>
      <c r="DT92" s="253" t="inlineStr">
        <is>
          <t>時間内</t>
        </is>
      </c>
      <c r="DU92" s="384" t="n"/>
      <c r="DV92" s="384" t="n"/>
      <c r="DW92" s="385" t="n"/>
      <c r="DX92" s="386">
        <f>IF(Q91="作業者5",H94-H91,0)</f>
        <v/>
      </c>
      <c r="DY92" s="387" t="n"/>
      <c r="DZ92" s="387" t="n"/>
      <c r="EA92" s="387" t="n"/>
      <c r="EB92" s="388" t="n"/>
    </row>
    <row r="93" ht="9" customHeight="1" s="337">
      <c r="B93" s="350" t="n"/>
      <c r="C93" s="338" t="n"/>
      <c r="D93" s="380" t="n"/>
      <c r="E93" s="23" t="n"/>
      <c r="F93" s="338" t="n"/>
      <c r="G93" s="24" t="n"/>
      <c r="H93" s="23" t="n"/>
      <c r="I93" s="338" t="n"/>
      <c r="J93" s="24" t="n"/>
      <c r="K93" s="23" t="n"/>
      <c r="L93" s="338" t="n"/>
      <c r="M93" s="24" t="n"/>
      <c r="N93" s="23" t="n"/>
      <c r="O93" s="338" t="n"/>
      <c r="P93" s="24" t="n"/>
      <c r="Q93" s="382" t="n"/>
      <c r="R93" s="338" t="n"/>
      <c r="S93" s="380" t="n"/>
      <c r="T93" s="382" t="n"/>
      <c r="U93" s="338" t="n"/>
      <c r="V93" s="380" t="n"/>
      <c r="W93" s="382" t="n"/>
      <c r="X93" s="338" t="n"/>
      <c r="Y93" s="338" t="n"/>
      <c r="Z93" s="338" t="n"/>
      <c r="AA93" s="338" t="n"/>
      <c r="AB93" s="338" t="n"/>
      <c r="AC93" s="338" t="n"/>
      <c r="AD93" s="338" t="n"/>
      <c r="AE93" s="338" t="n"/>
      <c r="AF93" s="338" t="n"/>
      <c r="AG93" s="338" t="n"/>
      <c r="AH93" s="338" t="n"/>
      <c r="AI93" s="338" t="n"/>
      <c r="AJ93" s="338" t="n"/>
      <c r="AK93" s="338" t="n"/>
      <c r="AL93" s="338" t="n"/>
      <c r="AM93" s="338" t="n"/>
      <c r="AN93" s="338" t="n"/>
      <c r="AO93" s="338" t="n"/>
      <c r="AP93" s="338" t="n"/>
      <c r="AQ93" s="338" t="n"/>
      <c r="AR93" s="338" t="n"/>
      <c r="AS93" s="338" t="n"/>
      <c r="AT93" s="338" t="n"/>
      <c r="AU93" s="338" t="n"/>
      <c r="AV93" s="338" t="n"/>
      <c r="AW93" s="338" t="n"/>
      <c r="AX93" s="338" t="n"/>
      <c r="AY93" s="338" t="n"/>
      <c r="AZ93" s="338" t="n"/>
      <c r="BA93" s="338" t="n"/>
      <c r="BB93" s="338" t="n"/>
      <c r="BC93" s="338" t="n"/>
      <c r="BD93" s="338" t="n"/>
      <c r="BE93" s="338" t="n"/>
      <c r="BF93" s="338" t="n"/>
      <c r="BG93" s="338" t="n"/>
      <c r="BH93" s="338" t="n"/>
      <c r="BI93" s="338" t="n"/>
      <c r="BJ93" s="338" t="n"/>
      <c r="BK93" s="338" t="n"/>
      <c r="BL93" s="338" t="n"/>
      <c r="BM93" s="338" t="n"/>
      <c r="BN93" s="338" t="n"/>
      <c r="BO93" s="338" t="n"/>
      <c r="BP93" s="338" t="n"/>
      <c r="BQ93" s="338" t="n"/>
      <c r="BR93" s="338" t="n"/>
      <c r="BS93" s="338" t="n"/>
      <c r="BT93" s="338" t="n"/>
      <c r="BU93" s="338" t="n"/>
      <c r="BV93" s="338" t="n"/>
      <c r="BW93" s="338" t="n"/>
      <c r="BX93" s="338" t="n"/>
      <c r="BY93" s="338" t="n"/>
      <c r="BZ93" s="338" t="n"/>
      <c r="CA93" s="338" t="n"/>
      <c r="CB93" s="338" t="n"/>
      <c r="CC93" s="383" t="n"/>
      <c r="CF93" s="253" t="inlineStr">
        <is>
          <t>時間外</t>
        </is>
      </c>
      <c r="CG93" s="384" t="n"/>
      <c r="CH93" s="384" t="n"/>
      <c r="CI93" s="385" t="n"/>
      <c r="CJ93" s="386">
        <f>IF(Q91="作業者1",K94-K91,0)</f>
        <v/>
      </c>
      <c r="CK93" s="387" t="n"/>
      <c r="CL93" s="387" t="n"/>
      <c r="CM93" s="387" t="n"/>
      <c r="CN93" s="388" t="n"/>
      <c r="CP93" s="253" t="inlineStr">
        <is>
          <t>時間外</t>
        </is>
      </c>
      <c r="CQ93" s="384" t="n"/>
      <c r="CR93" s="384" t="n"/>
      <c r="CS93" s="385" t="n"/>
      <c r="CT93" s="386">
        <f>IF(Q91="作業者2",K94-K91,0)</f>
        <v/>
      </c>
      <c r="CU93" s="387" t="n"/>
      <c r="CV93" s="387" t="n"/>
      <c r="CW93" s="387" t="n"/>
      <c r="CX93" s="388" t="n"/>
      <c r="CZ93" s="253" t="inlineStr">
        <is>
          <t>時間外</t>
        </is>
      </c>
      <c r="DA93" s="384" t="n"/>
      <c r="DB93" s="384" t="n"/>
      <c r="DC93" s="385" t="n"/>
      <c r="DD93" s="386">
        <f>IF(Q91="作業者3",K94-K91,0)</f>
        <v/>
      </c>
      <c r="DE93" s="387" t="n"/>
      <c r="DF93" s="387" t="n"/>
      <c r="DG93" s="387" t="n"/>
      <c r="DH93" s="388" t="n"/>
      <c r="DJ93" s="253" t="inlineStr">
        <is>
          <t>時間外</t>
        </is>
      </c>
      <c r="DK93" s="384" t="n"/>
      <c r="DL93" s="384" t="n"/>
      <c r="DM93" s="385" t="n"/>
      <c r="DN93" s="386">
        <f>IF(Q91="作業者4",K94-K91,0)</f>
        <v/>
      </c>
      <c r="DO93" s="387" t="n"/>
      <c r="DP93" s="387" t="n"/>
      <c r="DQ93" s="387" t="n"/>
      <c r="DR93" s="388" t="n"/>
      <c r="DT93" s="253" t="inlineStr">
        <is>
          <t>時間外</t>
        </is>
      </c>
      <c r="DU93" s="384" t="n"/>
      <c r="DV93" s="384" t="n"/>
      <c r="DW93" s="385" t="n"/>
      <c r="DX93" s="386">
        <f>IF(Q91="作業者5",K94-K91,0)</f>
        <v/>
      </c>
      <c r="DY93" s="387" t="n"/>
      <c r="DZ93" s="387" t="n"/>
      <c r="EA93" s="387" t="n"/>
      <c r="EB93" s="388" t="n"/>
    </row>
    <row r="94" ht="9" customHeight="1" s="337">
      <c r="B94" s="389" t="n"/>
      <c r="C94" s="390" t="n"/>
      <c r="D94" s="391" t="n"/>
      <c r="E94" s="392" t="n"/>
      <c r="F94" s="390" t="n"/>
      <c r="G94" s="391" t="n"/>
      <c r="H94" s="392" t="n"/>
      <c r="I94" s="390" t="n"/>
      <c r="J94" s="391" t="n"/>
      <c r="K94" s="392" t="n"/>
      <c r="L94" s="390" t="n"/>
      <c r="M94" s="391" t="n"/>
      <c r="N94" s="392" t="n"/>
      <c r="O94" s="390" t="n"/>
      <c r="P94" s="391" t="n"/>
      <c r="Q94" s="393" t="n"/>
      <c r="R94" s="390" t="n"/>
      <c r="S94" s="391" t="n"/>
      <c r="T94" s="393" t="n"/>
      <c r="U94" s="390" t="n"/>
      <c r="V94" s="391" t="n"/>
      <c r="W94" s="393" t="n"/>
      <c r="X94" s="390" t="n"/>
      <c r="Y94" s="390" t="n"/>
      <c r="Z94" s="390" t="n"/>
      <c r="AA94" s="390" t="n"/>
      <c r="AB94" s="390" t="n"/>
      <c r="AC94" s="390" t="n"/>
      <c r="AD94" s="390" t="n"/>
      <c r="AE94" s="390" t="n"/>
      <c r="AF94" s="390" t="n"/>
      <c r="AG94" s="390" t="n"/>
      <c r="AH94" s="390" t="n"/>
      <c r="AI94" s="390" t="n"/>
      <c r="AJ94" s="390" t="n"/>
      <c r="AK94" s="390" t="n"/>
      <c r="AL94" s="390" t="n"/>
      <c r="AM94" s="390" t="n"/>
      <c r="AN94" s="390" t="n"/>
      <c r="AO94" s="390" t="n"/>
      <c r="AP94" s="390" t="n"/>
      <c r="AQ94" s="390" t="n"/>
      <c r="AR94" s="390" t="n"/>
      <c r="AS94" s="390" t="n"/>
      <c r="AT94" s="390" t="n"/>
      <c r="AU94" s="390" t="n"/>
      <c r="AV94" s="390" t="n"/>
      <c r="AW94" s="390" t="n"/>
      <c r="AX94" s="390" t="n"/>
      <c r="AY94" s="390" t="n"/>
      <c r="AZ94" s="390" t="n"/>
      <c r="BA94" s="390" t="n"/>
      <c r="BB94" s="390" t="n"/>
      <c r="BC94" s="390" t="n"/>
      <c r="BD94" s="390" t="n"/>
      <c r="BE94" s="390" t="n"/>
      <c r="BF94" s="390" t="n"/>
      <c r="BG94" s="390" t="n"/>
      <c r="BH94" s="390" t="n"/>
      <c r="BI94" s="390" t="n"/>
      <c r="BJ94" s="390" t="n"/>
      <c r="BK94" s="390" t="n"/>
      <c r="BL94" s="390" t="n"/>
      <c r="BM94" s="390" t="n"/>
      <c r="BN94" s="390" t="n"/>
      <c r="BO94" s="390" t="n"/>
      <c r="BP94" s="390" t="n"/>
      <c r="BQ94" s="390" t="n"/>
      <c r="BR94" s="390" t="n"/>
      <c r="BS94" s="390" t="n"/>
      <c r="BT94" s="390" t="n"/>
      <c r="BU94" s="390" t="n"/>
      <c r="BV94" s="390" t="n"/>
      <c r="BW94" s="390" t="n"/>
      <c r="BX94" s="390" t="n"/>
      <c r="BY94" s="390" t="n"/>
      <c r="BZ94" s="390" t="n"/>
      <c r="CA94" s="390" t="n"/>
      <c r="CB94" s="390" t="n"/>
      <c r="CC94" s="394" t="n"/>
      <c r="CF94" s="254" t="inlineStr">
        <is>
          <t>休日</t>
        </is>
      </c>
      <c r="CG94" s="395" t="n"/>
      <c r="CH94" s="395" t="n"/>
      <c r="CI94" s="396" t="n"/>
      <c r="CJ94" s="397">
        <f>IF(Q91="作業者1",N94-N91,0)</f>
        <v/>
      </c>
      <c r="CK94" s="395" t="n"/>
      <c r="CL94" s="395" t="n"/>
      <c r="CM94" s="395" t="n"/>
      <c r="CN94" s="396" t="n"/>
      <c r="CP94" s="254" t="inlineStr">
        <is>
          <t>休日</t>
        </is>
      </c>
      <c r="CQ94" s="395" t="n"/>
      <c r="CR94" s="395" t="n"/>
      <c r="CS94" s="396" t="n"/>
      <c r="CT94" s="397">
        <f>IF(Q91="作業者2",N94-N91,0)</f>
        <v/>
      </c>
      <c r="CU94" s="395" t="n"/>
      <c r="CV94" s="395" t="n"/>
      <c r="CW94" s="395" t="n"/>
      <c r="CX94" s="396" t="n"/>
      <c r="CZ94" s="254" t="inlineStr">
        <is>
          <t>休日</t>
        </is>
      </c>
      <c r="DA94" s="395" t="n"/>
      <c r="DB94" s="395" t="n"/>
      <c r="DC94" s="396" t="n"/>
      <c r="DD94" s="397">
        <f>IF(Q91="作業者3",N94-N91,0)</f>
        <v/>
      </c>
      <c r="DE94" s="395" t="n"/>
      <c r="DF94" s="395" t="n"/>
      <c r="DG94" s="395" t="n"/>
      <c r="DH94" s="396" t="n"/>
      <c r="DJ94" s="254" t="inlineStr">
        <is>
          <t>休日</t>
        </is>
      </c>
      <c r="DK94" s="395" t="n"/>
      <c r="DL94" s="395" t="n"/>
      <c r="DM94" s="396" t="n"/>
      <c r="DN94" s="397">
        <f>IF(Q91="作業者4",N94-N91,0)</f>
        <v/>
      </c>
      <c r="DO94" s="395" t="n"/>
      <c r="DP94" s="395" t="n"/>
      <c r="DQ94" s="395" t="n"/>
      <c r="DR94" s="396" t="n"/>
      <c r="DT94" s="254" t="inlineStr">
        <is>
          <t>休日</t>
        </is>
      </c>
      <c r="DU94" s="395" t="n"/>
      <c r="DV94" s="395" t="n"/>
      <c r="DW94" s="396" t="n"/>
      <c r="DX94" s="397">
        <f>IF(Q91="作業者5",N94-N91,0)</f>
        <v/>
      </c>
      <c r="DY94" s="395" t="n"/>
      <c r="DZ94" s="395" t="n"/>
      <c r="EA94" s="395" t="n"/>
      <c r="EB94" s="396" t="n"/>
    </row>
    <row r="95" ht="9" customHeight="1" s="337">
      <c r="B95" s="398" t="n"/>
      <c r="C95" s="372" t="n"/>
      <c r="D95" s="373" t="n"/>
      <c r="E95" s="399" t="n"/>
      <c r="F95" s="372" t="n"/>
      <c r="G95" s="373" t="n"/>
      <c r="H95" s="399" t="n"/>
      <c r="I95" s="372" t="n"/>
      <c r="J95" s="373" t="n"/>
      <c r="K95" s="399" t="n"/>
      <c r="L95" s="372" t="n"/>
      <c r="M95" s="373" t="n"/>
      <c r="N95" s="399" t="n"/>
      <c r="O95" s="372" t="n"/>
      <c r="P95" s="373" t="n"/>
      <c r="Q95" s="371" t="n"/>
      <c r="R95" s="372" t="n"/>
      <c r="S95" s="373" t="n"/>
      <c r="T95" s="371" t="n"/>
      <c r="U95" s="372" t="n"/>
      <c r="V95" s="373" t="n"/>
      <c r="W95" s="443" t="n"/>
      <c r="X95" s="372" t="n"/>
      <c r="Y95" s="372" t="n"/>
      <c r="Z95" s="372" t="n"/>
      <c r="AA95" s="372" t="n"/>
      <c r="AB95" s="372" t="n"/>
      <c r="AC95" s="372" t="n"/>
      <c r="AD95" s="372" t="n"/>
      <c r="AE95" s="372" t="n"/>
      <c r="AF95" s="372" t="n"/>
      <c r="AG95" s="372" t="n"/>
      <c r="AH95" s="372" t="n"/>
      <c r="AI95" s="372" t="n"/>
      <c r="AJ95" s="372" t="n"/>
      <c r="AK95" s="372" t="n"/>
      <c r="AL95" s="372" t="n"/>
      <c r="AM95" s="372" t="n"/>
      <c r="AN95" s="372" t="n"/>
      <c r="AO95" s="372" t="n"/>
      <c r="AP95" s="372" t="n"/>
      <c r="AQ95" s="372" t="n"/>
      <c r="AR95" s="372" t="n"/>
      <c r="AS95" s="372" t="n"/>
      <c r="AT95" s="372" t="n"/>
      <c r="AU95" s="372" t="n"/>
      <c r="AV95" s="372" t="n"/>
      <c r="AW95" s="372" t="n"/>
      <c r="AX95" s="372" t="n"/>
      <c r="AY95" s="372" t="n"/>
      <c r="AZ95" s="372" t="n"/>
      <c r="BA95" s="372" t="n"/>
      <c r="BB95" s="372" t="n"/>
      <c r="BC95" s="372" t="n"/>
      <c r="BD95" s="372" t="n"/>
      <c r="BE95" s="372" t="n"/>
      <c r="BF95" s="372" t="n"/>
      <c r="BG95" s="372" t="n"/>
      <c r="BH95" s="372" t="n"/>
      <c r="BI95" s="372" t="n"/>
      <c r="BJ95" s="372" t="n"/>
      <c r="BK95" s="372" t="n"/>
      <c r="BL95" s="372" t="n"/>
      <c r="BM95" s="372" t="n"/>
      <c r="BN95" s="372" t="n"/>
      <c r="BO95" s="372" t="n"/>
      <c r="BP95" s="372" t="n"/>
      <c r="BQ95" s="372" t="n"/>
      <c r="BR95" s="372" t="n"/>
      <c r="BS95" s="372" t="n"/>
      <c r="BT95" s="372" t="n"/>
      <c r="BU95" s="372" t="n"/>
      <c r="BV95" s="372" t="n"/>
      <c r="BW95" s="372" t="n"/>
      <c r="BX95" s="372" t="n"/>
      <c r="BY95" s="372" t="n"/>
      <c r="BZ95" s="372" t="n"/>
      <c r="CA95" s="372" t="n"/>
      <c r="CB95" s="372" t="n"/>
      <c r="CC95" s="402" t="n"/>
      <c r="CF95" s="248" t="inlineStr">
        <is>
          <t>移動</t>
        </is>
      </c>
      <c r="CG95" s="377" t="n"/>
      <c r="CH95" s="377" t="n"/>
      <c r="CI95" s="378" t="n"/>
      <c r="CJ95" s="379">
        <f>IF(Q95="作業者1",E98-E95,0)</f>
        <v/>
      </c>
      <c r="CK95" s="377" t="n"/>
      <c r="CL95" s="377" t="n"/>
      <c r="CM95" s="377" t="n"/>
      <c r="CN95" s="378" t="n"/>
      <c r="CP95" s="248" t="inlineStr">
        <is>
          <t>移動</t>
        </is>
      </c>
      <c r="CQ95" s="377" t="n"/>
      <c r="CR95" s="377" t="n"/>
      <c r="CS95" s="378" t="n"/>
      <c r="CT95" s="379">
        <f>IF(Q95="作業者2",E98-E95,0)</f>
        <v/>
      </c>
      <c r="CU95" s="377" t="n"/>
      <c r="CV95" s="377" t="n"/>
      <c r="CW95" s="377" t="n"/>
      <c r="CX95" s="378" t="n"/>
      <c r="CZ95" s="248" t="inlineStr">
        <is>
          <t>移動</t>
        </is>
      </c>
      <c r="DA95" s="377" t="n"/>
      <c r="DB95" s="377" t="n"/>
      <c r="DC95" s="378" t="n"/>
      <c r="DD95" s="379">
        <f>IF(Q95="作業者3",E98-E95,0)</f>
        <v/>
      </c>
      <c r="DE95" s="377" t="n"/>
      <c r="DF95" s="377" t="n"/>
      <c r="DG95" s="377" t="n"/>
      <c r="DH95" s="378" t="n"/>
      <c r="DJ95" s="248" t="inlineStr">
        <is>
          <t>移動</t>
        </is>
      </c>
      <c r="DK95" s="377" t="n"/>
      <c r="DL95" s="377" t="n"/>
      <c r="DM95" s="378" t="n"/>
      <c r="DN95" s="379">
        <f>IF(Q95="作業者4",E98-E95,0)</f>
        <v/>
      </c>
      <c r="DO95" s="377" t="n"/>
      <c r="DP95" s="377" t="n"/>
      <c r="DQ95" s="377" t="n"/>
      <c r="DR95" s="378" t="n"/>
      <c r="DT95" s="259" t="inlineStr">
        <is>
          <t>移動</t>
        </is>
      </c>
      <c r="DU95" s="403" t="n"/>
      <c r="DV95" s="403" t="n"/>
      <c r="DW95" s="404" t="n"/>
      <c r="DX95" s="379">
        <f>IF(Q95="作業者5",E98-E95,0)</f>
        <v/>
      </c>
      <c r="DY95" s="377" t="n"/>
      <c r="DZ95" s="377" t="n"/>
      <c r="EA95" s="377" t="n"/>
      <c r="EB95" s="378" t="n"/>
    </row>
    <row r="96" ht="9" customHeight="1" s="337">
      <c r="B96" s="350" t="n"/>
      <c r="C96" s="338" t="n"/>
      <c r="D96" s="380" t="n"/>
      <c r="E96" s="381" t="n"/>
      <c r="F96" s="122" t="inlineStr">
        <is>
          <t>～</t>
        </is>
      </c>
      <c r="G96" s="22" t="n"/>
      <c r="H96" s="381" t="n"/>
      <c r="I96" s="122" t="inlineStr">
        <is>
          <t>～</t>
        </is>
      </c>
      <c r="J96" s="22" t="n"/>
      <c r="K96" s="381" t="n"/>
      <c r="L96" s="122" t="inlineStr">
        <is>
          <t>～</t>
        </is>
      </c>
      <c r="M96" s="22" t="n"/>
      <c r="N96" s="381" t="n"/>
      <c r="O96" s="122" t="inlineStr">
        <is>
          <t>～</t>
        </is>
      </c>
      <c r="P96" s="22" t="n"/>
      <c r="Q96" s="382" t="n"/>
      <c r="R96" s="338" t="n"/>
      <c r="S96" s="380" t="n"/>
      <c r="T96" s="382" t="n"/>
      <c r="U96" s="338" t="n"/>
      <c r="V96" s="380" t="n"/>
      <c r="W96" s="382" t="n"/>
      <c r="X96" s="338" t="n"/>
      <c r="Y96" s="338" t="n"/>
      <c r="Z96" s="338" t="n"/>
      <c r="AA96" s="338" t="n"/>
      <c r="AB96" s="338" t="n"/>
      <c r="AC96" s="338" t="n"/>
      <c r="AD96" s="338" t="n"/>
      <c r="AE96" s="338" t="n"/>
      <c r="AF96" s="338" t="n"/>
      <c r="AG96" s="338" t="n"/>
      <c r="AH96" s="338" t="n"/>
      <c r="AI96" s="338" t="n"/>
      <c r="AJ96" s="338" t="n"/>
      <c r="AK96" s="338" t="n"/>
      <c r="AL96" s="338" t="n"/>
      <c r="AM96" s="338" t="n"/>
      <c r="AN96" s="338" t="n"/>
      <c r="AO96" s="338" t="n"/>
      <c r="AP96" s="338" t="n"/>
      <c r="AQ96" s="338" t="n"/>
      <c r="AR96" s="338" t="n"/>
      <c r="AS96" s="338" t="n"/>
      <c r="AT96" s="338" t="n"/>
      <c r="AU96" s="338" t="n"/>
      <c r="AV96" s="338" t="n"/>
      <c r="AW96" s="338" t="n"/>
      <c r="AX96" s="338" t="n"/>
      <c r="AY96" s="338" t="n"/>
      <c r="AZ96" s="338" t="n"/>
      <c r="BA96" s="338" t="n"/>
      <c r="BB96" s="338" t="n"/>
      <c r="BC96" s="338" t="n"/>
      <c r="BD96" s="338" t="n"/>
      <c r="BE96" s="338" t="n"/>
      <c r="BF96" s="338" t="n"/>
      <c r="BG96" s="338" t="n"/>
      <c r="BH96" s="338" t="n"/>
      <c r="BI96" s="338" t="n"/>
      <c r="BJ96" s="338" t="n"/>
      <c r="BK96" s="338" t="n"/>
      <c r="BL96" s="338" t="n"/>
      <c r="BM96" s="338" t="n"/>
      <c r="BN96" s="338" t="n"/>
      <c r="BO96" s="338" t="n"/>
      <c r="BP96" s="338" t="n"/>
      <c r="BQ96" s="338" t="n"/>
      <c r="BR96" s="338" t="n"/>
      <c r="BS96" s="338" t="n"/>
      <c r="BT96" s="338" t="n"/>
      <c r="BU96" s="338" t="n"/>
      <c r="BV96" s="338" t="n"/>
      <c r="BW96" s="338" t="n"/>
      <c r="BX96" s="338" t="n"/>
      <c r="BY96" s="338" t="n"/>
      <c r="BZ96" s="338" t="n"/>
      <c r="CA96" s="338" t="n"/>
      <c r="CB96" s="338" t="n"/>
      <c r="CC96" s="383" t="n"/>
      <c r="CF96" s="253" t="inlineStr">
        <is>
          <t>時間内</t>
        </is>
      </c>
      <c r="CG96" s="384" t="n"/>
      <c r="CH96" s="384" t="n"/>
      <c r="CI96" s="385" t="n"/>
      <c r="CJ96" s="386">
        <f>IF(Q95="作業者1",H98-H95,0)</f>
        <v/>
      </c>
      <c r="CK96" s="387" t="n"/>
      <c r="CL96" s="387" t="n"/>
      <c r="CM96" s="387" t="n"/>
      <c r="CN96" s="388" t="n"/>
      <c r="CP96" s="253" t="inlineStr">
        <is>
          <t>時間内</t>
        </is>
      </c>
      <c r="CQ96" s="384" t="n"/>
      <c r="CR96" s="384" t="n"/>
      <c r="CS96" s="385" t="n"/>
      <c r="CT96" s="386">
        <f>IF(Q95="作業者2",H98-H95,0)</f>
        <v/>
      </c>
      <c r="CU96" s="387" t="n"/>
      <c r="CV96" s="387" t="n"/>
      <c r="CW96" s="387" t="n"/>
      <c r="CX96" s="388" t="n"/>
      <c r="CZ96" s="253" t="inlineStr">
        <is>
          <t>時間内</t>
        </is>
      </c>
      <c r="DA96" s="384" t="n"/>
      <c r="DB96" s="384" t="n"/>
      <c r="DC96" s="385" t="n"/>
      <c r="DD96" s="386">
        <f>IF(Q95="作業者3",H98-H95,0)</f>
        <v/>
      </c>
      <c r="DE96" s="387" t="n"/>
      <c r="DF96" s="387" t="n"/>
      <c r="DG96" s="387" t="n"/>
      <c r="DH96" s="388" t="n"/>
      <c r="DJ96" s="253" t="inlineStr">
        <is>
          <t>時間内</t>
        </is>
      </c>
      <c r="DK96" s="384" t="n"/>
      <c r="DL96" s="384" t="n"/>
      <c r="DM96" s="385" t="n"/>
      <c r="DN96" s="386">
        <f>IF(Q95="作業者4",H98-H95,0)</f>
        <v/>
      </c>
      <c r="DO96" s="387" t="n"/>
      <c r="DP96" s="387" t="n"/>
      <c r="DQ96" s="387" t="n"/>
      <c r="DR96" s="388" t="n"/>
      <c r="DT96" s="253" t="inlineStr">
        <is>
          <t>時間内</t>
        </is>
      </c>
      <c r="DU96" s="384" t="n"/>
      <c r="DV96" s="384" t="n"/>
      <c r="DW96" s="385" t="n"/>
      <c r="DX96" s="386">
        <f>IF(Q95="作業者5",H98-H95,0)</f>
        <v/>
      </c>
      <c r="DY96" s="387" t="n"/>
      <c r="DZ96" s="387" t="n"/>
      <c r="EA96" s="387" t="n"/>
      <c r="EB96" s="388" t="n"/>
    </row>
    <row r="97" ht="9" customHeight="1" s="337">
      <c r="B97" s="350" t="n"/>
      <c r="C97" s="338" t="n"/>
      <c r="D97" s="380" t="n"/>
      <c r="E97" s="23" t="n"/>
      <c r="F97" s="338" t="n"/>
      <c r="G97" s="24" t="n"/>
      <c r="H97" s="23" t="n"/>
      <c r="I97" s="338" t="n"/>
      <c r="J97" s="24" t="n"/>
      <c r="K97" s="23" t="n"/>
      <c r="L97" s="338" t="n"/>
      <c r="M97" s="24" t="n"/>
      <c r="N97" s="23" t="n"/>
      <c r="O97" s="338" t="n"/>
      <c r="P97" s="24" t="n"/>
      <c r="Q97" s="382" t="n"/>
      <c r="R97" s="338" t="n"/>
      <c r="S97" s="380" t="n"/>
      <c r="T97" s="382" t="n"/>
      <c r="U97" s="338" t="n"/>
      <c r="V97" s="380" t="n"/>
      <c r="W97" s="382" t="n"/>
      <c r="X97" s="338" t="n"/>
      <c r="Y97" s="338" t="n"/>
      <c r="Z97" s="338" t="n"/>
      <c r="AA97" s="338" t="n"/>
      <c r="AB97" s="338" t="n"/>
      <c r="AC97" s="338" t="n"/>
      <c r="AD97" s="338" t="n"/>
      <c r="AE97" s="338" t="n"/>
      <c r="AF97" s="338" t="n"/>
      <c r="AG97" s="338" t="n"/>
      <c r="AH97" s="338" t="n"/>
      <c r="AI97" s="338" t="n"/>
      <c r="AJ97" s="338" t="n"/>
      <c r="AK97" s="338" t="n"/>
      <c r="AL97" s="338" t="n"/>
      <c r="AM97" s="338" t="n"/>
      <c r="AN97" s="338" t="n"/>
      <c r="AO97" s="338" t="n"/>
      <c r="AP97" s="338" t="n"/>
      <c r="AQ97" s="338" t="n"/>
      <c r="AR97" s="338" t="n"/>
      <c r="AS97" s="338" t="n"/>
      <c r="AT97" s="338" t="n"/>
      <c r="AU97" s="338" t="n"/>
      <c r="AV97" s="338" t="n"/>
      <c r="AW97" s="338" t="n"/>
      <c r="AX97" s="338" t="n"/>
      <c r="AY97" s="338" t="n"/>
      <c r="AZ97" s="338" t="n"/>
      <c r="BA97" s="338" t="n"/>
      <c r="BB97" s="338" t="n"/>
      <c r="BC97" s="338" t="n"/>
      <c r="BD97" s="338" t="n"/>
      <c r="BE97" s="338" t="n"/>
      <c r="BF97" s="338" t="n"/>
      <c r="BG97" s="338" t="n"/>
      <c r="BH97" s="338" t="n"/>
      <c r="BI97" s="338" t="n"/>
      <c r="BJ97" s="338" t="n"/>
      <c r="BK97" s="338" t="n"/>
      <c r="BL97" s="338" t="n"/>
      <c r="BM97" s="338" t="n"/>
      <c r="BN97" s="338" t="n"/>
      <c r="BO97" s="338" t="n"/>
      <c r="BP97" s="338" t="n"/>
      <c r="BQ97" s="338" t="n"/>
      <c r="BR97" s="338" t="n"/>
      <c r="BS97" s="338" t="n"/>
      <c r="BT97" s="338" t="n"/>
      <c r="BU97" s="338" t="n"/>
      <c r="BV97" s="338" t="n"/>
      <c r="BW97" s="338" t="n"/>
      <c r="BX97" s="338" t="n"/>
      <c r="BY97" s="338" t="n"/>
      <c r="BZ97" s="338" t="n"/>
      <c r="CA97" s="338" t="n"/>
      <c r="CB97" s="338" t="n"/>
      <c r="CC97" s="383" t="n"/>
      <c r="CF97" s="253" t="inlineStr">
        <is>
          <t>時間外</t>
        </is>
      </c>
      <c r="CG97" s="384" t="n"/>
      <c r="CH97" s="384" t="n"/>
      <c r="CI97" s="385" t="n"/>
      <c r="CJ97" s="386">
        <f>IF(Q95="作業者1",K98-K95,0)</f>
        <v/>
      </c>
      <c r="CK97" s="387" t="n"/>
      <c r="CL97" s="387" t="n"/>
      <c r="CM97" s="387" t="n"/>
      <c r="CN97" s="388" t="n"/>
      <c r="CP97" s="253" t="inlineStr">
        <is>
          <t>時間外</t>
        </is>
      </c>
      <c r="CQ97" s="384" t="n"/>
      <c r="CR97" s="384" t="n"/>
      <c r="CS97" s="385" t="n"/>
      <c r="CT97" s="386">
        <f>IF(Q95="作業者2",K98-K95,0)</f>
        <v/>
      </c>
      <c r="CU97" s="387" t="n"/>
      <c r="CV97" s="387" t="n"/>
      <c r="CW97" s="387" t="n"/>
      <c r="CX97" s="388" t="n"/>
      <c r="CZ97" s="253" t="inlineStr">
        <is>
          <t>時間外</t>
        </is>
      </c>
      <c r="DA97" s="384" t="n"/>
      <c r="DB97" s="384" t="n"/>
      <c r="DC97" s="385" t="n"/>
      <c r="DD97" s="386">
        <f>IF(Q95="作業者3",K98-K95,0)</f>
        <v/>
      </c>
      <c r="DE97" s="387" t="n"/>
      <c r="DF97" s="387" t="n"/>
      <c r="DG97" s="387" t="n"/>
      <c r="DH97" s="388" t="n"/>
      <c r="DJ97" s="253" t="inlineStr">
        <is>
          <t>時間外</t>
        </is>
      </c>
      <c r="DK97" s="384" t="n"/>
      <c r="DL97" s="384" t="n"/>
      <c r="DM97" s="385" t="n"/>
      <c r="DN97" s="386">
        <f>IF(Q95="作業者4",K98-K95,0)</f>
        <v/>
      </c>
      <c r="DO97" s="387" t="n"/>
      <c r="DP97" s="387" t="n"/>
      <c r="DQ97" s="387" t="n"/>
      <c r="DR97" s="388" t="n"/>
      <c r="DT97" s="253" t="inlineStr">
        <is>
          <t>時間外</t>
        </is>
      </c>
      <c r="DU97" s="384" t="n"/>
      <c r="DV97" s="384" t="n"/>
      <c r="DW97" s="385" t="n"/>
      <c r="DX97" s="386">
        <f>IF(Q95="作業者5",K98-K95,0)</f>
        <v/>
      </c>
      <c r="DY97" s="387" t="n"/>
      <c r="DZ97" s="387" t="n"/>
      <c r="EA97" s="387" t="n"/>
      <c r="EB97" s="388" t="n"/>
    </row>
    <row r="98" ht="9" customHeight="1" s="337">
      <c r="B98" s="389" t="n"/>
      <c r="C98" s="390" t="n"/>
      <c r="D98" s="391" t="n"/>
      <c r="E98" s="392" t="n"/>
      <c r="F98" s="390" t="n"/>
      <c r="G98" s="391" t="n"/>
      <c r="H98" s="392" t="n"/>
      <c r="I98" s="390" t="n"/>
      <c r="J98" s="391" t="n"/>
      <c r="K98" s="392" t="n"/>
      <c r="L98" s="390" t="n"/>
      <c r="M98" s="391" t="n"/>
      <c r="N98" s="392" t="n"/>
      <c r="O98" s="390" t="n"/>
      <c r="P98" s="391" t="n"/>
      <c r="Q98" s="393" t="n"/>
      <c r="R98" s="390" t="n"/>
      <c r="S98" s="391" t="n"/>
      <c r="T98" s="393" t="n"/>
      <c r="U98" s="390" t="n"/>
      <c r="V98" s="391" t="n"/>
      <c r="W98" s="393" t="n"/>
      <c r="X98" s="390" t="n"/>
      <c r="Y98" s="390" t="n"/>
      <c r="Z98" s="390" t="n"/>
      <c r="AA98" s="390" t="n"/>
      <c r="AB98" s="390" t="n"/>
      <c r="AC98" s="390" t="n"/>
      <c r="AD98" s="390" t="n"/>
      <c r="AE98" s="390" t="n"/>
      <c r="AF98" s="390" t="n"/>
      <c r="AG98" s="390" t="n"/>
      <c r="AH98" s="390" t="n"/>
      <c r="AI98" s="390" t="n"/>
      <c r="AJ98" s="390" t="n"/>
      <c r="AK98" s="390" t="n"/>
      <c r="AL98" s="390" t="n"/>
      <c r="AM98" s="390" t="n"/>
      <c r="AN98" s="390" t="n"/>
      <c r="AO98" s="390" t="n"/>
      <c r="AP98" s="390" t="n"/>
      <c r="AQ98" s="390" t="n"/>
      <c r="AR98" s="390" t="n"/>
      <c r="AS98" s="390" t="n"/>
      <c r="AT98" s="390" t="n"/>
      <c r="AU98" s="390" t="n"/>
      <c r="AV98" s="390" t="n"/>
      <c r="AW98" s="390" t="n"/>
      <c r="AX98" s="390" t="n"/>
      <c r="AY98" s="390" t="n"/>
      <c r="AZ98" s="390" t="n"/>
      <c r="BA98" s="390" t="n"/>
      <c r="BB98" s="390" t="n"/>
      <c r="BC98" s="390" t="n"/>
      <c r="BD98" s="390" t="n"/>
      <c r="BE98" s="390" t="n"/>
      <c r="BF98" s="390" t="n"/>
      <c r="BG98" s="390" t="n"/>
      <c r="BH98" s="390" t="n"/>
      <c r="BI98" s="390" t="n"/>
      <c r="BJ98" s="390" t="n"/>
      <c r="BK98" s="390" t="n"/>
      <c r="BL98" s="390" t="n"/>
      <c r="BM98" s="390" t="n"/>
      <c r="BN98" s="390" t="n"/>
      <c r="BO98" s="390" t="n"/>
      <c r="BP98" s="390" t="n"/>
      <c r="BQ98" s="390" t="n"/>
      <c r="BR98" s="390" t="n"/>
      <c r="BS98" s="390" t="n"/>
      <c r="BT98" s="390" t="n"/>
      <c r="BU98" s="390" t="n"/>
      <c r="BV98" s="390" t="n"/>
      <c r="BW98" s="390" t="n"/>
      <c r="BX98" s="390" t="n"/>
      <c r="BY98" s="390" t="n"/>
      <c r="BZ98" s="390" t="n"/>
      <c r="CA98" s="390" t="n"/>
      <c r="CB98" s="390" t="n"/>
      <c r="CC98" s="394" t="n"/>
      <c r="CF98" s="254" t="inlineStr">
        <is>
          <t>休日</t>
        </is>
      </c>
      <c r="CG98" s="395" t="n"/>
      <c r="CH98" s="395" t="n"/>
      <c r="CI98" s="396" t="n"/>
      <c r="CJ98" s="386">
        <f>IF(Q95="作業者1",N98-N95,0)</f>
        <v/>
      </c>
      <c r="CK98" s="387" t="n"/>
      <c r="CL98" s="387" t="n"/>
      <c r="CM98" s="387" t="n"/>
      <c r="CN98" s="388" t="n"/>
      <c r="CP98" s="253" t="inlineStr">
        <is>
          <t>休日</t>
        </is>
      </c>
      <c r="CQ98" s="384" t="n"/>
      <c r="CR98" s="384" t="n"/>
      <c r="CS98" s="385" t="n"/>
      <c r="CT98" s="386">
        <f>IF(Q95="作業者2",N98-N95,0)</f>
        <v/>
      </c>
      <c r="CU98" s="387" t="n"/>
      <c r="CV98" s="387" t="n"/>
      <c r="CW98" s="387" t="n"/>
      <c r="CX98" s="388" t="n"/>
      <c r="CZ98" s="254" t="inlineStr">
        <is>
          <t>休日</t>
        </is>
      </c>
      <c r="DA98" s="395" t="n"/>
      <c r="DB98" s="395" t="n"/>
      <c r="DC98" s="396" t="n"/>
      <c r="DD98" s="397">
        <f>IF(Q95="作業者3",N98-N95,0)</f>
        <v/>
      </c>
      <c r="DE98" s="395" t="n"/>
      <c r="DF98" s="395" t="n"/>
      <c r="DG98" s="395" t="n"/>
      <c r="DH98" s="396" t="n"/>
      <c r="DJ98" s="254" t="inlineStr">
        <is>
          <t>休日</t>
        </is>
      </c>
      <c r="DK98" s="395" t="n"/>
      <c r="DL98" s="395" t="n"/>
      <c r="DM98" s="396" t="n"/>
      <c r="DN98" s="397">
        <f>IF(Q95="作業者4",N98-N95,0)</f>
        <v/>
      </c>
      <c r="DO98" s="395" t="n"/>
      <c r="DP98" s="395" t="n"/>
      <c r="DQ98" s="395" t="n"/>
      <c r="DR98" s="396" t="n"/>
      <c r="DT98" s="254" t="inlineStr">
        <is>
          <t>休日</t>
        </is>
      </c>
      <c r="DU98" s="395" t="n"/>
      <c r="DV98" s="395" t="n"/>
      <c r="DW98" s="396" t="n"/>
      <c r="DX98" s="397">
        <f>IF(Q95="作業者5",N98-N95,0)</f>
        <v/>
      </c>
      <c r="DY98" s="395" t="n"/>
      <c r="DZ98" s="395" t="n"/>
      <c r="EA98" s="395" t="n"/>
      <c r="EB98" s="396" t="n"/>
    </row>
    <row r="99" ht="9" customHeight="1" s="337">
      <c r="B99" s="398" t="n"/>
      <c r="C99" s="372" t="n"/>
      <c r="D99" s="373" t="n"/>
      <c r="E99" s="399" t="n"/>
      <c r="F99" s="372" t="n"/>
      <c r="G99" s="373" t="n"/>
      <c r="H99" s="399" t="n"/>
      <c r="I99" s="372" t="n"/>
      <c r="J99" s="373" t="n"/>
      <c r="K99" s="399" t="n"/>
      <c r="L99" s="372" t="n"/>
      <c r="M99" s="373" t="n"/>
      <c r="N99" s="399" t="n"/>
      <c r="O99" s="372" t="n"/>
      <c r="P99" s="373" t="n"/>
      <c r="Q99" s="371" t="n"/>
      <c r="R99" s="372" t="n"/>
      <c r="S99" s="373" t="n"/>
      <c r="T99" s="371" t="n"/>
      <c r="U99" s="372" t="n"/>
      <c r="V99" s="373" t="n"/>
      <c r="W99" s="443" t="n"/>
      <c r="X99" s="372" t="n"/>
      <c r="Y99" s="372" t="n"/>
      <c r="Z99" s="372" t="n"/>
      <c r="AA99" s="372" t="n"/>
      <c r="AB99" s="372" t="n"/>
      <c r="AC99" s="372" t="n"/>
      <c r="AD99" s="372" t="n"/>
      <c r="AE99" s="372" t="n"/>
      <c r="AF99" s="372" t="n"/>
      <c r="AG99" s="372" t="n"/>
      <c r="AH99" s="372" t="n"/>
      <c r="AI99" s="372" t="n"/>
      <c r="AJ99" s="372" t="n"/>
      <c r="AK99" s="372" t="n"/>
      <c r="AL99" s="372" t="n"/>
      <c r="AM99" s="372" t="n"/>
      <c r="AN99" s="372" t="n"/>
      <c r="AO99" s="372" t="n"/>
      <c r="AP99" s="372" t="n"/>
      <c r="AQ99" s="372" t="n"/>
      <c r="AR99" s="372" t="n"/>
      <c r="AS99" s="372" t="n"/>
      <c r="AT99" s="372" t="n"/>
      <c r="AU99" s="372" t="n"/>
      <c r="AV99" s="372" t="n"/>
      <c r="AW99" s="372" t="n"/>
      <c r="AX99" s="372" t="n"/>
      <c r="AY99" s="372" t="n"/>
      <c r="AZ99" s="372" t="n"/>
      <c r="BA99" s="372" t="n"/>
      <c r="BB99" s="372" t="n"/>
      <c r="BC99" s="372" t="n"/>
      <c r="BD99" s="372" t="n"/>
      <c r="BE99" s="372" t="n"/>
      <c r="BF99" s="372" t="n"/>
      <c r="BG99" s="372" t="n"/>
      <c r="BH99" s="372" t="n"/>
      <c r="BI99" s="372" t="n"/>
      <c r="BJ99" s="372" t="n"/>
      <c r="BK99" s="372" t="n"/>
      <c r="BL99" s="372" t="n"/>
      <c r="BM99" s="372" t="n"/>
      <c r="BN99" s="372" t="n"/>
      <c r="BO99" s="372" t="n"/>
      <c r="BP99" s="372" t="n"/>
      <c r="BQ99" s="372" t="n"/>
      <c r="BR99" s="372" t="n"/>
      <c r="BS99" s="372" t="n"/>
      <c r="BT99" s="372" t="n"/>
      <c r="BU99" s="372" t="n"/>
      <c r="BV99" s="372" t="n"/>
      <c r="BW99" s="372" t="n"/>
      <c r="BX99" s="372" t="n"/>
      <c r="BY99" s="372" t="n"/>
      <c r="BZ99" s="372" t="n"/>
      <c r="CA99" s="372" t="n"/>
      <c r="CB99" s="372" t="n"/>
      <c r="CC99" s="402" t="n"/>
      <c r="CF99" s="259" t="inlineStr">
        <is>
          <t>移動</t>
        </is>
      </c>
      <c r="CG99" s="403" t="n"/>
      <c r="CH99" s="403" t="n"/>
      <c r="CI99" s="404" t="n"/>
      <c r="CJ99" s="379">
        <f>IF(Q99="作業者1",E102-E99,0)</f>
        <v/>
      </c>
      <c r="CK99" s="377" t="n"/>
      <c r="CL99" s="377" t="n"/>
      <c r="CM99" s="377" t="n"/>
      <c r="CN99" s="378" t="n"/>
      <c r="CP99" s="248" t="inlineStr">
        <is>
          <t>移動</t>
        </is>
      </c>
      <c r="CQ99" s="377" t="n"/>
      <c r="CR99" s="377" t="n"/>
      <c r="CS99" s="378" t="n"/>
      <c r="CT99" s="379">
        <f>IF(Q99="作業者2",E102-E99,0)</f>
        <v/>
      </c>
      <c r="CU99" s="377" t="n"/>
      <c r="CV99" s="377" t="n"/>
      <c r="CW99" s="377" t="n"/>
      <c r="CX99" s="378" t="n"/>
      <c r="CZ99" s="259" t="inlineStr">
        <is>
          <t>移動</t>
        </is>
      </c>
      <c r="DA99" s="403" t="n"/>
      <c r="DB99" s="403" t="n"/>
      <c r="DC99" s="404" t="n"/>
      <c r="DD99" s="405">
        <f>IF(Q99="作業者3",E102-E99,0)</f>
        <v/>
      </c>
      <c r="DE99" s="406" t="n"/>
      <c r="DF99" s="406" t="n"/>
      <c r="DG99" s="406" t="n"/>
      <c r="DH99" s="407" t="n"/>
      <c r="DJ99" s="259" t="inlineStr">
        <is>
          <t>移動</t>
        </is>
      </c>
      <c r="DK99" s="403" t="n"/>
      <c r="DL99" s="403" t="n"/>
      <c r="DM99" s="404" t="n"/>
      <c r="DN99" s="379">
        <f>IF(Q99="作業者4",E102-E99,0)</f>
        <v/>
      </c>
      <c r="DO99" s="377" t="n"/>
      <c r="DP99" s="377" t="n"/>
      <c r="DQ99" s="377" t="n"/>
      <c r="DR99" s="378" t="n"/>
      <c r="DT99" s="259" t="inlineStr">
        <is>
          <t>移動</t>
        </is>
      </c>
      <c r="DU99" s="403" t="n"/>
      <c r="DV99" s="403" t="n"/>
      <c r="DW99" s="404" t="n"/>
      <c r="DX99" s="379">
        <f>IF(Q99="作業者5",E102-E99,0)</f>
        <v/>
      </c>
      <c r="DY99" s="377" t="n"/>
      <c r="DZ99" s="377" t="n"/>
      <c r="EA99" s="377" t="n"/>
      <c r="EB99" s="378" t="n"/>
    </row>
    <row r="100" ht="9" customHeight="1" s="337">
      <c r="B100" s="350" t="n"/>
      <c r="C100" s="338" t="n"/>
      <c r="D100" s="380" t="n"/>
      <c r="E100" s="381" t="n"/>
      <c r="F100" s="122" t="inlineStr">
        <is>
          <t>～</t>
        </is>
      </c>
      <c r="G100" s="22" t="n"/>
      <c r="H100" s="381" t="n"/>
      <c r="I100" s="122" t="inlineStr">
        <is>
          <t>～</t>
        </is>
      </c>
      <c r="J100" s="22" t="n"/>
      <c r="K100" s="381" t="n"/>
      <c r="L100" s="122" t="inlineStr">
        <is>
          <t>～</t>
        </is>
      </c>
      <c r="M100" s="22" t="n"/>
      <c r="N100" s="381" t="n"/>
      <c r="O100" s="122" t="inlineStr">
        <is>
          <t>～</t>
        </is>
      </c>
      <c r="P100" s="22" t="n"/>
      <c r="Q100" s="382" t="n"/>
      <c r="R100" s="338" t="n"/>
      <c r="S100" s="380" t="n"/>
      <c r="T100" s="382" t="n"/>
      <c r="U100" s="338" t="n"/>
      <c r="V100" s="380" t="n"/>
      <c r="W100" s="382" t="n"/>
      <c r="X100" s="338" t="n"/>
      <c r="Y100" s="338" t="n"/>
      <c r="Z100" s="338" t="n"/>
      <c r="AA100" s="338" t="n"/>
      <c r="AB100" s="338" t="n"/>
      <c r="AC100" s="338" t="n"/>
      <c r="AD100" s="338" t="n"/>
      <c r="AE100" s="338" t="n"/>
      <c r="AF100" s="338" t="n"/>
      <c r="AG100" s="338" t="n"/>
      <c r="AH100" s="338" t="n"/>
      <c r="AI100" s="338" t="n"/>
      <c r="AJ100" s="338" t="n"/>
      <c r="AK100" s="338" t="n"/>
      <c r="AL100" s="338" t="n"/>
      <c r="AM100" s="338" t="n"/>
      <c r="AN100" s="338" t="n"/>
      <c r="AO100" s="338" t="n"/>
      <c r="AP100" s="338" t="n"/>
      <c r="AQ100" s="338" t="n"/>
      <c r="AR100" s="338" t="n"/>
      <c r="AS100" s="338" t="n"/>
      <c r="AT100" s="338" t="n"/>
      <c r="AU100" s="338" t="n"/>
      <c r="AV100" s="338" t="n"/>
      <c r="AW100" s="338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83" t="n"/>
      <c r="CF100" s="253" t="inlineStr">
        <is>
          <t>時間内</t>
        </is>
      </c>
      <c r="CG100" s="384" t="n"/>
      <c r="CH100" s="384" t="n"/>
      <c r="CI100" s="385" t="n"/>
      <c r="CJ100" s="386">
        <f>IF(Q99="作業者1",H102-H99,0)</f>
        <v/>
      </c>
      <c r="CK100" s="387" t="n"/>
      <c r="CL100" s="387" t="n"/>
      <c r="CM100" s="387" t="n"/>
      <c r="CN100" s="388" t="n"/>
      <c r="CP100" s="253" t="inlineStr">
        <is>
          <t>時間内</t>
        </is>
      </c>
      <c r="CQ100" s="384" t="n"/>
      <c r="CR100" s="384" t="n"/>
      <c r="CS100" s="385" t="n"/>
      <c r="CT100" s="386">
        <f>IF(Q99="作業者2",H102-H99,0)</f>
        <v/>
      </c>
      <c r="CU100" s="387" t="n"/>
      <c r="CV100" s="387" t="n"/>
      <c r="CW100" s="387" t="n"/>
      <c r="CX100" s="388" t="n"/>
      <c r="CZ100" s="253" t="inlineStr">
        <is>
          <t>時間内</t>
        </is>
      </c>
      <c r="DA100" s="384" t="n"/>
      <c r="DB100" s="384" t="n"/>
      <c r="DC100" s="385" t="n"/>
      <c r="DD100" s="386">
        <f>IF(Q99="作業者3",H102-H99,0)</f>
        <v/>
      </c>
      <c r="DE100" s="387" t="n"/>
      <c r="DF100" s="387" t="n"/>
      <c r="DG100" s="387" t="n"/>
      <c r="DH100" s="388" t="n"/>
      <c r="DJ100" s="253" t="inlineStr">
        <is>
          <t>時間内</t>
        </is>
      </c>
      <c r="DK100" s="384" t="n"/>
      <c r="DL100" s="384" t="n"/>
      <c r="DM100" s="385" t="n"/>
      <c r="DN100" s="386">
        <f>IF(Q99="作業者4",H102-H99,0)</f>
        <v/>
      </c>
      <c r="DO100" s="387" t="n"/>
      <c r="DP100" s="387" t="n"/>
      <c r="DQ100" s="387" t="n"/>
      <c r="DR100" s="388" t="n"/>
      <c r="DT100" s="253" t="inlineStr">
        <is>
          <t>時間内</t>
        </is>
      </c>
      <c r="DU100" s="384" t="n"/>
      <c r="DV100" s="384" t="n"/>
      <c r="DW100" s="385" t="n"/>
      <c r="DX100" s="386">
        <f>IF(Q99="作業者5",H102-H99,0)</f>
        <v/>
      </c>
      <c r="DY100" s="387" t="n"/>
      <c r="DZ100" s="387" t="n"/>
      <c r="EA100" s="387" t="n"/>
      <c r="EB100" s="388" t="n"/>
    </row>
    <row r="101" ht="9" customHeight="1" s="337">
      <c r="B101" s="350" t="n"/>
      <c r="C101" s="338" t="n"/>
      <c r="D101" s="380" t="n"/>
      <c r="E101" s="23" t="n"/>
      <c r="F101" s="338" t="n"/>
      <c r="G101" s="24" t="n"/>
      <c r="H101" s="23" t="n"/>
      <c r="I101" s="338" t="n"/>
      <c r="J101" s="24" t="n"/>
      <c r="K101" s="23" t="n"/>
      <c r="L101" s="338" t="n"/>
      <c r="M101" s="24" t="n"/>
      <c r="N101" s="23" t="n"/>
      <c r="O101" s="338" t="n"/>
      <c r="P101" s="24" t="n"/>
      <c r="Q101" s="382" t="n"/>
      <c r="R101" s="338" t="n"/>
      <c r="S101" s="380" t="n"/>
      <c r="T101" s="382" t="n"/>
      <c r="U101" s="338" t="n"/>
      <c r="V101" s="380" t="n"/>
      <c r="W101" s="382" t="n"/>
      <c r="X101" s="338" t="n"/>
      <c r="Y101" s="338" t="n"/>
      <c r="Z101" s="338" t="n"/>
      <c r="AA101" s="338" t="n"/>
      <c r="AB101" s="338" t="n"/>
      <c r="AC101" s="338" t="n"/>
      <c r="AD101" s="338" t="n"/>
      <c r="AE101" s="338" t="n"/>
      <c r="AF101" s="338" t="n"/>
      <c r="AG101" s="338" t="n"/>
      <c r="AH101" s="338" t="n"/>
      <c r="AI101" s="338" t="n"/>
      <c r="AJ101" s="338" t="n"/>
      <c r="AK101" s="338" t="n"/>
      <c r="AL101" s="338" t="n"/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38" t="n"/>
      <c r="AW101" s="338" t="n"/>
      <c r="AX101" s="338" t="n"/>
      <c r="AY101" s="338" t="n"/>
      <c r="AZ101" s="338" t="n"/>
      <c r="BA101" s="338" t="n"/>
      <c r="BB101" s="338" t="n"/>
      <c r="BC101" s="338" t="n"/>
      <c r="BD101" s="338" t="n"/>
      <c r="BE101" s="338" t="n"/>
      <c r="BF101" s="338" t="n"/>
      <c r="BG101" s="338" t="n"/>
      <c r="BH101" s="338" t="n"/>
      <c r="BI101" s="338" t="n"/>
      <c r="BJ101" s="338" t="n"/>
      <c r="BK101" s="338" t="n"/>
      <c r="BL101" s="338" t="n"/>
      <c r="BM101" s="338" t="n"/>
      <c r="BN101" s="338" t="n"/>
      <c r="BO101" s="338" t="n"/>
      <c r="BP101" s="338" t="n"/>
      <c r="BQ101" s="338" t="n"/>
      <c r="BR101" s="338" t="n"/>
      <c r="BS101" s="338" t="n"/>
      <c r="BT101" s="338" t="n"/>
      <c r="BU101" s="338" t="n"/>
      <c r="BV101" s="338" t="n"/>
      <c r="BW101" s="338" t="n"/>
      <c r="BX101" s="338" t="n"/>
      <c r="BY101" s="338" t="n"/>
      <c r="BZ101" s="338" t="n"/>
      <c r="CA101" s="338" t="n"/>
      <c r="CB101" s="338" t="n"/>
      <c r="CC101" s="383" t="n"/>
      <c r="CF101" s="253" t="inlineStr">
        <is>
          <t>時間外</t>
        </is>
      </c>
      <c r="CG101" s="384" t="n"/>
      <c r="CH101" s="384" t="n"/>
      <c r="CI101" s="385" t="n"/>
      <c r="CJ101" s="386">
        <f>IF(Q99="作業者1",K102-K99,0)</f>
        <v/>
      </c>
      <c r="CK101" s="387" t="n"/>
      <c r="CL101" s="387" t="n"/>
      <c r="CM101" s="387" t="n"/>
      <c r="CN101" s="388" t="n"/>
      <c r="CP101" s="253" t="inlineStr">
        <is>
          <t>時間外</t>
        </is>
      </c>
      <c r="CQ101" s="384" t="n"/>
      <c r="CR101" s="384" t="n"/>
      <c r="CS101" s="385" t="n"/>
      <c r="CT101" s="386">
        <f>IF(Q99="作業者2",K102-K99,0)</f>
        <v/>
      </c>
      <c r="CU101" s="387" t="n"/>
      <c r="CV101" s="387" t="n"/>
      <c r="CW101" s="387" t="n"/>
      <c r="CX101" s="388" t="n"/>
      <c r="CZ101" s="253" t="inlineStr">
        <is>
          <t>時間外</t>
        </is>
      </c>
      <c r="DA101" s="384" t="n"/>
      <c r="DB101" s="384" t="n"/>
      <c r="DC101" s="385" t="n"/>
      <c r="DD101" s="386">
        <f>IF(Q99="作業者3",K102-K99,0)</f>
        <v/>
      </c>
      <c r="DE101" s="387" t="n"/>
      <c r="DF101" s="387" t="n"/>
      <c r="DG101" s="387" t="n"/>
      <c r="DH101" s="388" t="n"/>
      <c r="DJ101" s="253" t="inlineStr">
        <is>
          <t>時間外</t>
        </is>
      </c>
      <c r="DK101" s="384" t="n"/>
      <c r="DL101" s="384" t="n"/>
      <c r="DM101" s="385" t="n"/>
      <c r="DN101" s="386">
        <f>IF(Q99="作業者4",K102-K99,0)</f>
        <v/>
      </c>
      <c r="DO101" s="387" t="n"/>
      <c r="DP101" s="387" t="n"/>
      <c r="DQ101" s="387" t="n"/>
      <c r="DR101" s="388" t="n"/>
      <c r="DT101" s="253" t="inlineStr">
        <is>
          <t>時間外</t>
        </is>
      </c>
      <c r="DU101" s="384" t="n"/>
      <c r="DV101" s="384" t="n"/>
      <c r="DW101" s="385" t="n"/>
      <c r="DX101" s="386">
        <f>IF(Q99="作業者5",K102-K99,0)</f>
        <v/>
      </c>
      <c r="DY101" s="387" t="n"/>
      <c r="DZ101" s="387" t="n"/>
      <c r="EA101" s="387" t="n"/>
      <c r="EB101" s="388" t="n"/>
    </row>
    <row r="102" ht="9" customHeight="1" s="337">
      <c r="B102" s="389" t="n"/>
      <c r="C102" s="390" t="n"/>
      <c r="D102" s="391" t="n"/>
      <c r="E102" s="392" t="n"/>
      <c r="F102" s="390" t="n"/>
      <c r="G102" s="391" t="n"/>
      <c r="H102" s="392" t="n"/>
      <c r="I102" s="390" t="n"/>
      <c r="J102" s="391" t="n"/>
      <c r="K102" s="392" t="n"/>
      <c r="L102" s="390" t="n"/>
      <c r="M102" s="391" t="n"/>
      <c r="N102" s="392" t="n"/>
      <c r="O102" s="390" t="n"/>
      <c r="P102" s="391" t="n"/>
      <c r="Q102" s="393" t="n"/>
      <c r="R102" s="390" t="n"/>
      <c r="S102" s="391" t="n"/>
      <c r="T102" s="393" t="n"/>
      <c r="U102" s="390" t="n"/>
      <c r="V102" s="391" t="n"/>
      <c r="W102" s="393" t="n"/>
      <c r="X102" s="390" t="n"/>
      <c r="Y102" s="390" t="n"/>
      <c r="Z102" s="390" t="n"/>
      <c r="AA102" s="390" t="n"/>
      <c r="AB102" s="390" t="n"/>
      <c r="AC102" s="390" t="n"/>
      <c r="AD102" s="390" t="n"/>
      <c r="AE102" s="390" t="n"/>
      <c r="AF102" s="390" t="n"/>
      <c r="AG102" s="390" t="n"/>
      <c r="AH102" s="390" t="n"/>
      <c r="AI102" s="390" t="n"/>
      <c r="AJ102" s="390" t="n"/>
      <c r="AK102" s="390" t="n"/>
      <c r="AL102" s="390" t="n"/>
      <c r="AM102" s="390" t="n"/>
      <c r="AN102" s="390" t="n"/>
      <c r="AO102" s="390" t="n"/>
      <c r="AP102" s="390" t="n"/>
      <c r="AQ102" s="390" t="n"/>
      <c r="AR102" s="390" t="n"/>
      <c r="AS102" s="390" t="n"/>
      <c r="AT102" s="390" t="n"/>
      <c r="AU102" s="390" t="n"/>
      <c r="AV102" s="390" t="n"/>
      <c r="AW102" s="390" t="n"/>
      <c r="AX102" s="390" t="n"/>
      <c r="AY102" s="390" t="n"/>
      <c r="AZ102" s="390" t="n"/>
      <c r="BA102" s="390" t="n"/>
      <c r="BB102" s="390" t="n"/>
      <c r="BC102" s="390" t="n"/>
      <c r="BD102" s="390" t="n"/>
      <c r="BE102" s="390" t="n"/>
      <c r="BF102" s="390" t="n"/>
      <c r="BG102" s="390" t="n"/>
      <c r="BH102" s="390" t="n"/>
      <c r="BI102" s="390" t="n"/>
      <c r="BJ102" s="390" t="n"/>
      <c r="BK102" s="390" t="n"/>
      <c r="BL102" s="390" t="n"/>
      <c r="BM102" s="390" t="n"/>
      <c r="BN102" s="390" t="n"/>
      <c r="BO102" s="390" t="n"/>
      <c r="BP102" s="390" t="n"/>
      <c r="BQ102" s="390" t="n"/>
      <c r="BR102" s="390" t="n"/>
      <c r="BS102" s="390" t="n"/>
      <c r="BT102" s="390" t="n"/>
      <c r="BU102" s="390" t="n"/>
      <c r="BV102" s="390" t="n"/>
      <c r="BW102" s="390" t="n"/>
      <c r="BX102" s="390" t="n"/>
      <c r="BY102" s="390" t="n"/>
      <c r="BZ102" s="390" t="n"/>
      <c r="CA102" s="390" t="n"/>
      <c r="CB102" s="390" t="n"/>
      <c r="CC102" s="394" t="n"/>
      <c r="CF102" s="254" t="inlineStr">
        <is>
          <t>休日</t>
        </is>
      </c>
      <c r="CG102" s="395" t="n"/>
      <c r="CH102" s="395" t="n"/>
      <c r="CI102" s="396" t="n"/>
      <c r="CJ102" s="397">
        <f>IF(Q99="作業者1",N102-N99,0)</f>
        <v/>
      </c>
      <c r="CK102" s="395" t="n"/>
      <c r="CL102" s="395" t="n"/>
      <c r="CM102" s="395" t="n"/>
      <c r="CN102" s="396" t="n"/>
      <c r="CP102" s="254" t="inlineStr">
        <is>
          <t>休日</t>
        </is>
      </c>
      <c r="CQ102" s="395" t="n"/>
      <c r="CR102" s="395" t="n"/>
      <c r="CS102" s="396" t="n"/>
      <c r="CT102" s="397">
        <f>IF(Q99="作業者2",N102-N99,0)</f>
        <v/>
      </c>
      <c r="CU102" s="395" t="n"/>
      <c r="CV102" s="395" t="n"/>
      <c r="CW102" s="395" t="n"/>
      <c r="CX102" s="396" t="n"/>
      <c r="CZ102" s="254" t="inlineStr">
        <is>
          <t>休日</t>
        </is>
      </c>
      <c r="DA102" s="395" t="n"/>
      <c r="DB102" s="395" t="n"/>
      <c r="DC102" s="396" t="n"/>
      <c r="DD102" s="397">
        <f>IF(Q99="作業者3",N102-N99,0)</f>
        <v/>
      </c>
      <c r="DE102" s="395" t="n"/>
      <c r="DF102" s="395" t="n"/>
      <c r="DG102" s="395" t="n"/>
      <c r="DH102" s="396" t="n"/>
      <c r="DJ102" s="254" t="inlineStr">
        <is>
          <t>休日</t>
        </is>
      </c>
      <c r="DK102" s="395" t="n"/>
      <c r="DL102" s="395" t="n"/>
      <c r="DM102" s="396" t="n"/>
      <c r="DN102" s="397">
        <f>IF(Q99="作業者4",N102-N99,0)</f>
        <v/>
      </c>
      <c r="DO102" s="395" t="n"/>
      <c r="DP102" s="395" t="n"/>
      <c r="DQ102" s="395" t="n"/>
      <c r="DR102" s="396" t="n"/>
      <c r="DT102" s="254" t="inlineStr">
        <is>
          <t>休日</t>
        </is>
      </c>
      <c r="DU102" s="395" t="n"/>
      <c r="DV102" s="395" t="n"/>
      <c r="DW102" s="396" t="n"/>
      <c r="DX102" s="397">
        <f>IF(Q99="作業者5",N102-N99,0)</f>
        <v/>
      </c>
      <c r="DY102" s="395" t="n"/>
      <c r="DZ102" s="395" t="n"/>
      <c r="EA102" s="395" t="n"/>
      <c r="EB102" s="396" t="n"/>
    </row>
    <row r="103" ht="9" customHeight="1" s="337">
      <c r="B103" s="398" t="n"/>
      <c r="C103" s="372" t="n"/>
      <c r="D103" s="373" t="n"/>
      <c r="E103" s="399" t="n"/>
      <c r="F103" s="372" t="n"/>
      <c r="G103" s="373" t="n"/>
      <c r="H103" s="399" t="n"/>
      <c r="I103" s="372" t="n"/>
      <c r="J103" s="373" t="n"/>
      <c r="K103" s="399" t="n"/>
      <c r="L103" s="372" t="n"/>
      <c r="M103" s="373" t="n"/>
      <c r="N103" s="399" t="n"/>
      <c r="O103" s="372" t="n"/>
      <c r="P103" s="373" t="n"/>
      <c r="Q103" s="371" t="n"/>
      <c r="R103" s="372" t="n"/>
      <c r="S103" s="373" t="n"/>
      <c r="T103" s="371" t="n"/>
      <c r="U103" s="372" t="n"/>
      <c r="V103" s="373" t="n"/>
      <c r="W103" s="443" t="n"/>
      <c r="X103" s="372" t="n"/>
      <c r="Y103" s="372" t="n"/>
      <c r="Z103" s="372" t="n"/>
      <c r="AA103" s="372" t="n"/>
      <c r="AB103" s="372" t="n"/>
      <c r="AC103" s="372" t="n"/>
      <c r="AD103" s="372" t="n"/>
      <c r="AE103" s="372" t="n"/>
      <c r="AF103" s="372" t="n"/>
      <c r="AG103" s="372" t="n"/>
      <c r="AH103" s="372" t="n"/>
      <c r="AI103" s="372" t="n"/>
      <c r="AJ103" s="372" t="n"/>
      <c r="AK103" s="372" t="n"/>
      <c r="AL103" s="372" t="n"/>
      <c r="AM103" s="372" t="n"/>
      <c r="AN103" s="372" t="n"/>
      <c r="AO103" s="372" t="n"/>
      <c r="AP103" s="372" t="n"/>
      <c r="AQ103" s="372" t="n"/>
      <c r="AR103" s="372" t="n"/>
      <c r="AS103" s="372" t="n"/>
      <c r="AT103" s="372" t="n"/>
      <c r="AU103" s="372" t="n"/>
      <c r="AV103" s="372" t="n"/>
      <c r="AW103" s="372" t="n"/>
      <c r="AX103" s="372" t="n"/>
      <c r="AY103" s="372" t="n"/>
      <c r="AZ103" s="372" t="n"/>
      <c r="BA103" s="372" t="n"/>
      <c r="BB103" s="372" t="n"/>
      <c r="BC103" s="372" t="n"/>
      <c r="BD103" s="372" t="n"/>
      <c r="BE103" s="372" t="n"/>
      <c r="BF103" s="372" t="n"/>
      <c r="BG103" s="372" t="n"/>
      <c r="BH103" s="372" t="n"/>
      <c r="BI103" s="372" t="n"/>
      <c r="BJ103" s="372" t="n"/>
      <c r="BK103" s="372" t="n"/>
      <c r="BL103" s="372" t="n"/>
      <c r="BM103" s="372" t="n"/>
      <c r="BN103" s="372" t="n"/>
      <c r="BO103" s="372" t="n"/>
      <c r="BP103" s="372" t="n"/>
      <c r="BQ103" s="372" t="n"/>
      <c r="BR103" s="372" t="n"/>
      <c r="BS103" s="372" t="n"/>
      <c r="BT103" s="372" t="n"/>
      <c r="BU103" s="372" t="n"/>
      <c r="BV103" s="372" t="n"/>
      <c r="BW103" s="372" t="n"/>
      <c r="BX103" s="372" t="n"/>
      <c r="BY103" s="372" t="n"/>
      <c r="BZ103" s="372" t="n"/>
      <c r="CA103" s="372" t="n"/>
      <c r="CB103" s="372" t="n"/>
      <c r="CC103" s="402" t="n"/>
      <c r="CF103" s="248" t="inlineStr">
        <is>
          <t>移動</t>
        </is>
      </c>
      <c r="CG103" s="377" t="n"/>
      <c r="CH103" s="377" t="n"/>
      <c r="CI103" s="378" t="n"/>
      <c r="CJ103" s="379">
        <f>IF(Q103="作業者1",E106-E103,0)</f>
        <v/>
      </c>
      <c r="CK103" s="377" t="n"/>
      <c r="CL103" s="377" t="n"/>
      <c r="CM103" s="377" t="n"/>
      <c r="CN103" s="378" t="n"/>
      <c r="CP103" s="248" t="inlineStr">
        <is>
          <t>移動</t>
        </is>
      </c>
      <c r="CQ103" s="377" t="n"/>
      <c r="CR103" s="377" t="n"/>
      <c r="CS103" s="378" t="n"/>
      <c r="CT103" s="379">
        <f>IF(Q103="作業者2",E106-E103,0)</f>
        <v/>
      </c>
      <c r="CU103" s="377" t="n"/>
      <c r="CV103" s="377" t="n"/>
      <c r="CW103" s="377" t="n"/>
      <c r="CX103" s="378" t="n"/>
      <c r="CZ103" s="248" t="inlineStr">
        <is>
          <t>移動</t>
        </is>
      </c>
      <c r="DA103" s="377" t="n"/>
      <c r="DB103" s="377" t="n"/>
      <c r="DC103" s="378" t="n"/>
      <c r="DD103" s="379">
        <f>IF(Q103="作業者3",E106-E103,0)</f>
        <v/>
      </c>
      <c r="DE103" s="377" t="n"/>
      <c r="DF103" s="377" t="n"/>
      <c r="DG103" s="377" t="n"/>
      <c r="DH103" s="378" t="n"/>
      <c r="DJ103" s="248" t="inlineStr">
        <is>
          <t>移動</t>
        </is>
      </c>
      <c r="DK103" s="377" t="n"/>
      <c r="DL103" s="377" t="n"/>
      <c r="DM103" s="378" t="n"/>
      <c r="DN103" s="379">
        <f>IF(Q103="作業者4",E106-E103,0)</f>
        <v/>
      </c>
      <c r="DO103" s="377" t="n"/>
      <c r="DP103" s="377" t="n"/>
      <c r="DQ103" s="377" t="n"/>
      <c r="DR103" s="378" t="n"/>
      <c r="DT103" s="259" t="inlineStr">
        <is>
          <t>移動</t>
        </is>
      </c>
      <c r="DU103" s="403" t="n"/>
      <c r="DV103" s="403" t="n"/>
      <c r="DW103" s="404" t="n"/>
      <c r="DX103" s="379">
        <f>IF(Q103="作業者5",E106-E103,0)</f>
        <v/>
      </c>
      <c r="DY103" s="377" t="n"/>
      <c r="DZ103" s="377" t="n"/>
      <c r="EA103" s="377" t="n"/>
      <c r="EB103" s="378" t="n"/>
    </row>
    <row r="104" ht="9" customHeight="1" s="337">
      <c r="B104" s="350" t="n"/>
      <c r="C104" s="338" t="n"/>
      <c r="D104" s="380" t="n"/>
      <c r="E104" s="381" t="n"/>
      <c r="F104" s="122" t="inlineStr">
        <is>
          <t>～</t>
        </is>
      </c>
      <c r="G104" s="22" t="n"/>
      <c r="H104" s="381" t="n"/>
      <c r="I104" s="122" t="inlineStr">
        <is>
          <t>～</t>
        </is>
      </c>
      <c r="J104" s="22" t="n"/>
      <c r="K104" s="381" t="n"/>
      <c r="L104" s="122" t="inlineStr">
        <is>
          <t>～</t>
        </is>
      </c>
      <c r="M104" s="22" t="n"/>
      <c r="N104" s="381" t="n"/>
      <c r="O104" s="122" t="inlineStr">
        <is>
          <t>～</t>
        </is>
      </c>
      <c r="P104" s="22" t="n"/>
      <c r="Q104" s="382" t="n"/>
      <c r="R104" s="338" t="n"/>
      <c r="S104" s="380" t="n"/>
      <c r="T104" s="382" t="n"/>
      <c r="U104" s="338" t="n"/>
      <c r="V104" s="380" t="n"/>
      <c r="W104" s="382" t="n"/>
      <c r="X104" s="338" t="n"/>
      <c r="Y104" s="338" t="n"/>
      <c r="Z104" s="338" t="n"/>
      <c r="AA104" s="338" t="n"/>
      <c r="AB104" s="338" t="n"/>
      <c r="AC104" s="338" t="n"/>
      <c r="AD104" s="338" t="n"/>
      <c r="AE104" s="338" t="n"/>
      <c r="AF104" s="338" t="n"/>
      <c r="AG104" s="338" t="n"/>
      <c r="AH104" s="338" t="n"/>
      <c r="AI104" s="338" t="n"/>
      <c r="AJ104" s="338" t="n"/>
      <c r="AK104" s="338" t="n"/>
      <c r="AL104" s="338" t="n"/>
      <c r="AM104" s="338" t="n"/>
      <c r="AN104" s="338" t="n"/>
      <c r="AO104" s="338" t="n"/>
      <c r="AP104" s="338" t="n"/>
      <c r="AQ104" s="338" t="n"/>
      <c r="AR104" s="338" t="n"/>
      <c r="AS104" s="338" t="n"/>
      <c r="AT104" s="338" t="n"/>
      <c r="AU104" s="338" t="n"/>
      <c r="AV104" s="338" t="n"/>
      <c r="AW104" s="338" t="n"/>
      <c r="AX104" s="338" t="n"/>
      <c r="AY104" s="338" t="n"/>
      <c r="AZ104" s="338" t="n"/>
      <c r="BA104" s="338" t="n"/>
      <c r="BB104" s="338" t="n"/>
      <c r="BC104" s="338" t="n"/>
      <c r="BD104" s="338" t="n"/>
      <c r="BE104" s="338" t="n"/>
      <c r="BF104" s="338" t="n"/>
      <c r="BG104" s="338" t="n"/>
      <c r="BH104" s="338" t="n"/>
      <c r="BI104" s="338" t="n"/>
      <c r="BJ104" s="338" t="n"/>
      <c r="BK104" s="338" t="n"/>
      <c r="BL104" s="338" t="n"/>
      <c r="BM104" s="338" t="n"/>
      <c r="BN104" s="338" t="n"/>
      <c r="BO104" s="338" t="n"/>
      <c r="BP104" s="338" t="n"/>
      <c r="BQ104" s="338" t="n"/>
      <c r="BR104" s="338" t="n"/>
      <c r="BS104" s="338" t="n"/>
      <c r="BT104" s="338" t="n"/>
      <c r="BU104" s="338" t="n"/>
      <c r="BV104" s="338" t="n"/>
      <c r="BW104" s="338" t="n"/>
      <c r="BX104" s="338" t="n"/>
      <c r="BY104" s="338" t="n"/>
      <c r="BZ104" s="338" t="n"/>
      <c r="CA104" s="338" t="n"/>
      <c r="CB104" s="338" t="n"/>
      <c r="CC104" s="383" t="n"/>
      <c r="CF104" s="253" t="inlineStr">
        <is>
          <t>時間内</t>
        </is>
      </c>
      <c r="CG104" s="384" t="n"/>
      <c r="CH104" s="384" t="n"/>
      <c r="CI104" s="385" t="n"/>
      <c r="CJ104" s="386">
        <f>IF(Q103="作業者1",H106-H103,0)</f>
        <v/>
      </c>
      <c r="CK104" s="387" t="n"/>
      <c r="CL104" s="387" t="n"/>
      <c r="CM104" s="387" t="n"/>
      <c r="CN104" s="388" t="n"/>
      <c r="CP104" s="253" t="inlineStr">
        <is>
          <t>時間内</t>
        </is>
      </c>
      <c r="CQ104" s="384" t="n"/>
      <c r="CR104" s="384" t="n"/>
      <c r="CS104" s="385" t="n"/>
      <c r="CT104" s="386">
        <f>IF(Q103="作業者2",H106-H103,0)</f>
        <v/>
      </c>
      <c r="CU104" s="387" t="n"/>
      <c r="CV104" s="387" t="n"/>
      <c r="CW104" s="387" t="n"/>
      <c r="CX104" s="388" t="n"/>
      <c r="CZ104" s="253" t="inlineStr">
        <is>
          <t>時間内</t>
        </is>
      </c>
      <c r="DA104" s="384" t="n"/>
      <c r="DB104" s="384" t="n"/>
      <c r="DC104" s="385" t="n"/>
      <c r="DD104" s="386">
        <f>IF(Q103="作業者3",H106-H103,0)</f>
        <v/>
      </c>
      <c r="DE104" s="387" t="n"/>
      <c r="DF104" s="387" t="n"/>
      <c r="DG104" s="387" t="n"/>
      <c r="DH104" s="388" t="n"/>
      <c r="DJ104" s="253" t="inlineStr">
        <is>
          <t>時間内</t>
        </is>
      </c>
      <c r="DK104" s="384" t="n"/>
      <c r="DL104" s="384" t="n"/>
      <c r="DM104" s="385" t="n"/>
      <c r="DN104" s="386">
        <f>IF(Q103="作業者4",H106-H103,0)</f>
        <v/>
      </c>
      <c r="DO104" s="387" t="n"/>
      <c r="DP104" s="387" t="n"/>
      <c r="DQ104" s="387" t="n"/>
      <c r="DR104" s="388" t="n"/>
      <c r="DT104" s="253" t="inlineStr">
        <is>
          <t>時間内</t>
        </is>
      </c>
      <c r="DU104" s="384" t="n"/>
      <c r="DV104" s="384" t="n"/>
      <c r="DW104" s="385" t="n"/>
      <c r="DX104" s="386">
        <f>IF(Q103="作業者5",H106-H103,0)</f>
        <v/>
      </c>
      <c r="DY104" s="387" t="n"/>
      <c r="DZ104" s="387" t="n"/>
      <c r="EA104" s="387" t="n"/>
      <c r="EB104" s="388" t="n"/>
    </row>
    <row r="105" ht="9" customHeight="1" s="337">
      <c r="B105" s="350" t="n"/>
      <c r="C105" s="338" t="n"/>
      <c r="D105" s="380" t="n"/>
      <c r="E105" s="23" t="n"/>
      <c r="F105" s="338" t="n"/>
      <c r="G105" s="24" t="n"/>
      <c r="H105" s="23" t="n"/>
      <c r="I105" s="338" t="n"/>
      <c r="J105" s="24" t="n"/>
      <c r="K105" s="23" t="n"/>
      <c r="L105" s="338" t="n"/>
      <c r="M105" s="24" t="n"/>
      <c r="N105" s="23" t="n"/>
      <c r="O105" s="338" t="n"/>
      <c r="P105" s="24" t="n"/>
      <c r="Q105" s="382" t="n"/>
      <c r="R105" s="338" t="n"/>
      <c r="S105" s="380" t="n"/>
      <c r="T105" s="382" t="n"/>
      <c r="U105" s="338" t="n"/>
      <c r="V105" s="380" t="n"/>
      <c r="W105" s="382" t="n"/>
      <c r="X105" s="338" t="n"/>
      <c r="Y105" s="338" t="n"/>
      <c r="Z105" s="338" t="n"/>
      <c r="AA105" s="338" t="n"/>
      <c r="AB105" s="338" t="n"/>
      <c r="AC105" s="338" t="n"/>
      <c r="AD105" s="338" t="n"/>
      <c r="AE105" s="338" t="n"/>
      <c r="AF105" s="338" t="n"/>
      <c r="AG105" s="338" t="n"/>
      <c r="AH105" s="338" t="n"/>
      <c r="AI105" s="338" t="n"/>
      <c r="AJ105" s="338" t="n"/>
      <c r="AK105" s="338" t="n"/>
      <c r="AL105" s="338" t="n"/>
      <c r="AM105" s="338" t="n"/>
      <c r="AN105" s="338" t="n"/>
      <c r="AO105" s="338" t="n"/>
      <c r="AP105" s="338" t="n"/>
      <c r="AQ105" s="338" t="n"/>
      <c r="AR105" s="338" t="n"/>
      <c r="AS105" s="338" t="n"/>
      <c r="AT105" s="338" t="n"/>
      <c r="AU105" s="338" t="n"/>
      <c r="AV105" s="338" t="n"/>
      <c r="AW105" s="338" t="n"/>
      <c r="AX105" s="338" t="n"/>
      <c r="AY105" s="338" t="n"/>
      <c r="AZ105" s="338" t="n"/>
      <c r="BA105" s="338" t="n"/>
      <c r="BB105" s="338" t="n"/>
      <c r="BC105" s="338" t="n"/>
      <c r="BD105" s="338" t="n"/>
      <c r="BE105" s="338" t="n"/>
      <c r="BF105" s="338" t="n"/>
      <c r="BG105" s="338" t="n"/>
      <c r="BH105" s="338" t="n"/>
      <c r="BI105" s="338" t="n"/>
      <c r="BJ105" s="338" t="n"/>
      <c r="BK105" s="338" t="n"/>
      <c r="BL105" s="338" t="n"/>
      <c r="BM105" s="338" t="n"/>
      <c r="BN105" s="338" t="n"/>
      <c r="BO105" s="338" t="n"/>
      <c r="BP105" s="338" t="n"/>
      <c r="BQ105" s="338" t="n"/>
      <c r="BR105" s="338" t="n"/>
      <c r="BS105" s="338" t="n"/>
      <c r="BT105" s="338" t="n"/>
      <c r="BU105" s="338" t="n"/>
      <c r="BV105" s="338" t="n"/>
      <c r="BW105" s="338" t="n"/>
      <c r="BX105" s="338" t="n"/>
      <c r="BY105" s="338" t="n"/>
      <c r="BZ105" s="338" t="n"/>
      <c r="CA105" s="338" t="n"/>
      <c r="CB105" s="338" t="n"/>
      <c r="CC105" s="383" t="n"/>
      <c r="CF105" s="253" t="inlineStr">
        <is>
          <t>時間外</t>
        </is>
      </c>
      <c r="CG105" s="384" t="n"/>
      <c r="CH105" s="384" t="n"/>
      <c r="CI105" s="385" t="n"/>
      <c r="CJ105" s="386">
        <f>IF(Q103="作業者1",K106-K103,0)</f>
        <v/>
      </c>
      <c r="CK105" s="387" t="n"/>
      <c r="CL105" s="387" t="n"/>
      <c r="CM105" s="387" t="n"/>
      <c r="CN105" s="388" t="n"/>
      <c r="CP105" s="253" t="inlineStr">
        <is>
          <t>時間外</t>
        </is>
      </c>
      <c r="CQ105" s="384" t="n"/>
      <c r="CR105" s="384" t="n"/>
      <c r="CS105" s="385" t="n"/>
      <c r="CT105" s="386">
        <f>IF(Q103="作業者2",K106-K103,0)</f>
        <v/>
      </c>
      <c r="CU105" s="387" t="n"/>
      <c r="CV105" s="387" t="n"/>
      <c r="CW105" s="387" t="n"/>
      <c r="CX105" s="388" t="n"/>
      <c r="CZ105" s="253" t="inlineStr">
        <is>
          <t>時間外</t>
        </is>
      </c>
      <c r="DA105" s="384" t="n"/>
      <c r="DB105" s="384" t="n"/>
      <c r="DC105" s="385" t="n"/>
      <c r="DD105" s="386">
        <f>IF(Q103="作業者3",K106-K103,0)</f>
        <v/>
      </c>
      <c r="DE105" s="387" t="n"/>
      <c r="DF105" s="387" t="n"/>
      <c r="DG105" s="387" t="n"/>
      <c r="DH105" s="388" t="n"/>
      <c r="DJ105" s="253" t="inlineStr">
        <is>
          <t>時間外</t>
        </is>
      </c>
      <c r="DK105" s="384" t="n"/>
      <c r="DL105" s="384" t="n"/>
      <c r="DM105" s="385" t="n"/>
      <c r="DN105" s="386">
        <f>IF(Q103="作業者4",K106-K103,0)</f>
        <v/>
      </c>
      <c r="DO105" s="387" t="n"/>
      <c r="DP105" s="387" t="n"/>
      <c r="DQ105" s="387" t="n"/>
      <c r="DR105" s="388" t="n"/>
      <c r="DT105" s="253" t="inlineStr">
        <is>
          <t>時間外</t>
        </is>
      </c>
      <c r="DU105" s="384" t="n"/>
      <c r="DV105" s="384" t="n"/>
      <c r="DW105" s="385" t="n"/>
      <c r="DX105" s="386">
        <f>IF(Q103="作業者5",K106-K103,0)</f>
        <v/>
      </c>
      <c r="DY105" s="387" t="n"/>
      <c r="DZ105" s="387" t="n"/>
      <c r="EA105" s="387" t="n"/>
      <c r="EB105" s="388" t="n"/>
    </row>
    <row r="106" ht="9" customHeight="1" s="337">
      <c r="B106" s="389" t="n"/>
      <c r="C106" s="390" t="n"/>
      <c r="D106" s="391" t="n"/>
      <c r="E106" s="392" t="n"/>
      <c r="F106" s="390" t="n"/>
      <c r="G106" s="391" t="n"/>
      <c r="H106" s="392" t="n"/>
      <c r="I106" s="390" t="n"/>
      <c r="J106" s="391" t="n"/>
      <c r="K106" s="392" t="n"/>
      <c r="L106" s="390" t="n"/>
      <c r="M106" s="391" t="n"/>
      <c r="N106" s="392" t="n"/>
      <c r="O106" s="390" t="n"/>
      <c r="P106" s="391" t="n"/>
      <c r="Q106" s="393" t="n"/>
      <c r="R106" s="390" t="n"/>
      <c r="S106" s="391" t="n"/>
      <c r="T106" s="393" t="n"/>
      <c r="U106" s="390" t="n"/>
      <c r="V106" s="391" t="n"/>
      <c r="W106" s="393" t="n"/>
      <c r="X106" s="390" t="n"/>
      <c r="Y106" s="390" t="n"/>
      <c r="Z106" s="390" t="n"/>
      <c r="AA106" s="390" t="n"/>
      <c r="AB106" s="390" t="n"/>
      <c r="AC106" s="390" t="n"/>
      <c r="AD106" s="390" t="n"/>
      <c r="AE106" s="390" t="n"/>
      <c r="AF106" s="390" t="n"/>
      <c r="AG106" s="390" t="n"/>
      <c r="AH106" s="390" t="n"/>
      <c r="AI106" s="390" t="n"/>
      <c r="AJ106" s="390" t="n"/>
      <c r="AK106" s="390" t="n"/>
      <c r="AL106" s="390" t="n"/>
      <c r="AM106" s="390" t="n"/>
      <c r="AN106" s="390" t="n"/>
      <c r="AO106" s="390" t="n"/>
      <c r="AP106" s="390" t="n"/>
      <c r="AQ106" s="390" t="n"/>
      <c r="AR106" s="390" t="n"/>
      <c r="AS106" s="390" t="n"/>
      <c r="AT106" s="390" t="n"/>
      <c r="AU106" s="390" t="n"/>
      <c r="AV106" s="390" t="n"/>
      <c r="AW106" s="390" t="n"/>
      <c r="AX106" s="390" t="n"/>
      <c r="AY106" s="390" t="n"/>
      <c r="AZ106" s="390" t="n"/>
      <c r="BA106" s="390" t="n"/>
      <c r="BB106" s="390" t="n"/>
      <c r="BC106" s="390" t="n"/>
      <c r="BD106" s="390" t="n"/>
      <c r="BE106" s="390" t="n"/>
      <c r="BF106" s="390" t="n"/>
      <c r="BG106" s="390" t="n"/>
      <c r="BH106" s="390" t="n"/>
      <c r="BI106" s="390" t="n"/>
      <c r="BJ106" s="390" t="n"/>
      <c r="BK106" s="390" t="n"/>
      <c r="BL106" s="390" t="n"/>
      <c r="BM106" s="390" t="n"/>
      <c r="BN106" s="390" t="n"/>
      <c r="BO106" s="390" t="n"/>
      <c r="BP106" s="390" t="n"/>
      <c r="BQ106" s="390" t="n"/>
      <c r="BR106" s="390" t="n"/>
      <c r="BS106" s="390" t="n"/>
      <c r="BT106" s="390" t="n"/>
      <c r="BU106" s="390" t="n"/>
      <c r="BV106" s="390" t="n"/>
      <c r="BW106" s="390" t="n"/>
      <c r="BX106" s="390" t="n"/>
      <c r="BY106" s="390" t="n"/>
      <c r="BZ106" s="390" t="n"/>
      <c r="CA106" s="390" t="n"/>
      <c r="CB106" s="390" t="n"/>
      <c r="CC106" s="394" t="n"/>
      <c r="CF106" s="254" t="inlineStr">
        <is>
          <t>休日</t>
        </is>
      </c>
      <c r="CG106" s="395" t="n"/>
      <c r="CH106" s="395" t="n"/>
      <c r="CI106" s="396" t="n"/>
      <c r="CJ106" s="386">
        <f>IF(Q103="作業者1",N106-N103,0)</f>
        <v/>
      </c>
      <c r="CK106" s="387" t="n"/>
      <c r="CL106" s="387" t="n"/>
      <c r="CM106" s="387" t="n"/>
      <c r="CN106" s="388" t="n"/>
      <c r="CP106" s="253" t="inlineStr">
        <is>
          <t>休日</t>
        </is>
      </c>
      <c r="CQ106" s="384" t="n"/>
      <c r="CR106" s="384" t="n"/>
      <c r="CS106" s="385" t="n"/>
      <c r="CT106" s="386">
        <f>IF(Q103="作業者2",N106-N103,0)</f>
        <v/>
      </c>
      <c r="CU106" s="387" t="n"/>
      <c r="CV106" s="387" t="n"/>
      <c r="CW106" s="387" t="n"/>
      <c r="CX106" s="388" t="n"/>
      <c r="CZ106" s="254" t="inlineStr">
        <is>
          <t>休日</t>
        </is>
      </c>
      <c r="DA106" s="395" t="n"/>
      <c r="DB106" s="395" t="n"/>
      <c r="DC106" s="396" t="n"/>
      <c r="DD106" s="397">
        <f>IF(Q103="作業者3",N106-N103,0)</f>
        <v/>
      </c>
      <c r="DE106" s="395" t="n"/>
      <c r="DF106" s="395" t="n"/>
      <c r="DG106" s="395" t="n"/>
      <c r="DH106" s="396" t="n"/>
      <c r="DJ106" s="254" t="inlineStr">
        <is>
          <t>休日</t>
        </is>
      </c>
      <c r="DK106" s="395" t="n"/>
      <c r="DL106" s="395" t="n"/>
      <c r="DM106" s="396" t="n"/>
      <c r="DN106" s="397">
        <f>IF(Q103="作業者4",N106-N103,0)</f>
        <v/>
      </c>
      <c r="DO106" s="395" t="n"/>
      <c r="DP106" s="395" t="n"/>
      <c r="DQ106" s="395" t="n"/>
      <c r="DR106" s="396" t="n"/>
      <c r="DT106" s="254" t="inlineStr">
        <is>
          <t>休日</t>
        </is>
      </c>
      <c r="DU106" s="395" t="n"/>
      <c r="DV106" s="395" t="n"/>
      <c r="DW106" s="396" t="n"/>
      <c r="DX106" s="397">
        <f>IF(Q103="作業者5",N106-N103,0)</f>
        <v/>
      </c>
      <c r="DY106" s="395" t="n"/>
      <c r="DZ106" s="395" t="n"/>
      <c r="EA106" s="395" t="n"/>
      <c r="EB106" s="396" t="n"/>
    </row>
    <row r="107" ht="9" customHeight="1" s="337">
      <c r="B107" s="398" t="n"/>
      <c r="C107" s="372" t="n"/>
      <c r="D107" s="373" t="n"/>
      <c r="E107" s="399" t="n"/>
      <c r="F107" s="372" t="n"/>
      <c r="G107" s="373" t="n"/>
      <c r="H107" s="399" t="n"/>
      <c r="I107" s="372" t="n"/>
      <c r="J107" s="373" t="n"/>
      <c r="K107" s="399" t="n"/>
      <c r="L107" s="372" t="n"/>
      <c r="M107" s="373" t="n"/>
      <c r="N107" s="399" t="n"/>
      <c r="O107" s="372" t="n"/>
      <c r="P107" s="373" t="n"/>
      <c r="Q107" s="371" t="n"/>
      <c r="R107" s="372" t="n"/>
      <c r="S107" s="373" t="n"/>
      <c r="T107" s="371" t="n"/>
      <c r="U107" s="372" t="n"/>
      <c r="V107" s="373" t="n"/>
      <c r="W107" s="443" t="n"/>
      <c r="X107" s="372" t="n"/>
      <c r="Y107" s="372" t="n"/>
      <c r="Z107" s="372" t="n"/>
      <c r="AA107" s="372" t="n"/>
      <c r="AB107" s="372" t="n"/>
      <c r="AC107" s="372" t="n"/>
      <c r="AD107" s="372" t="n"/>
      <c r="AE107" s="372" t="n"/>
      <c r="AF107" s="372" t="n"/>
      <c r="AG107" s="372" t="n"/>
      <c r="AH107" s="372" t="n"/>
      <c r="AI107" s="372" t="n"/>
      <c r="AJ107" s="372" t="n"/>
      <c r="AK107" s="372" t="n"/>
      <c r="AL107" s="372" t="n"/>
      <c r="AM107" s="372" t="n"/>
      <c r="AN107" s="372" t="n"/>
      <c r="AO107" s="372" t="n"/>
      <c r="AP107" s="372" t="n"/>
      <c r="AQ107" s="372" t="n"/>
      <c r="AR107" s="372" t="n"/>
      <c r="AS107" s="372" t="n"/>
      <c r="AT107" s="372" t="n"/>
      <c r="AU107" s="372" t="n"/>
      <c r="AV107" s="372" t="n"/>
      <c r="AW107" s="372" t="n"/>
      <c r="AX107" s="372" t="n"/>
      <c r="AY107" s="372" t="n"/>
      <c r="AZ107" s="372" t="n"/>
      <c r="BA107" s="372" t="n"/>
      <c r="BB107" s="372" t="n"/>
      <c r="BC107" s="372" t="n"/>
      <c r="BD107" s="372" t="n"/>
      <c r="BE107" s="372" t="n"/>
      <c r="BF107" s="372" t="n"/>
      <c r="BG107" s="372" t="n"/>
      <c r="BH107" s="372" t="n"/>
      <c r="BI107" s="372" t="n"/>
      <c r="BJ107" s="372" t="n"/>
      <c r="BK107" s="372" t="n"/>
      <c r="BL107" s="372" t="n"/>
      <c r="BM107" s="372" t="n"/>
      <c r="BN107" s="372" t="n"/>
      <c r="BO107" s="372" t="n"/>
      <c r="BP107" s="372" t="n"/>
      <c r="BQ107" s="372" t="n"/>
      <c r="BR107" s="372" t="n"/>
      <c r="BS107" s="372" t="n"/>
      <c r="BT107" s="372" t="n"/>
      <c r="BU107" s="372" t="n"/>
      <c r="BV107" s="372" t="n"/>
      <c r="BW107" s="372" t="n"/>
      <c r="BX107" s="372" t="n"/>
      <c r="BY107" s="372" t="n"/>
      <c r="BZ107" s="372" t="n"/>
      <c r="CA107" s="372" t="n"/>
      <c r="CB107" s="372" t="n"/>
      <c r="CC107" s="402" t="n"/>
      <c r="CF107" s="259" t="inlineStr">
        <is>
          <t>移動</t>
        </is>
      </c>
      <c r="CG107" s="403" t="n"/>
      <c r="CH107" s="403" t="n"/>
      <c r="CI107" s="404" t="n"/>
      <c r="CJ107" s="379">
        <f>IF(Q107="作業者1",E110-E107,0)</f>
        <v/>
      </c>
      <c r="CK107" s="377" t="n"/>
      <c r="CL107" s="377" t="n"/>
      <c r="CM107" s="377" t="n"/>
      <c r="CN107" s="378" t="n"/>
      <c r="CP107" s="248" t="inlineStr">
        <is>
          <t>移動</t>
        </is>
      </c>
      <c r="CQ107" s="377" t="n"/>
      <c r="CR107" s="377" t="n"/>
      <c r="CS107" s="378" t="n"/>
      <c r="CT107" s="379">
        <f>IF(Q107="作業者2",E110-E107,0)</f>
        <v/>
      </c>
      <c r="CU107" s="377" t="n"/>
      <c r="CV107" s="377" t="n"/>
      <c r="CW107" s="377" t="n"/>
      <c r="CX107" s="378" t="n"/>
      <c r="CZ107" s="259" t="inlineStr">
        <is>
          <t>移動</t>
        </is>
      </c>
      <c r="DA107" s="403" t="n"/>
      <c r="DB107" s="403" t="n"/>
      <c r="DC107" s="404" t="n"/>
      <c r="DD107" s="405">
        <f>IF(Q107="作業者3",E110-E107,0)</f>
        <v/>
      </c>
      <c r="DE107" s="406" t="n"/>
      <c r="DF107" s="406" t="n"/>
      <c r="DG107" s="406" t="n"/>
      <c r="DH107" s="407" t="n"/>
      <c r="DJ107" s="259" t="inlineStr">
        <is>
          <t>移動</t>
        </is>
      </c>
      <c r="DK107" s="403" t="n"/>
      <c r="DL107" s="403" t="n"/>
      <c r="DM107" s="404" t="n"/>
      <c r="DN107" s="379">
        <f>IF(Q107="作業者4",E110-E107,0)</f>
        <v/>
      </c>
      <c r="DO107" s="377" t="n"/>
      <c r="DP107" s="377" t="n"/>
      <c r="DQ107" s="377" t="n"/>
      <c r="DR107" s="378" t="n"/>
      <c r="DT107" s="259" t="inlineStr">
        <is>
          <t>移動</t>
        </is>
      </c>
      <c r="DU107" s="403" t="n"/>
      <c r="DV107" s="403" t="n"/>
      <c r="DW107" s="404" t="n"/>
      <c r="DX107" s="379">
        <f>IF(Q107="作業者5",E110-E107,0)</f>
        <v/>
      </c>
      <c r="DY107" s="377" t="n"/>
      <c r="DZ107" s="377" t="n"/>
      <c r="EA107" s="377" t="n"/>
      <c r="EB107" s="378" t="n"/>
    </row>
    <row r="108" ht="9" customHeight="1" s="337">
      <c r="B108" s="350" t="n"/>
      <c r="C108" s="338" t="n"/>
      <c r="D108" s="380" t="n"/>
      <c r="E108" s="381" t="n"/>
      <c r="F108" s="122" t="inlineStr">
        <is>
          <t>～</t>
        </is>
      </c>
      <c r="G108" s="22" t="n"/>
      <c r="H108" s="381" t="n"/>
      <c r="I108" s="122" t="inlineStr">
        <is>
          <t>～</t>
        </is>
      </c>
      <c r="J108" s="22" t="n"/>
      <c r="K108" s="381" t="n"/>
      <c r="L108" s="122" t="inlineStr">
        <is>
          <t>～</t>
        </is>
      </c>
      <c r="M108" s="22" t="n"/>
      <c r="N108" s="381" t="n"/>
      <c r="O108" s="122" t="inlineStr">
        <is>
          <t>～</t>
        </is>
      </c>
      <c r="P108" s="22" t="n"/>
      <c r="Q108" s="382" t="n"/>
      <c r="R108" s="338" t="n"/>
      <c r="S108" s="380" t="n"/>
      <c r="T108" s="382" t="n"/>
      <c r="U108" s="338" t="n"/>
      <c r="V108" s="380" t="n"/>
      <c r="W108" s="382" t="n"/>
      <c r="X108" s="338" t="n"/>
      <c r="Y108" s="338" t="n"/>
      <c r="Z108" s="338" t="n"/>
      <c r="AA108" s="338" t="n"/>
      <c r="AB108" s="338" t="n"/>
      <c r="AC108" s="338" t="n"/>
      <c r="AD108" s="338" t="n"/>
      <c r="AE108" s="338" t="n"/>
      <c r="AF108" s="338" t="n"/>
      <c r="AG108" s="338" t="n"/>
      <c r="AH108" s="338" t="n"/>
      <c r="AI108" s="338" t="n"/>
      <c r="AJ108" s="338" t="n"/>
      <c r="AK108" s="338" t="n"/>
      <c r="AL108" s="338" t="n"/>
      <c r="AM108" s="338" t="n"/>
      <c r="AN108" s="338" t="n"/>
      <c r="AO108" s="338" t="n"/>
      <c r="AP108" s="338" t="n"/>
      <c r="AQ108" s="338" t="n"/>
      <c r="AR108" s="338" t="n"/>
      <c r="AS108" s="338" t="n"/>
      <c r="AT108" s="338" t="n"/>
      <c r="AU108" s="338" t="n"/>
      <c r="AV108" s="338" t="n"/>
      <c r="AW108" s="338" t="n"/>
      <c r="AX108" s="338" t="n"/>
      <c r="AY108" s="338" t="n"/>
      <c r="AZ108" s="338" t="n"/>
      <c r="BA108" s="338" t="n"/>
      <c r="BB108" s="338" t="n"/>
      <c r="BC108" s="338" t="n"/>
      <c r="BD108" s="338" t="n"/>
      <c r="BE108" s="338" t="n"/>
      <c r="BF108" s="338" t="n"/>
      <c r="BG108" s="338" t="n"/>
      <c r="BH108" s="338" t="n"/>
      <c r="BI108" s="338" t="n"/>
      <c r="BJ108" s="338" t="n"/>
      <c r="BK108" s="338" t="n"/>
      <c r="BL108" s="338" t="n"/>
      <c r="BM108" s="338" t="n"/>
      <c r="BN108" s="338" t="n"/>
      <c r="BO108" s="338" t="n"/>
      <c r="BP108" s="338" t="n"/>
      <c r="BQ108" s="338" t="n"/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83" t="n"/>
      <c r="CF108" s="253" t="inlineStr">
        <is>
          <t>時間内</t>
        </is>
      </c>
      <c r="CG108" s="384" t="n"/>
      <c r="CH108" s="384" t="n"/>
      <c r="CI108" s="385" t="n"/>
      <c r="CJ108" s="386">
        <f>IF(Q107="作業者1",H110-H107,0)</f>
        <v/>
      </c>
      <c r="CK108" s="387" t="n"/>
      <c r="CL108" s="387" t="n"/>
      <c r="CM108" s="387" t="n"/>
      <c r="CN108" s="388" t="n"/>
      <c r="CP108" s="253" t="inlineStr">
        <is>
          <t>時間内</t>
        </is>
      </c>
      <c r="CQ108" s="384" t="n"/>
      <c r="CR108" s="384" t="n"/>
      <c r="CS108" s="385" t="n"/>
      <c r="CT108" s="386">
        <f>IF(Q107="作業者2",H110-H107,0)</f>
        <v/>
      </c>
      <c r="CU108" s="387" t="n"/>
      <c r="CV108" s="387" t="n"/>
      <c r="CW108" s="387" t="n"/>
      <c r="CX108" s="388" t="n"/>
      <c r="CZ108" s="253" t="inlineStr">
        <is>
          <t>時間内</t>
        </is>
      </c>
      <c r="DA108" s="384" t="n"/>
      <c r="DB108" s="384" t="n"/>
      <c r="DC108" s="385" t="n"/>
      <c r="DD108" s="386">
        <f>IF(Q107="作業者3",H110-H107,0)</f>
        <v/>
      </c>
      <c r="DE108" s="387" t="n"/>
      <c r="DF108" s="387" t="n"/>
      <c r="DG108" s="387" t="n"/>
      <c r="DH108" s="388" t="n"/>
      <c r="DJ108" s="253" t="inlineStr">
        <is>
          <t>時間内</t>
        </is>
      </c>
      <c r="DK108" s="384" t="n"/>
      <c r="DL108" s="384" t="n"/>
      <c r="DM108" s="385" t="n"/>
      <c r="DN108" s="386">
        <f>IF(Q107="作業者4",H110-H107,0)</f>
        <v/>
      </c>
      <c r="DO108" s="387" t="n"/>
      <c r="DP108" s="387" t="n"/>
      <c r="DQ108" s="387" t="n"/>
      <c r="DR108" s="388" t="n"/>
      <c r="DT108" s="253" t="inlineStr">
        <is>
          <t>時間内</t>
        </is>
      </c>
      <c r="DU108" s="384" t="n"/>
      <c r="DV108" s="384" t="n"/>
      <c r="DW108" s="385" t="n"/>
      <c r="DX108" s="386">
        <f>IF(Q107="作業者5",H110-H107,0)</f>
        <v/>
      </c>
      <c r="DY108" s="387" t="n"/>
      <c r="DZ108" s="387" t="n"/>
      <c r="EA108" s="387" t="n"/>
      <c r="EB108" s="388" t="n"/>
    </row>
    <row r="109" ht="9" customHeight="1" s="337">
      <c r="B109" s="350" t="n"/>
      <c r="C109" s="338" t="n"/>
      <c r="D109" s="380" t="n"/>
      <c r="E109" s="23" t="n"/>
      <c r="F109" s="338" t="n"/>
      <c r="G109" s="24" t="n"/>
      <c r="H109" s="23" t="n"/>
      <c r="I109" s="338" t="n"/>
      <c r="J109" s="24" t="n"/>
      <c r="K109" s="23" t="n"/>
      <c r="L109" s="338" t="n"/>
      <c r="M109" s="24" t="n"/>
      <c r="N109" s="23" t="n"/>
      <c r="O109" s="338" t="n"/>
      <c r="P109" s="24" t="n"/>
      <c r="Q109" s="382" t="n"/>
      <c r="R109" s="338" t="n"/>
      <c r="S109" s="380" t="n"/>
      <c r="T109" s="382" t="n"/>
      <c r="U109" s="338" t="n"/>
      <c r="V109" s="380" t="n"/>
      <c r="W109" s="382" t="n"/>
      <c r="X109" s="338" t="n"/>
      <c r="Y109" s="338" t="n"/>
      <c r="Z109" s="338" t="n"/>
      <c r="AA109" s="338" t="n"/>
      <c r="AB109" s="338" t="n"/>
      <c r="AC109" s="338" t="n"/>
      <c r="AD109" s="338" t="n"/>
      <c r="AE109" s="338" t="n"/>
      <c r="AF109" s="338" t="n"/>
      <c r="AG109" s="338" t="n"/>
      <c r="AH109" s="338" t="n"/>
      <c r="AI109" s="338" t="n"/>
      <c r="AJ109" s="338" t="n"/>
      <c r="AK109" s="338" t="n"/>
      <c r="AL109" s="338" t="n"/>
      <c r="AM109" s="338" t="n"/>
      <c r="AN109" s="338" t="n"/>
      <c r="AO109" s="338" t="n"/>
      <c r="AP109" s="338" t="n"/>
      <c r="AQ109" s="338" t="n"/>
      <c r="AR109" s="338" t="n"/>
      <c r="AS109" s="338" t="n"/>
      <c r="AT109" s="338" t="n"/>
      <c r="AU109" s="338" t="n"/>
      <c r="AV109" s="338" t="n"/>
      <c r="AW109" s="338" t="n"/>
      <c r="AX109" s="338" t="n"/>
      <c r="AY109" s="338" t="n"/>
      <c r="AZ109" s="338" t="n"/>
      <c r="BA109" s="338" t="n"/>
      <c r="BB109" s="338" t="n"/>
      <c r="BC109" s="338" t="n"/>
      <c r="BD109" s="338" t="n"/>
      <c r="BE109" s="338" t="n"/>
      <c r="BF109" s="338" t="n"/>
      <c r="BG109" s="338" t="n"/>
      <c r="BH109" s="338" t="n"/>
      <c r="BI109" s="338" t="n"/>
      <c r="BJ109" s="338" t="n"/>
      <c r="BK109" s="338" t="n"/>
      <c r="BL109" s="338" t="n"/>
      <c r="BM109" s="338" t="n"/>
      <c r="BN109" s="338" t="n"/>
      <c r="BO109" s="338" t="n"/>
      <c r="BP109" s="338" t="n"/>
      <c r="BQ109" s="338" t="n"/>
      <c r="BR109" s="338" t="n"/>
      <c r="BS109" s="338" t="n"/>
      <c r="BT109" s="338" t="n"/>
      <c r="BU109" s="338" t="n"/>
      <c r="BV109" s="338" t="n"/>
      <c r="BW109" s="338" t="n"/>
      <c r="BX109" s="338" t="n"/>
      <c r="BY109" s="338" t="n"/>
      <c r="BZ109" s="338" t="n"/>
      <c r="CA109" s="338" t="n"/>
      <c r="CB109" s="338" t="n"/>
      <c r="CC109" s="383" t="n"/>
      <c r="CF109" s="253" t="inlineStr">
        <is>
          <t>時間外</t>
        </is>
      </c>
      <c r="CG109" s="384" t="n"/>
      <c r="CH109" s="384" t="n"/>
      <c r="CI109" s="385" t="n"/>
      <c r="CJ109" s="386">
        <f>IF(Q107="作業者1",K110-K107,0)</f>
        <v/>
      </c>
      <c r="CK109" s="387" t="n"/>
      <c r="CL109" s="387" t="n"/>
      <c r="CM109" s="387" t="n"/>
      <c r="CN109" s="388" t="n"/>
      <c r="CP109" s="253" t="inlineStr">
        <is>
          <t>時間外</t>
        </is>
      </c>
      <c r="CQ109" s="384" t="n"/>
      <c r="CR109" s="384" t="n"/>
      <c r="CS109" s="385" t="n"/>
      <c r="CT109" s="386">
        <f>IF(Q107="作業者2",K110-K107,0)</f>
        <v/>
      </c>
      <c r="CU109" s="387" t="n"/>
      <c r="CV109" s="387" t="n"/>
      <c r="CW109" s="387" t="n"/>
      <c r="CX109" s="388" t="n"/>
      <c r="CZ109" s="253" t="inlineStr">
        <is>
          <t>時間外</t>
        </is>
      </c>
      <c r="DA109" s="384" t="n"/>
      <c r="DB109" s="384" t="n"/>
      <c r="DC109" s="385" t="n"/>
      <c r="DD109" s="386">
        <f>IF(Q107="作業者3",K110-K107,0)</f>
        <v/>
      </c>
      <c r="DE109" s="387" t="n"/>
      <c r="DF109" s="387" t="n"/>
      <c r="DG109" s="387" t="n"/>
      <c r="DH109" s="388" t="n"/>
      <c r="DJ109" s="253" t="inlineStr">
        <is>
          <t>時間外</t>
        </is>
      </c>
      <c r="DK109" s="384" t="n"/>
      <c r="DL109" s="384" t="n"/>
      <c r="DM109" s="385" t="n"/>
      <c r="DN109" s="386">
        <f>IF(Q107="作業者4",K110-K107,0)</f>
        <v/>
      </c>
      <c r="DO109" s="387" t="n"/>
      <c r="DP109" s="387" t="n"/>
      <c r="DQ109" s="387" t="n"/>
      <c r="DR109" s="388" t="n"/>
      <c r="DT109" s="253" t="inlineStr">
        <is>
          <t>時間外</t>
        </is>
      </c>
      <c r="DU109" s="384" t="n"/>
      <c r="DV109" s="384" t="n"/>
      <c r="DW109" s="385" t="n"/>
      <c r="DX109" s="386">
        <f>IF(Q107="作業者5",K110-K107,0)</f>
        <v/>
      </c>
      <c r="DY109" s="387" t="n"/>
      <c r="DZ109" s="387" t="n"/>
      <c r="EA109" s="387" t="n"/>
      <c r="EB109" s="388" t="n"/>
    </row>
    <row r="110" ht="9" customHeight="1" s="337">
      <c r="B110" s="389" t="n"/>
      <c r="C110" s="390" t="n"/>
      <c r="D110" s="391" t="n"/>
      <c r="E110" s="392" t="n"/>
      <c r="F110" s="390" t="n"/>
      <c r="G110" s="391" t="n"/>
      <c r="H110" s="392" t="n"/>
      <c r="I110" s="390" t="n"/>
      <c r="J110" s="391" t="n"/>
      <c r="K110" s="392" t="n"/>
      <c r="L110" s="390" t="n"/>
      <c r="M110" s="391" t="n"/>
      <c r="N110" s="392" t="n"/>
      <c r="O110" s="390" t="n"/>
      <c r="P110" s="391" t="n"/>
      <c r="Q110" s="393" t="n"/>
      <c r="R110" s="390" t="n"/>
      <c r="S110" s="391" t="n"/>
      <c r="T110" s="393" t="n"/>
      <c r="U110" s="390" t="n"/>
      <c r="V110" s="391" t="n"/>
      <c r="W110" s="393" t="n"/>
      <c r="X110" s="390" t="n"/>
      <c r="Y110" s="390" t="n"/>
      <c r="Z110" s="390" t="n"/>
      <c r="AA110" s="390" t="n"/>
      <c r="AB110" s="390" t="n"/>
      <c r="AC110" s="390" t="n"/>
      <c r="AD110" s="390" t="n"/>
      <c r="AE110" s="390" t="n"/>
      <c r="AF110" s="390" t="n"/>
      <c r="AG110" s="390" t="n"/>
      <c r="AH110" s="390" t="n"/>
      <c r="AI110" s="390" t="n"/>
      <c r="AJ110" s="390" t="n"/>
      <c r="AK110" s="390" t="n"/>
      <c r="AL110" s="390" t="n"/>
      <c r="AM110" s="390" t="n"/>
      <c r="AN110" s="390" t="n"/>
      <c r="AO110" s="390" t="n"/>
      <c r="AP110" s="390" t="n"/>
      <c r="AQ110" s="390" t="n"/>
      <c r="AR110" s="390" t="n"/>
      <c r="AS110" s="390" t="n"/>
      <c r="AT110" s="390" t="n"/>
      <c r="AU110" s="390" t="n"/>
      <c r="AV110" s="390" t="n"/>
      <c r="AW110" s="390" t="n"/>
      <c r="AX110" s="390" t="n"/>
      <c r="AY110" s="390" t="n"/>
      <c r="AZ110" s="390" t="n"/>
      <c r="BA110" s="390" t="n"/>
      <c r="BB110" s="390" t="n"/>
      <c r="BC110" s="390" t="n"/>
      <c r="BD110" s="390" t="n"/>
      <c r="BE110" s="390" t="n"/>
      <c r="BF110" s="390" t="n"/>
      <c r="BG110" s="390" t="n"/>
      <c r="BH110" s="390" t="n"/>
      <c r="BI110" s="390" t="n"/>
      <c r="BJ110" s="390" t="n"/>
      <c r="BK110" s="390" t="n"/>
      <c r="BL110" s="390" t="n"/>
      <c r="BM110" s="390" t="n"/>
      <c r="BN110" s="390" t="n"/>
      <c r="BO110" s="390" t="n"/>
      <c r="BP110" s="390" t="n"/>
      <c r="BQ110" s="390" t="n"/>
      <c r="BR110" s="390" t="n"/>
      <c r="BS110" s="390" t="n"/>
      <c r="BT110" s="390" t="n"/>
      <c r="BU110" s="390" t="n"/>
      <c r="BV110" s="390" t="n"/>
      <c r="BW110" s="390" t="n"/>
      <c r="BX110" s="390" t="n"/>
      <c r="BY110" s="390" t="n"/>
      <c r="BZ110" s="390" t="n"/>
      <c r="CA110" s="390" t="n"/>
      <c r="CB110" s="390" t="n"/>
      <c r="CC110" s="394" t="n"/>
      <c r="CF110" s="254" t="inlineStr">
        <is>
          <t>休日</t>
        </is>
      </c>
      <c r="CG110" s="395" t="n"/>
      <c r="CH110" s="395" t="n"/>
      <c r="CI110" s="396" t="n"/>
      <c r="CJ110" s="397">
        <f>IF(Q107="作業者1",N110-N107,0)</f>
        <v/>
      </c>
      <c r="CK110" s="395" t="n"/>
      <c r="CL110" s="395" t="n"/>
      <c r="CM110" s="395" t="n"/>
      <c r="CN110" s="396" t="n"/>
      <c r="CP110" s="254" t="inlineStr">
        <is>
          <t>休日</t>
        </is>
      </c>
      <c r="CQ110" s="395" t="n"/>
      <c r="CR110" s="395" t="n"/>
      <c r="CS110" s="396" t="n"/>
      <c r="CT110" s="397">
        <f>IF(Q107="作業者2",N110-N107,0)</f>
        <v/>
      </c>
      <c r="CU110" s="395" t="n"/>
      <c r="CV110" s="395" t="n"/>
      <c r="CW110" s="395" t="n"/>
      <c r="CX110" s="396" t="n"/>
      <c r="CZ110" s="254" t="inlineStr">
        <is>
          <t>休日</t>
        </is>
      </c>
      <c r="DA110" s="395" t="n"/>
      <c r="DB110" s="395" t="n"/>
      <c r="DC110" s="396" t="n"/>
      <c r="DD110" s="397">
        <f>IF(Q107="作業者3",N110-N107,0)</f>
        <v/>
      </c>
      <c r="DE110" s="395" t="n"/>
      <c r="DF110" s="395" t="n"/>
      <c r="DG110" s="395" t="n"/>
      <c r="DH110" s="396" t="n"/>
      <c r="DJ110" s="254" t="inlineStr">
        <is>
          <t>休日</t>
        </is>
      </c>
      <c r="DK110" s="395" t="n"/>
      <c r="DL110" s="395" t="n"/>
      <c r="DM110" s="396" t="n"/>
      <c r="DN110" s="397">
        <f>IF(Q107="作業者4",N110-N107,0)</f>
        <v/>
      </c>
      <c r="DO110" s="395" t="n"/>
      <c r="DP110" s="395" t="n"/>
      <c r="DQ110" s="395" t="n"/>
      <c r="DR110" s="396" t="n"/>
      <c r="DT110" s="254" t="inlineStr">
        <is>
          <t>休日</t>
        </is>
      </c>
      <c r="DU110" s="395" t="n"/>
      <c r="DV110" s="395" t="n"/>
      <c r="DW110" s="396" t="n"/>
      <c r="DX110" s="397">
        <f>IF(Q107="作業者5",N110-N107,0)</f>
        <v/>
      </c>
      <c r="DY110" s="395" t="n"/>
      <c r="DZ110" s="395" t="n"/>
      <c r="EA110" s="395" t="n"/>
      <c r="EB110" s="396" t="n"/>
    </row>
    <row r="111" ht="9" customHeight="1" s="337">
      <c r="B111" s="398" t="n"/>
      <c r="C111" s="372" t="n"/>
      <c r="D111" s="373" t="n"/>
      <c r="E111" s="399" t="n"/>
      <c r="F111" s="372" t="n"/>
      <c r="G111" s="373" t="n"/>
      <c r="H111" s="399" t="n"/>
      <c r="I111" s="372" t="n"/>
      <c r="J111" s="373" t="n"/>
      <c r="K111" s="399" t="n"/>
      <c r="L111" s="372" t="n"/>
      <c r="M111" s="373" t="n"/>
      <c r="N111" s="399" t="n"/>
      <c r="O111" s="372" t="n"/>
      <c r="P111" s="373" t="n"/>
      <c r="Q111" s="371" t="n"/>
      <c r="R111" s="372" t="n"/>
      <c r="S111" s="373" t="n"/>
      <c r="T111" s="371" t="n"/>
      <c r="U111" s="372" t="n"/>
      <c r="V111" s="373" t="n"/>
      <c r="W111" s="443" t="n"/>
      <c r="X111" s="372" t="n"/>
      <c r="Y111" s="372" t="n"/>
      <c r="Z111" s="372" t="n"/>
      <c r="AA111" s="372" t="n"/>
      <c r="AB111" s="372" t="n"/>
      <c r="AC111" s="372" t="n"/>
      <c r="AD111" s="372" t="n"/>
      <c r="AE111" s="372" t="n"/>
      <c r="AF111" s="372" t="n"/>
      <c r="AG111" s="372" t="n"/>
      <c r="AH111" s="372" t="n"/>
      <c r="AI111" s="372" t="n"/>
      <c r="AJ111" s="372" t="n"/>
      <c r="AK111" s="372" t="n"/>
      <c r="AL111" s="372" t="n"/>
      <c r="AM111" s="372" t="n"/>
      <c r="AN111" s="372" t="n"/>
      <c r="AO111" s="372" t="n"/>
      <c r="AP111" s="372" t="n"/>
      <c r="AQ111" s="372" t="n"/>
      <c r="AR111" s="372" t="n"/>
      <c r="AS111" s="372" t="n"/>
      <c r="AT111" s="372" t="n"/>
      <c r="AU111" s="372" t="n"/>
      <c r="AV111" s="372" t="n"/>
      <c r="AW111" s="372" t="n"/>
      <c r="AX111" s="372" t="n"/>
      <c r="AY111" s="372" t="n"/>
      <c r="AZ111" s="372" t="n"/>
      <c r="BA111" s="372" t="n"/>
      <c r="BB111" s="372" t="n"/>
      <c r="BC111" s="372" t="n"/>
      <c r="BD111" s="372" t="n"/>
      <c r="BE111" s="372" t="n"/>
      <c r="BF111" s="372" t="n"/>
      <c r="BG111" s="372" t="n"/>
      <c r="BH111" s="372" t="n"/>
      <c r="BI111" s="372" t="n"/>
      <c r="BJ111" s="372" t="n"/>
      <c r="BK111" s="372" t="n"/>
      <c r="BL111" s="372" t="n"/>
      <c r="BM111" s="372" t="n"/>
      <c r="BN111" s="372" t="n"/>
      <c r="BO111" s="372" t="n"/>
      <c r="BP111" s="372" t="n"/>
      <c r="BQ111" s="372" t="n"/>
      <c r="BR111" s="372" t="n"/>
      <c r="BS111" s="372" t="n"/>
      <c r="BT111" s="372" t="n"/>
      <c r="BU111" s="372" t="n"/>
      <c r="BV111" s="372" t="n"/>
      <c r="BW111" s="372" t="n"/>
      <c r="BX111" s="372" t="n"/>
      <c r="BY111" s="372" t="n"/>
      <c r="BZ111" s="372" t="n"/>
      <c r="CA111" s="372" t="n"/>
      <c r="CB111" s="372" t="n"/>
      <c r="CC111" s="402" t="n"/>
      <c r="CF111" s="248" t="inlineStr">
        <is>
          <t>移動</t>
        </is>
      </c>
      <c r="CG111" s="377" t="n"/>
      <c r="CH111" s="377" t="n"/>
      <c r="CI111" s="378" t="n"/>
      <c r="CJ111" s="379">
        <f>IF(Q111="作業者1",E114-E111,0)</f>
        <v/>
      </c>
      <c r="CK111" s="377" t="n"/>
      <c r="CL111" s="377" t="n"/>
      <c r="CM111" s="377" t="n"/>
      <c r="CN111" s="378" t="n"/>
      <c r="CP111" s="248" t="inlineStr">
        <is>
          <t>移動</t>
        </is>
      </c>
      <c r="CQ111" s="377" t="n"/>
      <c r="CR111" s="377" t="n"/>
      <c r="CS111" s="378" t="n"/>
      <c r="CT111" s="379">
        <f>IF(Q111="作業者2",E114-E111,0)</f>
        <v/>
      </c>
      <c r="CU111" s="377" t="n"/>
      <c r="CV111" s="377" t="n"/>
      <c r="CW111" s="377" t="n"/>
      <c r="CX111" s="378" t="n"/>
      <c r="CZ111" s="248" t="inlineStr">
        <is>
          <t>移動</t>
        </is>
      </c>
      <c r="DA111" s="377" t="n"/>
      <c r="DB111" s="377" t="n"/>
      <c r="DC111" s="378" t="n"/>
      <c r="DD111" s="379">
        <f>IF(Q111="作業者3",E114-E111,0)</f>
        <v/>
      </c>
      <c r="DE111" s="377" t="n"/>
      <c r="DF111" s="377" t="n"/>
      <c r="DG111" s="377" t="n"/>
      <c r="DH111" s="378" t="n"/>
      <c r="DJ111" s="248" t="inlineStr">
        <is>
          <t>移動</t>
        </is>
      </c>
      <c r="DK111" s="377" t="n"/>
      <c r="DL111" s="377" t="n"/>
      <c r="DM111" s="378" t="n"/>
      <c r="DN111" s="379">
        <f>IF(Q111="作業者4",E114-E111,0)</f>
        <v/>
      </c>
      <c r="DO111" s="377" t="n"/>
      <c r="DP111" s="377" t="n"/>
      <c r="DQ111" s="377" t="n"/>
      <c r="DR111" s="378" t="n"/>
      <c r="DT111" s="259" t="inlineStr">
        <is>
          <t>移動</t>
        </is>
      </c>
      <c r="DU111" s="403" t="n"/>
      <c r="DV111" s="403" t="n"/>
      <c r="DW111" s="404" t="n"/>
      <c r="DX111" s="379">
        <f>IF(Q111="作業者5",E114-E111,0)</f>
        <v/>
      </c>
      <c r="DY111" s="377" t="n"/>
      <c r="DZ111" s="377" t="n"/>
      <c r="EA111" s="377" t="n"/>
      <c r="EB111" s="378" t="n"/>
    </row>
    <row r="112" ht="9" customHeight="1" s="337">
      <c r="B112" s="350" t="n"/>
      <c r="C112" s="338" t="n"/>
      <c r="D112" s="380" t="n"/>
      <c r="E112" s="381" t="n"/>
      <c r="F112" s="122" t="inlineStr">
        <is>
          <t>～</t>
        </is>
      </c>
      <c r="G112" s="22" t="n"/>
      <c r="H112" s="381" t="n"/>
      <c r="I112" s="122" t="inlineStr">
        <is>
          <t>～</t>
        </is>
      </c>
      <c r="J112" s="22" t="n"/>
      <c r="K112" s="381" t="n"/>
      <c r="L112" s="122" t="inlineStr">
        <is>
          <t>～</t>
        </is>
      </c>
      <c r="M112" s="22" t="n"/>
      <c r="N112" s="381" t="n"/>
      <c r="O112" s="122" t="inlineStr">
        <is>
          <t>～</t>
        </is>
      </c>
      <c r="P112" s="22" t="n"/>
      <c r="Q112" s="382" t="n"/>
      <c r="R112" s="338" t="n"/>
      <c r="S112" s="380" t="n"/>
      <c r="T112" s="382" t="n"/>
      <c r="U112" s="338" t="n"/>
      <c r="V112" s="380" t="n"/>
      <c r="W112" s="382" t="n"/>
      <c r="X112" s="338" t="n"/>
      <c r="Y112" s="338" t="n"/>
      <c r="Z112" s="338" t="n"/>
      <c r="AA112" s="338" t="n"/>
      <c r="AB112" s="338" t="n"/>
      <c r="AC112" s="338" t="n"/>
      <c r="AD112" s="338" t="n"/>
      <c r="AE112" s="338" t="n"/>
      <c r="AF112" s="338" t="n"/>
      <c r="AG112" s="338" t="n"/>
      <c r="AH112" s="338" t="n"/>
      <c r="AI112" s="338" t="n"/>
      <c r="AJ112" s="338" t="n"/>
      <c r="AK112" s="338" t="n"/>
      <c r="AL112" s="338" t="n"/>
      <c r="AM112" s="338" t="n"/>
      <c r="AN112" s="338" t="n"/>
      <c r="AO112" s="338" t="n"/>
      <c r="AP112" s="338" t="n"/>
      <c r="AQ112" s="338" t="n"/>
      <c r="AR112" s="338" t="n"/>
      <c r="AS112" s="338" t="n"/>
      <c r="AT112" s="338" t="n"/>
      <c r="AU112" s="338" t="n"/>
      <c r="AV112" s="338" t="n"/>
      <c r="AW112" s="338" t="n"/>
      <c r="AX112" s="338" t="n"/>
      <c r="AY112" s="338" t="n"/>
      <c r="AZ112" s="338" t="n"/>
      <c r="BA112" s="338" t="n"/>
      <c r="BB112" s="338" t="n"/>
      <c r="BC112" s="338" t="n"/>
      <c r="BD112" s="338" t="n"/>
      <c r="BE112" s="338" t="n"/>
      <c r="BF112" s="338" t="n"/>
      <c r="BG112" s="338" t="n"/>
      <c r="BH112" s="338" t="n"/>
      <c r="BI112" s="338" t="n"/>
      <c r="BJ112" s="338" t="n"/>
      <c r="BK112" s="338" t="n"/>
      <c r="BL112" s="338" t="n"/>
      <c r="BM112" s="338" t="n"/>
      <c r="BN112" s="338" t="n"/>
      <c r="BO112" s="338" t="n"/>
      <c r="BP112" s="338" t="n"/>
      <c r="BQ112" s="338" t="n"/>
      <c r="BR112" s="338" t="n"/>
      <c r="BS112" s="338" t="n"/>
      <c r="BT112" s="338" t="n"/>
      <c r="BU112" s="338" t="n"/>
      <c r="BV112" s="338" t="n"/>
      <c r="BW112" s="338" t="n"/>
      <c r="BX112" s="338" t="n"/>
      <c r="BY112" s="338" t="n"/>
      <c r="BZ112" s="338" t="n"/>
      <c r="CA112" s="338" t="n"/>
      <c r="CB112" s="338" t="n"/>
      <c r="CC112" s="383" t="n"/>
      <c r="CF112" s="253" t="inlineStr">
        <is>
          <t>時間内</t>
        </is>
      </c>
      <c r="CG112" s="384" t="n"/>
      <c r="CH112" s="384" t="n"/>
      <c r="CI112" s="385" t="n"/>
      <c r="CJ112" s="386">
        <f>IF(Q111="作業者1",H114-H111,0)</f>
        <v/>
      </c>
      <c r="CK112" s="387" t="n"/>
      <c r="CL112" s="387" t="n"/>
      <c r="CM112" s="387" t="n"/>
      <c r="CN112" s="388" t="n"/>
      <c r="CP112" s="253" t="inlineStr">
        <is>
          <t>時間内</t>
        </is>
      </c>
      <c r="CQ112" s="384" t="n"/>
      <c r="CR112" s="384" t="n"/>
      <c r="CS112" s="385" t="n"/>
      <c r="CT112" s="386">
        <f>IF(Q111="作業者2",H114-H111,0)</f>
        <v/>
      </c>
      <c r="CU112" s="387" t="n"/>
      <c r="CV112" s="387" t="n"/>
      <c r="CW112" s="387" t="n"/>
      <c r="CX112" s="388" t="n"/>
      <c r="CZ112" s="253" t="inlineStr">
        <is>
          <t>時間内</t>
        </is>
      </c>
      <c r="DA112" s="384" t="n"/>
      <c r="DB112" s="384" t="n"/>
      <c r="DC112" s="385" t="n"/>
      <c r="DD112" s="386">
        <f>IF(Q111="作業者3",H114-H111,0)</f>
        <v/>
      </c>
      <c r="DE112" s="387" t="n"/>
      <c r="DF112" s="387" t="n"/>
      <c r="DG112" s="387" t="n"/>
      <c r="DH112" s="388" t="n"/>
      <c r="DJ112" s="253" t="inlineStr">
        <is>
          <t>時間内</t>
        </is>
      </c>
      <c r="DK112" s="384" t="n"/>
      <c r="DL112" s="384" t="n"/>
      <c r="DM112" s="385" t="n"/>
      <c r="DN112" s="386">
        <f>IF(Q111="作業者4",H114-H111,0)</f>
        <v/>
      </c>
      <c r="DO112" s="387" t="n"/>
      <c r="DP112" s="387" t="n"/>
      <c r="DQ112" s="387" t="n"/>
      <c r="DR112" s="388" t="n"/>
      <c r="DT112" s="253" t="inlineStr">
        <is>
          <t>時間内</t>
        </is>
      </c>
      <c r="DU112" s="384" t="n"/>
      <c r="DV112" s="384" t="n"/>
      <c r="DW112" s="385" t="n"/>
      <c r="DX112" s="386">
        <f>IF(Q111="作業者5",H114-H111,0)</f>
        <v/>
      </c>
      <c r="DY112" s="387" t="n"/>
      <c r="DZ112" s="387" t="n"/>
      <c r="EA112" s="387" t="n"/>
      <c r="EB112" s="388" t="n"/>
    </row>
    <row r="113" ht="9" customHeight="1" s="337">
      <c r="B113" s="350" t="n"/>
      <c r="C113" s="338" t="n"/>
      <c r="D113" s="380" t="n"/>
      <c r="E113" s="23" t="n"/>
      <c r="F113" s="338" t="n"/>
      <c r="G113" s="24" t="n"/>
      <c r="H113" s="23" t="n"/>
      <c r="I113" s="338" t="n"/>
      <c r="J113" s="24" t="n"/>
      <c r="K113" s="23" t="n"/>
      <c r="L113" s="338" t="n"/>
      <c r="M113" s="24" t="n"/>
      <c r="N113" s="23" t="n"/>
      <c r="O113" s="338" t="n"/>
      <c r="P113" s="24" t="n"/>
      <c r="Q113" s="382" t="n"/>
      <c r="R113" s="338" t="n"/>
      <c r="S113" s="380" t="n"/>
      <c r="T113" s="382" t="n"/>
      <c r="U113" s="338" t="n"/>
      <c r="V113" s="380" t="n"/>
      <c r="W113" s="382" t="n"/>
      <c r="X113" s="338" t="n"/>
      <c r="Y113" s="338" t="n"/>
      <c r="Z113" s="338" t="n"/>
      <c r="AA113" s="338" t="n"/>
      <c r="AB113" s="338" t="n"/>
      <c r="AC113" s="338" t="n"/>
      <c r="AD113" s="338" t="n"/>
      <c r="AE113" s="338" t="n"/>
      <c r="AF113" s="338" t="n"/>
      <c r="AG113" s="338" t="n"/>
      <c r="AH113" s="338" t="n"/>
      <c r="AI113" s="338" t="n"/>
      <c r="AJ113" s="338" t="n"/>
      <c r="AK113" s="338" t="n"/>
      <c r="AL113" s="338" t="n"/>
      <c r="AM113" s="338" t="n"/>
      <c r="AN113" s="338" t="n"/>
      <c r="AO113" s="338" t="n"/>
      <c r="AP113" s="338" t="n"/>
      <c r="AQ113" s="338" t="n"/>
      <c r="AR113" s="338" t="n"/>
      <c r="AS113" s="338" t="n"/>
      <c r="AT113" s="338" t="n"/>
      <c r="AU113" s="338" t="n"/>
      <c r="AV113" s="338" t="n"/>
      <c r="AW113" s="338" t="n"/>
      <c r="AX113" s="338" t="n"/>
      <c r="AY113" s="338" t="n"/>
      <c r="AZ113" s="338" t="n"/>
      <c r="BA113" s="338" t="n"/>
      <c r="BB113" s="338" t="n"/>
      <c r="BC113" s="338" t="n"/>
      <c r="BD113" s="338" t="n"/>
      <c r="BE113" s="338" t="n"/>
      <c r="BF113" s="338" t="n"/>
      <c r="BG113" s="338" t="n"/>
      <c r="BH113" s="338" t="n"/>
      <c r="BI113" s="338" t="n"/>
      <c r="BJ113" s="338" t="n"/>
      <c r="BK113" s="338" t="n"/>
      <c r="BL113" s="338" t="n"/>
      <c r="BM113" s="338" t="n"/>
      <c r="BN113" s="338" t="n"/>
      <c r="BO113" s="338" t="n"/>
      <c r="BP113" s="338" t="n"/>
      <c r="BQ113" s="338" t="n"/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83" t="n"/>
      <c r="CF113" s="253" t="inlineStr">
        <is>
          <t>時間外</t>
        </is>
      </c>
      <c r="CG113" s="384" t="n"/>
      <c r="CH113" s="384" t="n"/>
      <c r="CI113" s="385" t="n"/>
      <c r="CJ113" s="386">
        <f>IF(Q111="作業者1",K114-K111,0)</f>
        <v/>
      </c>
      <c r="CK113" s="387" t="n"/>
      <c r="CL113" s="387" t="n"/>
      <c r="CM113" s="387" t="n"/>
      <c r="CN113" s="388" t="n"/>
      <c r="CP113" s="253" t="inlineStr">
        <is>
          <t>時間外</t>
        </is>
      </c>
      <c r="CQ113" s="384" t="n"/>
      <c r="CR113" s="384" t="n"/>
      <c r="CS113" s="385" t="n"/>
      <c r="CT113" s="386">
        <f>IF(Q111="作業者2",K114-K111,0)</f>
        <v/>
      </c>
      <c r="CU113" s="387" t="n"/>
      <c r="CV113" s="387" t="n"/>
      <c r="CW113" s="387" t="n"/>
      <c r="CX113" s="388" t="n"/>
      <c r="CZ113" s="253" t="inlineStr">
        <is>
          <t>時間外</t>
        </is>
      </c>
      <c r="DA113" s="384" t="n"/>
      <c r="DB113" s="384" t="n"/>
      <c r="DC113" s="385" t="n"/>
      <c r="DD113" s="386">
        <f>IF(Q111="作業者3",K114-K111,0)</f>
        <v/>
      </c>
      <c r="DE113" s="387" t="n"/>
      <c r="DF113" s="387" t="n"/>
      <c r="DG113" s="387" t="n"/>
      <c r="DH113" s="388" t="n"/>
      <c r="DJ113" s="253" t="inlineStr">
        <is>
          <t>時間外</t>
        </is>
      </c>
      <c r="DK113" s="384" t="n"/>
      <c r="DL113" s="384" t="n"/>
      <c r="DM113" s="385" t="n"/>
      <c r="DN113" s="386">
        <f>IF(Q111="作業者4",K114-K111,0)</f>
        <v/>
      </c>
      <c r="DO113" s="387" t="n"/>
      <c r="DP113" s="387" t="n"/>
      <c r="DQ113" s="387" t="n"/>
      <c r="DR113" s="388" t="n"/>
      <c r="DT113" s="253" t="inlineStr">
        <is>
          <t>時間外</t>
        </is>
      </c>
      <c r="DU113" s="384" t="n"/>
      <c r="DV113" s="384" t="n"/>
      <c r="DW113" s="385" t="n"/>
      <c r="DX113" s="386">
        <f>IF(Q111="作業者5",K114-K111,0)</f>
        <v/>
      </c>
      <c r="DY113" s="387" t="n"/>
      <c r="DZ113" s="387" t="n"/>
      <c r="EA113" s="387" t="n"/>
      <c r="EB113" s="388" t="n"/>
    </row>
    <row r="114" ht="9" customHeight="1" s="337">
      <c r="B114" s="389" t="n"/>
      <c r="C114" s="390" t="n"/>
      <c r="D114" s="391" t="n"/>
      <c r="E114" s="392" t="n"/>
      <c r="F114" s="390" t="n"/>
      <c r="G114" s="391" t="n"/>
      <c r="H114" s="392" t="n"/>
      <c r="I114" s="390" t="n"/>
      <c r="J114" s="391" t="n"/>
      <c r="K114" s="392" t="n"/>
      <c r="L114" s="390" t="n"/>
      <c r="M114" s="391" t="n"/>
      <c r="N114" s="392" t="n"/>
      <c r="O114" s="390" t="n"/>
      <c r="P114" s="391" t="n"/>
      <c r="Q114" s="393" t="n"/>
      <c r="R114" s="390" t="n"/>
      <c r="S114" s="391" t="n"/>
      <c r="T114" s="393" t="n"/>
      <c r="U114" s="390" t="n"/>
      <c r="V114" s="391" t="n"/>
      <c r="W114" s="393" t="n"/>
      <c r="X114" s="390" t="n"/>
      <c r="Y114" s="390" t="n"/>
      <c r="Z114" s="390" t="n"/>
      <c r="AA114" s="390" t="n"/>
      <c r="AB114" s="390" t="n"/>
      <c r="AC114" s="390" t="n"/>
      <c r="AD114" s="390" t="n"/>
      <c r="AE114" s="390" t="n"/>
      <c r="AF114" s="390" t="n"/>
      <c r="AG114" s="390" t="n"/>
      <c r="AH114" s="390" t="n"/>
      <c r="AI114" s="390" t="n"/>
      <c r="AJ114" s="390" t="n"/>
      <c r="AK114" s="390" t="n"/>
      <c r="AL114" s="390" t="n"/>
      <c r="AM114" s="390" t="n"/>
      <c r="AN114" s="390" t="n"/>
      <c r="AO114" s="390" t="n"/>
      <c r="AP114" s="390" t="n"/>
      <c r="AQ114" s="390" t="n"/>
      <c r="AR114" s="390" t="n"/>
      <c r="AS114" s="390" t="n"/>
      <c r="AT114" s="390" t="n"/>
      <c r="AU114" s="390" t="n"/>
      <c r="AV114" s="390" t="n"/>
      <c r="AW114" s="390" t="n"/>
      <c r="AX114" s="390" t="n"/>
      <c r="AY114" s="390" t="n"/>
      <c r="AZ114" s="390" t="n"/>
      <c r="BA114" s="390" t="n"/>
      <c r="BB114" s="390" t="n"/>
      <c r="BC114" s="390" t="n"/>
      <c r="BD114" s="390" t="n"/>
      <c r="BE114" s="390" t="n"/>
      <c r="BF114" s="390" t="n"/>
      <c r="BG114" s="390" t="n"/>
      <c r="BH114" s="390" t="n"/>
      <c r="BI114" s="390" t="n"/>
      <c r="BJ114" s="390" t="n"/>
      <c r="BK114" s="390" t="n"/>
      <c r="BL114" s="390" t="n"/>
      <c r="BM114" s="390" t="n"/>
      <c r="BN114" s="390" t="n"/>
      <c r="BO114" s="390" t="n"/>
      <c r="BP114" s="390" t="n"/>
      <c r="BQ114" s="390" t="n"/>
      <c r="BR114" s="390" t="n"/>
      <c r="BS114" s="390" t="n"/>
      <c r="BT114" s="390" t="n"/>
      <c r="BU114" s="390" t="n"/>
      <c r="BV114" s="390" t="n"/>
      <c r="BW114" s="390" t="n"/>
      <c r="BX114" s="390" t="n"/>
      <c r="BY114" s="390" t="n"/>
      <c r="BZ114" s="390" t="n"/>
      <c r="CA114" s="390" t="n"/>
      <c r="CB114" s="390" t="n"/>
      <c r="CC114" s="394" t="n"/>
      <c r="CF114" s="254" t="inlineStr">
        <is>
          <t>休日</t>
        </is>
      </c>
      <c r="CG114" s="395" t="n"/>
      <c r="CH114" s="395" t="n"/>
      <c r="CI114" s="396" t="n"/>
      <c r="CJ114" s="386">
        <f>IF(Q111="作業者1",N114-N111,0)</f>
        <v/>
      </c>
      <c r="CK114" s="387" t="n"/>
      <c r="CL114" s="387" t="n"/>
      <c r="CM114" s="387" t="n"/>
      <c r="CN114" s="388" t="n"/>
      <c r="CP114" s="253" t="inlineStr">
        <is>
          <t>休日</t>
        </is>
      </c>
      <c r="CQ114" s="384" t="n"/>
      <c r="CR114" s="384" t="n"/>
      <c r="CS114" s="385" t="n"/>
      <c r="CT114" s="386">
        <f>IF(Q111="作業者2",N114-N111,0)</f>
        <v/>
      </c>
      <c r="CU114" s="387" t="n"/>
      <c r="CV114" s="387" t="n"/>
      <c r="CW114" s="387" t="n"/>
      <c r="CX114" s="388" t="n"/>
      <c r="CZ114" s="254" t="inlineStr">
        <is>
          <t>休日</t>
        </is>
      </c>
      <c r="DA114" s="395" t="n"/>
      <c r="DB114" s="395" t="n"/>
      <c r="DC114" s="396" t="n"/>
      <c r="DD114" s="397">
        <f>IF(Q111="作業者3",N114-N111,0)</f>
        <v/>
      </c>
      <c r="DE114" s="395" t="n"/>
      <c r="DF114" s="395" t="n"/>
      <c r="DG114" s="395" t="n"/>
      <c r="DH114" s="396" t="n"/>
      <c r="DJ114" s="254" t="inlineStr">
        <is>
          <t>休日</t>
        </is>
      </c>
      <c r="DK114" s="395" t="n"/>
      <c r="DL114" s="395" t="n"/>
      <c r="DM114" s="396" t="n"/>
      <c r="DN114" s="397">
        <f>IF(Q111="作業者4",N114-N111,0)</f>
        <v/>
      </c>
      <c r="DO114" s="395" t="n"/>
      <c r="DP114" s="395" t="n"/>
      <c r="DQ114" s="395" t="n"/>
      <c r="DR114" s="396" t="n"/>
      <c r="DT114" s="254" t="inlineStr">
        <is>
          <t>休日</t>
        </is>
      </c>
      <c r="DU114" s="395" t="n"/>
      <c r="DV114" s="395" t="n"/>
      <c r="DW114" s="396" t="n"/>
      <c r="DX114" s="397">
        <f>IF(Q111="作業者5",N114-N111,0)</f>
        <v/>
      </c>
      <c r="DY114" s="395" t="n"/>
      <c r="DZ114" s="395" t="n"/>
      <c r="EA114" s="395" t="n"/>
      <c r="EB114" s="396" t="n"/>
    </row>
    <row r="115" ht="9" customHeight="1" s="337">
      <c r="B115" s="398" t="n"/>
      <c r="C115" s="372" t="n"/>
      <c r="D115" s="373" t="n"/>
      <c r="E115" s="399" t="n"/>
      <c r="F115" s="372" t="n"/>
      <c r="G115" s="373" t="n"/>
      <c r="H115" s="399" t="n"/>
      <c r="I115" s="372" t="n"/>
      <c r="J115" s="373" t="n"/>
      <c r="K115" s="399" t="n"/>
      <c r="L115" s="372" t="n"/>
      <c r="M115" s="373" t="n"/>
      <c r="N115" s="399" t="n"/>
      <c r="O115" s="372" t="n"/>
      <c r="P115" s="373" t="n"/>
      <c r="Q115" s="371" t="n"/>
      <c r="R115" s="372" t="n"/>
      <c r="S115" s="373" t="n"/>
      <c r="T115" s="371" t="n"/>
      <c r="U115" s="372" t="n"/>
      <c r="V115" s="373" t="n"/>
      <c r="W115" s="443" t="n"/>
      <c r="X115" s="372" t="n"/>
      <c r="Y115" s="372" t="n"/>
      <c r="Z115" s="372" t="n"/>
      <c r="AA115" s="372" t="n"/>
      <c r="AB115" s="372" t="n"/>
      <c r="AC115" s="372" t="n"/>
      <c r="AD115" s="372" t="n"/>
      <c r="AE115" s="372" t="n"/>
      <c r="AF115" s="372" t="n"/>
      <c r="AG115" s="372" t="n"/>
      <c r="AH115" s="372" t="n"/>
      <c r="AI115" s="372" t="n"/>
      <c r="AJ115" s="372" t="n"/>
      <c r="AK115" s="372" t="n"/>
      <c r="AL115" s="372" t="n"/>
      <c r="AM115" s="372" t="n"/>
      <c r="AN115" s="372" t="n"/>
      <c r="AO115" s="372" t="n"/>
      <c r="AP115" s="372" t="n"/>
      <c r="AQ115" s="372" t="n"/>
      <c r="AR115" s="372" t="n"/>
      <c r="AS115" s="372" t="n"/>
      <c r="AT115" s="372" t="n"/>
      <c r="AU115" s="372" t="n"/>
      <c r="AV115" s="372" t="n"/>
      <c r="AW115" s="372" t="n"/>
      <c r="AX115" s="372" t="n"/>
      <c r="AY115" s="372" t="n"/>
      <c r="AZ115" s="372" t="n"/>
      <c r="BA115" s="372" t="n"/>
      <c r="BB115" s="372" t="n"/>
      <c r="BC115" s="372" t="n"/>
      <c r="BD115" s="372" t="n"/>
      <c r="BE115" s="372" t="n"/>
      <c r="BF115" s="372" t="n"/>
      <c r="BG115" s="372" t="n"/>
      <c r="BH115" s="372" t="n"/>
      <c r="BI115" s="372" t="n"/>
      <c r="BJ115" s="372" t="n"/>
      <c r="BK115" s="372" t="n"/>
      <c r="BL115" s="372" t="n"/>
      <c r="BM115" s="372" t="n"/>
      <c r="BN115" s="372" t="n"/>
      <c r="BO115" s="372" t="n"/>
      <c r="BP115" s="372" t="n"/>
      <c r="BQ115" s="372" t="n"/>
      <c r="BR115" s="372" t="n"/>
      <c r="BS115" s="372" t="n"/>
      <c r="BT115" s="372" t="n"/>
      <c r="BU115" s="372" t="n"/>
      <c r="BV115" s="372" t="n"/>
      <c r="BW115" s="372" t="n"/>
      <c r="BX115" s="372" t="n"/>
      <c r="BY115" s="372" t="n"/>
      <c r="BZ115" s="372" t="n"/>
      <c r="CA115" s="372" t="n"/>
      <c r="CB115" s="372" t="n"/>
      <c r="CC115" s="402" t="n"/>
      <c r="CF115" s="259" t="inlineStr">
        <is>
          <t>移動</t>
        </is>
      </c>
      <c r="CG115" s="403" t="n"/>
      <c r="CH115" s="403" t="n"/>
      <c r="CI115" s="404" t="n"/>
      <c r="CJ115" s="379">
        <f>IF(Q115="作業者1",E118-E115,0)</f>
        <v/>
      </c>
      <c r="CK115" s="377" t="n"/>
      <c r="CL115" s="377" t="n"/>
      <c r="CM115" s="377" t="n"/>
      <c r="CN115" s="378" t="n"/>
      <c r="CP115" s="248" t="inlineStr">
        <is>
          <t>移動</t>
        </is>
      </c>
      <c r="CQ115" s="377" t="n"/>
      <c r="CR115" s="377" t="n"/>
      <c r="CS115" s="378" t="n"/>
      <c r="CT115" s="379">
        <f>IF(Q115="作業者2",E118-E115,0)</f>
        <v/>
      </c>
      <c r="CU115" s="377" t="n"/>
      <c r="CV115" s="377" t="n"/>
      <c r="CW115" s="377" t="n"/>
      <c r="CX115" s="378" t="n"/>
      <c r="CZ115" s="259" t="inlineStr">
        <is>
          <t>移動</t>
        </is>
      </c>
      <c r="DA115" s="403" t="n"/>
      <c r="DB115" s="403" t="n"/>
      <c r="DC115" s="404" t="n"/>
      <c r="DD115" s="405">
        <f>IF(Q115="作業者3",E118-E115,0)</f>
        <v/>
      </c>
      <c r="DE115" s="406" t="n"/>
      <c r="DF115" s="406" t="n"/>
      <c r="DG115" s="406" t="n"/>
      <c r="DH115" s="407" t="n"/>
      <c r="DJ115" s="259" t="inlineStr">
        <is>
          <t>移動</t>
        </is>
      </c>
      <c r="DK115" s="403" t="n"/>
      <c r="DL115" s="403" t="n"/>
      <c r="DM115" s="404" t="n"/>
      <c r="DN115" s="379">
        <f>IF(Q115="作業者4",E118-E115,0)</f>
        <v/>
      </c>
      <c r="DO115" s="377" t="n"/>
      <c r="DP115" s="377" t="n"/>
      <c r="DQ115" s="377" t="n"/>
      <c r="DR115" s="378" t="n"/>
      <c r="DT115" s="259" t="inlineStr">
        <is>
          <t>移動</t>
        </is>
      </c>
      <c r="DU115" s="403" t="n"/>
      <c r="DV115" s="403" t="n"/>
      <c r="DW115" s="404" t="n"/>
      <c r="DX115" s="379">
        <f>IF(Q115="作業者5",E118-E115,0)</f>
        <v/>
      </c>
      <c r="DY115" s="377" t="n"/>
      <c r="DZ115" s="377" t="n"/>
      <c r="EA115" s="377" t="n"/>
      <c r="EB115" s="378" t="n"/>
    </row>
    <row r="116" ht="9" customHeight="1" s="337">
      <c r="B116" s="350" t="n"/>
      <c r="C116" s="338" t="n"/>
      <c r="D116" s="380" t="n"/>
      <c r="E116" s="381" t="n"/>
      <c r="F116" s="122" t="inlineStr">
        <is>
          <t>～</t>
        </is>
      </c>
      <c r="G116" s="22" t="n"/>
      <c r="H116" s="381" t="n"/>
      <c r="I116" s="122" t="inlineStr">
        <is>
          <t>～</t>
        </is>
      </c>
      <c r="J116" s="22" t="n"/>
      <c r="K116" s="381" t="n"/>
      <c r="L116" s="122" t="inlineStr">
        <is>
          <t>～</t>
        </is>
      </c>
      <c r="M116" s="22" t="n"/>
      <c r="N116" s="381" t="n"/>
      <c r="O116" s="122" t="inlineStr">
        <is>
          <t>～</t>
        </is>
      </c>
      <c r="P116" s="22" t="n"/>
      <c r="Q116" s="382" t="n"/>
      <c r="R116" s="338" t="n"/>
      <c r="S116" s="380" t="n"/>
      <c r="T116" s="382" t="n"/>
      <c r="U116" s="338" t="n"/>
      <c r="V116" s="380" t="n"/>
      <c r="W116" s="382" t="n"/>
      <c r="X116" s="338" t="n"/>
      <c r="Y116" s="338" t="n"/>
      <c r="Z116" s="338" t="n"/>
      <c r="AA116" s="338" t="n"/>
      <c r="AB116" s="338" t="n"/>
      <c r="AC116" s="338" t="n"/>
      <c r="AD116" s="338" t="n"/>
      <c r="AE116" s="338" t="n"/>
      <c r="AF116" s="338" t="n"/>
      <c r="AG116" s="338" t="n"/>
      <c r="AH116" s="338" t="n"/>
      <c r="AI116" s="338" t="n"/>
      <c r="AJ116" s="338" t="n"/>
      <c r="AK116" s="338" t="n"/>
      <c r="AL116" s="338" t="n"/>
      <c r="AM116" s="338" t="n"/>
      <c r="AN116" s="338" t="n"/>
      <c r="AO116" s="338" t="n"/>
      <c r="AP116" s="338" t="n"/>
      <c r="AQ116" s="338" t="n"/>
      <c r="AR116" s="338" t="n"/>
      <c r="AS116" s="338" t="n"/>
      <c r="AT116" s="338" t="n"/>
      <c r="AU116" s="338" t="n"/>
      <c r="AV116" s="338" t="n"/>
      <c r="AW116" s="338" t="n"/>
      <c r="AX116" s="338" t="n"/>
      <c r="AY116" s="338" t="n"/>
      <c r="AZ116" s="338" t="n"/>
      <c r="BA116" s="338" t="n"/>
      <c r="BB116" s="338" t="n"/>
      <c r="BC116" s="338" t="n"/>
      <c r="BD116" s="338" t="n"/>
      <c r="BE116" s="338" t="n"/>
      <c r="BF116" s="338" t="n"/>
      <c r="BG116" s="338" t="n"/>
      <c r="BH116" s="338" t="n"/>
      <c r="BI116" s="338" t="n"/>
      <c r="BJ116" s="338" t="n"/>
      <c r="BK116" s="338" t="n"/>
      <c r="BL116" s="338" t="n"/>
      <c r="BM116" s="338" t="n"/>
      <c r="BN116" s="338" t="n"/>
      <c r="BO116" s="338" t="n"/>
      <c r="BP116" s="338" t="n"/>
      <c r="BQ116" s="338" t="n"/>
      <c r="BR116" s="338" t="n"/>
      <c r="BS116" s="338" t="n"/>
      <c r="BT116" s="338" t="n"/>
      <c r="BU116" s="338" t="n"/>
      <c r="BV116" s="338" t="n"/>
      <c r="BW116" s="338" t="n"/>
      <c r="BX116" s="338" t="n"/>
      <c r="BY116" s="338" t="n"/>
      <c r="BZ116" s="338" t="n"/>
      <c r="CA116" s="338" t="n"/>
      <c r="CB116" s="338" t="n"/>
      <c r="CC116" s="383" t="n"/>
      <c r="CF116" s="253" t="inlineStr">
        <is>
          <t>時間内</t>
        </is>
      </c>
      <c r="CG116" s="384" t="n"/>
      <c r="CH116" s="384" t="n"/>
      <c r="CI116" s="385" t="n"/>
      <c r="CJ116" s="386">
        <f>IF(Q115="作業者1",H118-H115,0)</f>
        <v/>
      </c>
      <c r="CK116" s="387" t="n"/>
      <c r="CL116" s="387" t="n"/>
      <c r="CM116" s="387" t="n"/>
      <c r="CN116" s="388" t="n"/>
      <c r="CP116" s="253" t="inlineStr">
        <is>
          <t>時間内</t>
        </is>
      </c>
      <c r="CQ116" s="384" t="n"/>
      <c r="CR116" s="384" t="n"/>
      <c r="CS116" s="385" t="n"/>
      <c r="CT116" s="386">
        <f>IF(Q115="作業者2",H118-H115,0)</f>
        <v/>
      </c>
      <c r="CU116" s="387" t="n"/>
      <c r="CV116" s="387" t="n"/>
      <c r="CW116" s="387" t="n"/>
      <c r="CX116" s="388" t="n"/>
      <c r="CZ116" s="253" t="inlineStr">
        <is>
          <t>時間内</t>
        </is>
      </c>
      <c r="DA116" s="384" t="n"/>
      <c r="DB116" s="384" t="n"/>
      <c r="DC116" s="385" t="n"/>
      <c r="DD116" s="386">
        <f>IF(Q115="作業者3",H118-H115,0)</f>
        <v/>
      </c>
      <c r="DE116" s="387" t="n"/>
      <c r="DF116" s="387" t="n"/>
      <c r="DG116" s="387" t="n"/>
      <c r="DH116" s="388" t="n"/>
      <c r="DJ116" s="253" t="inlineStr">
        <is>
          <t>時間内</t>
        </is>
      </c>
      <c r="DK116" s="384" t="n"/>
      <c r="DL116" s="384" t="n"/>
      <c r="DM116" s="385" t="n"/>
      <c r="DN116" s="386">
        <f>IF(Q115="作業者4",H118-H115,0)</f>
        <v/>
      </c>
      <c r="DO116" s="387" t="n"/>
      <c r="DP116" s="387" t="n"/>
      <c r="DQ116" s="387" t="n"/>
      <c r="DR116" s="388" t="n"/>
      <c r="DT116" s="253" t="inlineStr">
        <is>
          <t>時間内</t>
        </is>
      </c>
      <c r="DU116" s="384" t="n"/>
      <c r="DV116" s="384" t="n"/>
      <c r="DW116" s="385" t="n"/>
      <c r="DX116" s="386">
        <f>IF(Q115="作業者5",H118-H115,0)</f>
        <v/>
      </c>
      <c r="DY116" s="387" t="n"/>
      <c r="DZ116" s="387" t="n"/>
      <c r="EA116" s="387" t="n"/>
      <c r="EB116" s="388" t="n"/>
    </row>
    <row r="117" ht="9" customHeight="1" s="337">
      <c r="B117" s="350" t="n"/>
      <c r="C117" s="338" t="n"/>
      <c r="D117" s="380" t="n"/>
      <c r="E117" s="23" t="n"/>
      <c r="F117" s="338" t="n"/>
      <c r="G117" s="24" t="n"/>
      <c r="H117" s="23" t="n"/>
      <c r="I117" s="338" t="n"/>
      <c r="J117" s="24" t="n"/>
      <c r="K117" s="23" t="n"/>
      <c r="L117" s="338" t="n"/>
      <c r="M117" s="24" t="n"/>
      <c r="N117" s="23" t="n"/>
      <c r="O117" s="338" t="n"/>
      <c r="P117" s="24" t="n"/>
      <c r="Q117" s="382" t="n"/>
      <c r="R117" s="338" t="n"/>
      <c r="S117" s="380" t="n"/>
      <c r="T117" s="382" t="n"/>
      <c r="U117" s="338" t="n"/>
      <c r="V117" s="380" t="n"/>
      <c r="W117" s="382" t="n"/>
      <c r="X117" s="338" t="n"/>
      <c r="Y117" s="338" t="n"/>
      <c r="Z117" s="338" t="n"/>
      <c r="AA117" s="338" t="n"/>
      <c r="AB117" s="338" t="n"/>
      <c r="AC117" s="338" t="n"/>
      <c r="AD117" s="338" t="n"/>
      <c r="AE117" s="338" t="n"/>
      <c r="AF117" s="338" t="n"/>
      <c r="AG117" s="338" t="n"/>
      <c r="AH117" s="338" t="n"/>
      <c r="AI117" s="338" t="n"/>
      <c r="AJ117" s="338" t="n"/>
      <c r="AK117" s="338" t="n"/>
      <c r="AL117" s="338" t="n"/>
      <c r="AM117" s="338" t="n"/>
      <c r="AN117" s="338" t="n"/>
      <c r="AO117" s="338" t="n"/>
      <c r="AP117" s="338" t="n"/>
      <c r="AQ117" s="338" t="n"/>
      <c r="AR117" s="338" t="n"/>
      <c r="AS117" s="338" t="n"/>
      <c r="AT117" s="338" t="n"/>
      <c r="AU117" s="338" t="n"/>
      <c r="AV117" s="338" t="n"/>
      <c r="AW117" s="338" t="n"/>
      <c r="AX117" s="338" t="n"/>
      <c r="AY117" s="338" t="n"/>
      <c r="AZ117" s="338" t="n"/>
      <c r="BA117" s="338" t="n"/>
      <c r="BB117" s="338" t="n"/>
      <c r="BC117" s="338" t="n"/>
      <c r="BD117" s="338" t="n"/>
      <c r="BE117" s="338" t="n"/>
      <c r="BF117" s="338" t="n"/>
      <c r="BG117" s="338" t="n"/>
      <c r="BH117" s="338" t="n"/>
      <c r="BI117" s="338" t="n"/>
      <c r="BJ117" s="338" t="n"/>
      <c r="BK117" s="338" t="n"/>
      <c r="BL117" s="338" t="n"/>
      <c r="BM117" s="338" t="n"/>
      <c r="BN117" s="338" t="n"/>
      <c r="BO117" s="338" t="n"/>
      <c r="BP117" s="338" t="n"/>
      <c r="BQ117" s="338" t="n"/>
      <c r="BR117" s="338" t="n"/>
      <c r="BS117" s="338" t="n"/>
      <c r="BT117" s="338" t="n"/>
      <c r="BU117" s="338" t="n"/>
      <c r="BV117" s="338" t="n"/>
      <c r="BW117" s="338" t="n"/>
      <c r="BX117" s="338" t="n"/>
      <c r="BY117" s="338" t="n"/>
      <c r="BZ117" s="338" t="n"/>
      <c r="CA117" s="338" t="n"/>
      <c r="CB117" s="338" t="n"/>
      <c r="CC117" s="383" t="n"/>
      <c r="CF117" s="253" t="inlineStr">
        <is>
          <t>時間外</t>
        </is>
      </c>
      <c r="CG117" s="384" t="n"/>
      <c r="CH117" s="384" t="n"/>
      <c r="CI117" s="385" t="n"/>
      <c r="CJ117" s="386">
        <f>IF(Q115="作業者1",K118-K115,0)</f>
        <v/>
      </c>
      <c r="CK117" s="387" t="n"/>
      <c r="CL117" s="387" t="n"/>
      <c r="CM117" s="387" t="n"/>
      <c r="CN117" s="388" t="n"/>
      <c r="CP117" s="253" t="inlineStr">
        <is>
          <t>時間外</t>
        </is>
      </c>
      <c r="CQ117" s="384" t="n"/>
      <c r="CR117" s="384" t="n"/>
      <c r="CS117" s="385" t="n"/>
      <c r="CT117" s="386">
        <f>IF(Q115="作業者2",K118-K115,0)</f>
        <v/>
      </c>
      <c r="CU117" s="387" t="n"/>
      <c r="CV117" s="387" t="n"/>
      <c r="CW117" s="387" t="n"/>
      <c r="CX117" s="388" t="n"/>
      <c r="CZ117" s="253" t="inlineStr">
        <is>
          <t>時間外</t>
        </is>
      </c>
      <c r="DA117" s="384" t="n"/>
      <c r="DB117" s="384" t="n"/>
      <c r="DC117" s="385" t="n"/>
      <c r="DD117" s="386">
        <f>IF(Q115="作業者3",K118-K115,0)</f>
        <v/>
      </c>
      <c r="DE117" s="387" t="n"/>
      <c r="DF117" s="387" t="n"/>
      <c r="DG117" s="387" t="n"/>
      <c r="DH117" s="388" t="n"/>
      <c r="DJ117" s="253" t="inlineStr">
        <is>
          <t>時間外</t>
        </is>
      </c>
      <c r="DK117" s="384" t="n"/>
      <c r="DL117" s="384" t="n"/>
      <c r="DM117" s="385" t="n"/>
      <c r="DN117" s="386">
        <f>IF(Q115="作業者4",K118-K115,0)</f>
        <v/>
      </c>
      <c r="DO117" s="387" t="n"/>
      <c r="DP117" s="387" t="n"/>
      <c r="DQ117" s="387" t="n"/>
      <c r="DR117" s="388" t="n"/>
      <c r="DT117" s="253" t="inlineStr">
        <is>
          <t>時間外</t>
        </is>
      </c>
      <c r="DU117" s="384" t="n"/>
      <c r="DV117" s="384" t="n"/>
      <c r="DW117" s="385" t="n"/>
      <c r="DX117" s="386">
        <f>IF(Q115="作業者5",K118-K115,0)</f>
        <v/>
      </c>
      <c r="DY117" s="387" t="n"/>
      <c r="DZ117" s="387" t="n"/>
      <c r="EA117" s="387" t="n"/>
      <c r="EB117" s="388" t="n"/>
    </row>
    <row r="118" ht="9" customHeight="1" s="337">
      <c r="B118" s="389" t="n"/>
      <c r="C118" s="390" t="n"/>
      <c r="D118" s="391" t="n"/>
      <c r="E118" s="392" t="n"/>
      <c r="F118" s="390" t="n"/>
      <c r="G118" s="391" t="n"/>
      <c r="H118" s="392" t="n"/>
      <c r="I118" s="390" t="n"/>
      <c r="J118" s="391" t="n"/>
      <c r="K118" s="392" t="n"/>
      <c r="L118" s="390" t="n"/>
      <c r="M118" s="391" t="n"/>
      <c r="N118" s="392" t="n"/>
      <c r="O118" s="390" t="n"/>
      <c r="P118" s="391" t="n"/>
      <c r="Q118" s="393" t="n"/>
      <c r="R118" s="390" t="n"/>
      <c r="S118" s="391" t="n"/>
      <c r="T118" s="393" t="n"/>
      <c r="U118" s="390" t="n"/>
      <c r="V118" s="391" t="n"/>
      <c r="W118" s="393" t="n"/>
      <c r="X118" s="390" t="n"/>
      <c r="Y118" s="390" t="n"/>
      <c r="Z118" s="390" t="n"/>
      <c r="AA118" s="390" t="n"/>
      <c r="AB118" s="390" t="n"/>
      <c r="AC118" s="390" t="n"/>
      <c r="AD118" s="390" t="n"/>
      <c r="AE118" s="390" t="n"/>
      <c r="AF118" s="390" t="n"/>
      <c r="AG118" s="390" t="n"/>
      <c r="AH118" s="390" t="n"/>
      <c r="AI118" s="390" t="n"/>
      <c r="AJ118" s="390" t="n"/>
      <c r="AK118" s="390" t="n"/>
      <c r="AL118" s="390" t="n"/>
      <c r="AM118" s="390" t="n"/>
      <c r="AN118" s="390" t="n"/>
      <c r="AO118" s="390" t="n"/>
      <c r="AP118" s="390" t="n"/>
      <c r="AQ118" s="390" t="n"/>
      <c r="AR118" s="390" t="n"/>
      <c r="AS118" s="390" t="n"/>
      <c r="AT118" s="390" t="n"/>
      <c r="AU118" s="390" t="n"/>
      <c r="AV118" s="390" t="n"/>
      <c r="AW118" s="390" t="n"/>
      <c r="AX118" s="390" t="n"/>
      <c r="AY118" s="390" t="n"/>
      <c r="AZ118" s="390" t="n"/>
      <c r="BA118" s="390" t="n"/>
      <c r="BB118" s="390" t="n"/>
      <c r="BC118" s="390" t="n"/>
      <c r="BD118" s="390" t="n"/>
      <c r="BE118" s="390" t="n"/>
      <c r="BF118" s="390" t="n"/>
      <c r="BG118" s="390" t="n"/>
      <c r="BH118" s="390" t="n"/>
      <c r="BI118" s="390" t="n"/>
      <c r="BJ118" s="390" t="n"/>
      <c r="BK118" s="390" t="n"/>
      <c r="BL118" s="390" t="n"/>
      <c r="BM118" s="390" t="n"/>
      <c r="BN118" s="390" t="n"/>
      <c r="BO118" s="390" t="n"/>
      <c r="BP118" s="390" t="n"/>
      <c r="BQ118" s="390" t="n"/>
      <c r="BR118" s="390" t="n"/>
      <c r="BS118" s="390" t="n"/>
      <c r="BT118" s="390" t="n"/>
      <c r="BU118" s="390" t="n"/>
      <c r="BV118" s="390" t="n"/>
      <c r="BW118" s="390" t="n"/>
      <c r="BX118" s="390" t="n"/>
      <c r="BY118" s="390" t="n"/>
      <c r="BZ118" s="390" t="n"/>
      <c r="CA118" s="390" t="n"/>
      <c r="CB118" s="390" t="n"/>
      <c r="CC118" s="394" t="n"/>
      <c r="CF118" s="254" t="inlineStr">
        <is>
          <t>休日</t>
        </is>
      </c>
      <c r="CG118" s="395" t="n"/>
      <c r="CH118" s="395" t="n"/>
      <c r="CI118" s="396" t="n"/>
      <c r="CJ118" s="397">
        <f>IF(Q115="作業者1",N118-N115,0)</f>
        <v/>
      </c>
      <c r="CK118" s="395" t="n"/>
      <c r="CL118" s="395" t="n"/>
      <c r="CM118" s="395" t="n"/>
      <c r="CN118" s="396" t="n"/>
      <c r="CP118" s="254" t="inlineStr">
        <is>
          <t>休日</t>
        </is>
      </c>
      <c r="CQ118" s="395" t="n"/>
      <c r="CR118" s="395" t="n"/>
      <c r="CS118" s="396" t="n"/>
      <c r="CT118" s="397">
        <f>IF(Q115="作業者2",N118-N115,0)</f>
        <v/>
      </c>
      <c r="CU118" s="395" t="n"/>
      <c r="CV118" s="395" t="n"/>
      <c r="CW118" s="395" t="n"/>
      <c r="CX118" s="396" t="n"/>
      <c r="CZ118" s="254" t="inlineStr">
        <is>
          <t>休日</t>
        </is>
      </c>
      <c r="DA118" s="395" t="n"/>
      <c r="DB118" s="395" t="n"/>
      <c r="DC118" s="396" t="n"/>
      <c r="DD118" s="397">
        <f>IF(Q115="作業者3",N118-N115,0)</f>
        <v/>
      </c>
      <c r="DE118" s="395" t="n"/>
      <c r="DF118" s="395" t="n"/>
      <c r="DG118" s="395" t="n"/>
      <c r="DH118" s="396" t="n"/>
      <c r="DJ118" s="254" t="inlineStr">
        <is>
          <t>休日</t>
        </is>
      </c>
      <c r="DK118" s="395" t="n"/>
      <c r="DL118" s="395" t="n"/>
      <c r="DM118" s="396" t="n"/>
      <c r="DN118" s="397">
        <f>IF(Q115="作業者4",N118-N115,0)</f>
        <v/>
      </c>
      <c r="DO118" s="395" t="n"/>
      <c r="DP118" s="395" t="n"/>
      <c r="DQ118" s="395" t="n"/>
      <c r="DR118" s="396" t="n"/>
      <c r="DT118" s="254" t="inlineStr">
        <is>
          <t>休日</t>
        </is>
      </c>
      <c r="DU118" s="395" t="n"/>
      <c r="DV118" s="395" t="n"/>
      <c r="DW118" s="396" t="n"/>
      <c r="DX118" s="397">
        <f>IF(Q115="作業者5",N118-N115,0)</f>
        <v/>
      </c>
      <c r="DY118" s="395" t="n"/>
      <c r="DZ118" s="395" t="n"/>
      <c r="EA118" s="395" t="n"/>
      <c r="EB118" s="396" t="n"/>
    </row>
    <row r="119" ht="9" customHeight="1" s="337">
      <c r="B119" s="398" t="n"/>
      <c r="C119" s="372" t="n"/>
      <c r="D119" s="373" t="n"/>
      <c r="E119" s="399" t="n"/>
      <c r="F119" s="372" t="n"/>
      <c r="G119" s="373" t="n"/>
      <c r="H119" s="399" t="n"/>
      <c r="I119" s="372" t="n"/>
      <c r="J119" s="373" t="n"/>
      <c r="K119" s="399" t="n"/>
      <c r="L119" s="372" t="n"/>
      <c r="M119" s="373" t="n"/>
      <c r="N119" s="399" t="n"/>
      <c r="O119" s="372" t="n"/>
      <c r="P119" s="373" t="n"/>
      <c r="Q119" s="371" t="n"/>
      <c r="R119" s="372" t="n"/>
      <c r="S119" s="373" t="n"/>
      <c r="T119" s="371" t="n"/>
      <c r="U119" s="372" t="n"/>
      <c r="V119" s="373" t="n"/>
      <c r="W119" s="443" t="n"/>
      <c r="X119" s="372" t="n"/>
      <c r="Y119" s="372" t="n"/>
      <c r="Z119" s="372" t="n"/>
      <c r="AA119" s="372" t="n"/>
      <c r="AB119" s="372" t="n"/>
      <c r="AC119" s="372" t="n"/>
      <c r="AD119" s="372" t="n"/>
      <c r="AE119" s="372" t="n"/>
      <c r="AF119" s="372" t="n"/>
      <c r="AG119" s="372" t="n"/>
      <c r="AH119" s="372" t="n"/>
      <c r="AI119" s="372" t="n"/>
      <c r="AJ119" s="372" t="n"/>
      <c r="AK119" s="372" t="n"/>
      <c r="AL119" s="372" t="n"/>
      <c r="AM119" s="372" t="n"/>
      <c r="AN119" s="372" t="n"/>
      <c r="AO119" s="372" t="n"/>
      <c r="AP119" s="372" t="n"/>
      <c r="AQ119" s="372" t="n"/>
      <c r="AR119" s="372" t="n"/>
      <c r="AS119" s="372" t="n"/>
      <c r="AT119" s="372" t="n"/>
      <c r="AU119" s="372" t="n"/>
      <c r="AV119" s="372" t="n"/>
      <c r="AW119" s="372" t="n"/>
      <c r="AX119" s="372" t="n"/>
      <c r="AY119" s="372" t="n"/>
      <c r="AZ119" s="372" t="n"/>
      <c r="BA119" s="372" t="n"/>
      <c r="BB119" s="372" t="n"/>
      <c r="BC119" s="372" t="n"/>
      <c r="BD119" s="372" t="n"/>
      <c r="BE119" s="372" t="n"/>
      <c r="BF119" s="372" t="n"/>
      <c r="BG119" s="372" t="n"/>
      <c r="BH119" s="372" t="n"/>
      <c r="BI119" s="372" t="n"/>
      <c r="BJ119" s="372" t="n"/>
      <c r="BK119" s="372" t="n"/>
      <c r="BL119" s="372" t="n"/>
      <c r="BM119" s="372" t="n"/>
      <c r="BN119" s="372" t="n"/>
      <c r="BO119" s="372" t="n"/>
      <c r="BP119" s="372" t="n"/>
      <c r="BQ119" s="372" t="n"/>
      <c r="BR119" s="372" t="n"/>
      <c r="BS119" s="372" t="n"/>
      <c r="BT119" s="372" t="n"/>
      <c r="BU119" s="372" t="n"/>
      <c r="BV119" s="372" t="n"/>
      <c r="BW119" s="372" t="n"/>
      <c r="BX119" s="372" t="n"/>
      <c r="BY119" s="372" t="n"/>
      <c r="BZ119" s="372" t="n"/>
      <c r="CA119" s="372" t="n"/>
      <c r="CB119" s="372" t="n"/>
      <c r="CC119" s="402" t="n"/>
      <c r="CF119" s="248" t="inlineStr">
        <is>
          <t>移動</t>
        </is>
      </c>
      <c r="CG119" s="377" t="n"/>
      <c r="CH119" s="377" t="n"/>
      <c r="CI119" s="378" t="n"/>
      <c r="CJ119" s="379">
        <f>IF(Q119="作業者1",E122-E119,0)</f>
        <v/>
      </c>
      <c r="CK119" s="377" t="n"/>
      <c r="CL119" s="377" t="n"/>
      <c r="CM119" s="377" t="n"/>
      <c r="CN119" s="378" t="n"/>
      <c r="CP119" s="248" t="inlineStr">
        <is>
          <t>移動</t>
        </is>
      </c>
      <c r="CQ119" s="377" t="n"/>
      <c r="CR119" s="377" t="n"/>
      <c r="CS119" s="378" t="n"/>
      <c r="CT119" s="379">
        <f>IF(Q119="作業者2",E122-E119,0)</f>
        <v/>
      </c>
      <c r="CU119" s="377" t="n"/>
      <c r="CV119" s="377" t="n"/>
      <c r="CW119" s="377" t="n"/>
      <c r="CX119" s="378" t="n"/>
      <c r="CZ119" s="248" t="inlineStr">
        <is>
          <t>移動</t>
        </is>
      </c>
      <c r="DA119" s="377" t="n"/>
      <c r="DB119" s="377" t="n"/>
      <c r="DC119" s="378" t="n"/>
      <c r="DD119" s="379">
        <f>IF(Q119="作業者3",E122-E119,0)</f>
        <v/>
      </c>
      <c r="DE119" s="377" t="n"/>
      <c r="DF119" s="377" t="n"/>
      <c r="DG119" s="377" t="n"/>
      <c r="DH119" s="378" t="n"/>
      <c r="DJ119" s="248" t="inlineStr">
        <is>
          <t>移動</t>
        </is>
      </c>
      <c r="DK119" s="377" t="n"/>
      <c r="DL119" s="377" t="n"/>
      <c r="DM119" s="378" t="n"/>
      <c r="DN119" s="379">
        <f>IF(Q119="作業者4",E122-E119,0)</f>
        <v/>
      </c>
      <c r="DO119" s="377" t="n"/>
      <c r="DP119" s="377" t="n"/>
      <c r="DQ119" s="377" t="n"/>
      <c r="DR119" s="378" t="n"/>
      <c r="DT119" s="259" t="inlineStr">
        <is>
          <t>移動</t>
        </is>
      </c>
      <c r="DU119" s="403" t="n"/>
      <c r="DV119" s="403" t="n"/>
      <c r="DW119" s="404" t="n"/>
      <c r="DX119" s="379">
        <f>IF(Q119="作業者5",E122-E119,0)</f>
        <v/>
      </c>
      <c r="DY119" s="377" t="n"/>
      <c r="DZ119" s="377" t="n"/>
      <c r="EA119" s="377" t="n"/>
      <c r="EB119" s="378" t="n"/>
    </row>
    <row r="120" ht="9" customHeight="1" s="337">
      <c r="B120" s="350" t="n"/>
      <c r="C120" s="338" t="n"/>
      <c r="D120" s="380" t="n"/>
      <c r="E120" s="381" t="n"/>
      <c r="F120" s="122" t="inlineStr">
        <is>
          <t>～</t>
        </is>
      </c>
      <c r="G120" s="22" t="n"/>
      <c r="H120" s="381" t="n"/>
      <c r="I120" s="122" t="inlineStr">
        <is>
          <t>～</t>
        </is>
      </c>
      <c r="J120" s="22" t="n"/>
      <c r="K120" s="381" t="n"/>
      <c r="L120" s="122" t="inlineStr">
        <is>
          <t>～</t>
        </is>
      </c>
      <c r="M120" s="22" t="n"/>
      <c r="N120" s="381" t="n"/>
      <c r="O120" s="122" t="inlineStr">
        <is>
          <t>～</t>
        </is>
      </c>
      <c r="P120" s="22" t="n"/>
      <c r="Q120" s="382" t="n"/>
      <c r="R120" s="338" t="n"/>
      <c r="S120" s="380" t="n"/>
      <c r="T120" s="382" t="n"/>
      <c r="U120" s="338" t="n"/>
      <c r="V120" s="380" t="n"/>
      <c r="W120" s="382" t="n"/>
      <c r="X120" s="338" t="n"/>
      <c r="Y120" s="338" t="n"/>
      <c r="Z120" s="338" t="n"/>
      <c r="AA120" s="338" t="n"/>
      <c r="AB120" s="338" t="n"/>
      <c r="AC120" s="338" t="n"/>
      <c r="AD120" s="338" t="n"/>
      <c r="AE120" s="338" t="n"/>
      <c r="AF120" s="338" t="n"/>
      <c r="AG120" s="338" t="n"/>
      <c r="AH120" s="338" t="n"/>
      <c r="AI120" s="338" t="n"/>
      <c r="AJ120" s="338" t="n"/>
      <c r="AK120" s="338" t="n"/>
      <c r="AL120" s="338" t="n"/>
      <c r="AM120" s="338" t="n"/>
      <c r="AN120" s="338" t="n"/>
      <c r="AO120" s="338" t="n"/>
      <c r="AP120" s="338" t="n"/>
      <c r="AQ120" s="338" t="n"/>
      <c r="AR120" s="338" t="n"/>
      <c r="AS120" s="338" t="n"/>
      <c r="AT120" s="338" t="n"/>
      <c r="AU120" s="338" t="n"/>
      <c r="AV120" s="338" t="n"/>
      <c r="AW120" s="338" t="n"/>
      <c r="AX120" s="338" t="n"/>
      <c r="AY120" s="338" t="n"/>
      <c r="AZ120" s="338" t="n"/>
      <c r="BA120" s="338" t="n"/>
      <c r="BB120" s="338" t="n"/>
      <c r="BC120" s="338" t="n"/>
      <c r="BD120" s="338" t="n"/>
      <c r="BE120" s="338" t="n"/>
      <c r="BF120" s="338" t="n"/>
      <c r="BG120" s="338" t="n"/>
      <c r="BH120" s="338" t="n"/>
      <c r="BI120" s="338" t="n"/>
      <c r="BJ120" s="338" t="n"/>
      <c r="BK120" s="338" t="n"/>
      <c r="BL120" s="338" t="n"/>
      <c r="BM120" s="338" t="n"/>
      <c r="BN120" s="338" t="n"/>
      <c r="BO120" s="338" t="n"/>
      <c r="BP120" s="338" t="n"/>
      <c r="BQ120" s="338" t="n"/>
      <c r="BR120" s="338" t="n"/>
      <c r="BS120" s="338" t="n"/>
      <c r="BT120" s="338" t="n"/>
      <c r="BU120" s="338" t="n"/>
      <c r="BV120" s="338" t="n"/>
      <c r="BW120" s="338" t="n"/>
      <c r="BX120" s="338" t="n"/>
      <c r="BY120" s="338" t="n"/>
      <c r="BZ120" s="338" t="n"/>
      <c r="CA120" s="338" t="n"/>
      <c r="CB120" s="338" t="n"/>
      <c r="CC120" s="383" t="n"/>
      <c r="CF120" s="253" t="inlineStr">
        <is>
          <t>時間内</t>
        </is>
      </c>
      <c r="CG120" s="384" t="n"/>
      <c r="CH120" s="384" t="n"/>
      <c r="CI120" s="385" t="n"/>
      <c r="CJ120" s="386">
        <f>IF(Q119="作業者1",H122-H119,0)</f>
        <v/>
      </c>
      <c r="CK120" s="387" t="n"/>
      <c r="CL120" s="387" t="n"/>
      <c r="CM120" s="387" t="n"/>
      <c r="CN120" s="388" t="n"/>
      <c r="CP120" s="253" t="inlineStr">
        <is>
          <t>時間内</t>
        </is>
      </c>
      <c r="CQ120" s="384" t="n"/>
      <c r="CR120" s="384" t="n"/>
      <c r="CS120" s="385" t="n"/>
      <c r="CT120" s="386">
        <f>IF(Q119="作業者2",H122-H119,0)</f>
        <v/>
      </c>
      <c r="CU120" s="387" t="n"/>
      <c r="CV120" s="387" t="n"/>
      <c r="CW120" s="387" t="n"/>
      <c r="CX120" s="388" t="n"/>
      <c r="CZ120" s="253" t="inlineStr">
        <is>
          <t>時間内</t>
        </is>
      </c>
      <c r="DA120" s="384" t="n"/>
      <c r="DB120" s="384" t="n"/>
      <c r="DC120" s="385" t="n"/>
      <c r="DD120" s="386">
        <f>IF(Q119="作業者3",H122-H119,0)</f>
        <v/>
      </c>
      <c r="DE120" s="387" t="n"/>
      <c r="DF120" s="387" t="n"/>
      <c r="DG120" s="387" t="n"/>
      <c r="DH120" s="388" t="n"/>
      <c r="DJ120" s="253" t="inlineStr">
        <is>
          <t>時間内</t>
        </is>
      </c>
      <c r="DK120" s="384" t="n"/>
      <c r="DL120" s="384" t="n"/>
      <c r="DM120" s="385" t="n"/>
      <c r="DN120" s="386">
        <f>IF(Q119="作業者4",H122-H119,0)</f>
        <v/>
      </c>
      <c r="DO120" s="387" t="n"/>
      <c r="DP120" s="387" t="n"/>
      <c r="DQ120" s="387" t="n"/>
      <c r="DR120" s="388" t="n"/>
      <c r="DT120" s="253" t="inlineStr">
        <is>
          <t>時間内</t>
        </is>
      </c>
      <c r="DU120" s="384" t="n"/>
      <c r="DV120" s="384" t="n"/>
      <c r="DW120" s="385" t="n"/>
      <c r="DX120" s="386">
        <f>IF(Q119="作業者5",H122-H119,0)</f>
        <v/>
      </c>
      <c r="DY120" s="387" t="n"/>
      <c r="DZ120" s="387" t="n"/>
      <c r="EA120" s="387" t="n"/>
      <c r="EB120" s="388" t="n"/>
    </row>
    <row r="121" ht="9" customHeight="1" s="337">
      <c r="B121" s="350" t="n"/>
      <c r="C121" s="338" t="n"/>
      <c r="D121" s="380" t="n"/>
      <c r="E121" s="23" t="n"/>
      <c r="F121" s="338" t="n"/>
      <c r="G121" s="24" t="n"/>
      <c r="H121" s="23" t="n"/>
      <c r="I121" s="338" t="n"/>
      <c r="J121" s="24" t="n"/>
      <c r="K121" s="23" t="n"/>
      <c r="L121" s="338" t="n"/>
      <c r="M121" s="24" t="n"/>
      <c r="N121" s="23" t="n"/>
      <c r="O121" s="338" t="n"/>
      <c r="P121" s="24" t="n"/>
      <c r="Q121" s="382" t="n"/>
      <c r="R121" s="338" t="n"/>
      <c r="S121" s="380" t="n"/>
      <c r="T121" s="382" t="n"/>
      <c r="U121" s="338" t="n"/>
      <c r="V121" s="380" t="n"/>
      <c r="W121" s="382" t="n"/>
      <c r="X121" s="338" t="n"/>
      <c r="Y121" s="338" t="n"/>
      <c r="Z121" s="338" t="n"/>
      <c r="AA121" s="338" t="n"/>
      <c r="AB121" s="338" t="n"/>
      <c r="AC121" s="338" t="n"/>
      <c r="AD121" s="338" t="n"/>
      <c r="AE121" s="338" t="n"/>
      <c r="AF121" s="338" t="n"/>
      <c r="AG121" s="338" t="n"/>
      <c r="AH121" s="338" t="n"/>
      <c r="AI121" s="338" t="n"/>
      <c r="AJ121" s="338" t="n"/>
      <c r="AK121" s="338" t="n"/>
      <c r="AL121" s="338" t="n"/>
      <c r="AM121" s="338" t="n"/>
      <c r="AN121" s="338" t="n"/>
      <c r="AO121" s="338" t="n"/>
      <c r="AP121" s="338" t="n"/>
      <c r="AQ121" s="338" t="n"/>
      <c r="AR121" s="338" t="n"/>
      <c r="AS121" s="338" t="n"/>
      <c r="AT121" s="338" t="n"/>
      <c r="AU121" s="338" t="n"/>
      <c r="AV121" s="338" t="n"/>
      <c r="AW121" s="338" t="n"/>
      <c r="AX121" s="338" t="n"/>
      <c r="AY121" s="338" t="n"/>
      <c r="AZ121" s="338" t="n"/>
      <c r="BA121" s="338" t="n"/>
      <c r="BB121" s="338" t="n"/>
      <c r="BC121" s="338" t="n"/>
      <c r="BD121" s="338" t="n"/>
      <c r="BE121" s="338" t="n"/>
      <c r="BF121" s="338" t="n"/>
      <c r="BG121" s="338" t="n"/>
      <c r="BH121" s="338" t="n"/>
      <c r="BI121" s="338" t="n"/>
      <c r="BJ121" s="338" t="n"/>
      <c r="BK121" s="338" t="n"/>
      <c r="BL121" s="338" t="n"/>
      <c r="BM121" s="338" t="n"/>
      <c r="BN121" s="338" t="n"/>
      <c r="BO121" s="338" t="n"/>
      <c r="BP121" s="338" t="n"/>
      <c r="BQ121" s="338" t="n"/>
      <c r="BR121" s="338" t="n"/>
      <c r="BS121" s="338" t="n"/>
      <c r="BT121" s="338" t="n"/>
      <c r="BU121" s="338" t="n"/>
      <c r="BV121" s="338" t="n"/>
      <c r="BW121" s="338" t="n"/>
      <c r="BX121" s="338" t="n"/>
      <c r="BY121" s="338" t="n"/>
      <c r="BZ121" s="338" t="n"/>
      <c r="CA121" s="338" t="n"/>
      <c r="CB121" s="338" t="n"/>
      <c r="CC121" s="383" t="n"/>
      <c r="CF121" s="253" t="inlineStr">
        <is>
          <t>時間外</t>
        </is>
      </c>
      <c r="CG121" s="384" t="n"/>
      <c r="CH121" s="384" t="n"/>
      <c r="CI121" s="385" t="n"/>
      <c r="CJ121" s="386">
        <f>IF(Q119="作業者1",K122-K119,0)</f>
        <v/>
      </c>
      <c r="CK121" s="387" t="n"/>
      <c r="CL121" s="387" t="n"/>
      <c r="CM121" s="387" t="n"/>
      <c r="CN121" s="388" t="n"/>
      <c r="CP121" s="253" t="inlineStr">
        <is>
          <t>時間外</t>
        </is>
      </c>
      <c r="CQ121" s="384" t="n"/>
      <c r="CR121" s="384" t="n"/>
      <c r="CS121" s="385" t="n"/>
      <c r="CT121" s="386">
        <f>IF(Q119="作業者2",K122-K119,0)</f>
        <v/>
      </c>
      <c r="CU121" s="387" t="n"/>
      <c r="CV121" s="387" t="n"/>
      <c r="CW121" s="387" t="n"/>
      <c r="CX121" s="388" t="n"/>
      <c r="CZ121" s="253" t="inlineStr">
        <is>
          <t>時間外</t>
        </is>
      </c>
      <c r="DA121" s="384" t="n"/>
      <c r="DB121" s="384" t="n"/>
      <c r="DC121" s="385" t="n"/>
      <c r="DD121" s="386">
        <f>IF(Q119="作業者3",K122-K119,0)</f>
        <v/>
      </c>
      <c r="DE121" s="387" t="n"/>
      <c r="DF121" s="387" t="n"/>
      <c r="DG121" s="387" t="n"/>
      <c r="DH121" s="388" t="n"/>
      <c r="DJ121" s="253" t="inlineStr">
        <is>
          <t>時間外</t>
        </is>
      </c>
      <c r="DK121" s="384" t="n"/>
      <c r="DL121" s="384" t="n"/>
      <c r="DM121" s="385" t="n"/>
      <c r="DN121" s="386">
        <f>IF(Q119="作業者4",K122-K119,0)</f>
        <v/>
      </c>
      <c r="DO121" s="387" t="n"/>
      <c r="DP121" s="387" t="n"/>
      <c r="DQ121" s="387" t="n"/>
      <c r="DR121" s="388" t="n"/>
      <c r="DT121" s="253" t="inlineStr">
        <is>
          <t>時間外</t>
        </is>
      </c>
      <c r="DU121" s="384" t="n"/>
      <c r="DV121" s="384" t="n"/>
      <c r="DW121" s="385" t="n"/>
      <c r="DX121" s="386">
        <f>IF(Q119="作業者5",K122-K119,0)</f>
        <v/>
      </c>
      <c r="DY121" s="387" t="n"/>
      <c r="DZ121" s="387" t="n"/>
      <c r="EA121" s="387" t="n"/>
      <c r="EB121" s="388" t="n"/>
    </row>
    <row r="122" ht="9" customHeight="1" s="337">
      <c r="B122" s="389" t="n"/>
      <c r="C122" s="390" t="n"/>
      <c r="D122" s="391" t="n"/>
      <c r="E122" s="392" t="n"/>
      <c r="F122" s="390" t="n"/>
      <c r="G122" s="391" t="n"/>
      <c r="H122" s="392" t="n"/>
      <c r="I122" s="390" t="n"/>
      <c r="J122" s="391" t="n"/>
      <c r="K122" s="392" t="n"/>
      <c r="L122" s="390" t="n"/>
      <c r="M122" s="391" t="n"/>
      <c r="N122" s="392" t="n"/>
      <c r="O122" s="390" t="n"/>
      <c r="P122" s="391" t="n"/>
      <c r="Q122" s="393" t="n"/>
      <c r="R122" s="390" t="n"/>
      <c r="S122" s="391" t="n"/>
      <c r="T122" s="393" t="n"/>
      <c r="U122" s="390" t="n"/>
      <c r="V122" s="391" t="n"/>
      <c r="W122" s="393" t="n"/>
      <c r="X122" s="390" t="n"/>
      <c r="Y122" s="390" t="n"/>
      <c r="Z122" s="390" t="n"/>
      <c r="AA122" s="390" t="n"/>
      <c r="AB122" s="390" t="n"/>
      <c r="AC122" s="390" t="n"/>
      <c r="AD122" s="390" t="n"/>
      <c r="AE122" s="390" t="n"/>
      <c r="AF122" s="390" t="n"/>
      <c r="AG122" s="390" t="n"/>
      <c r="AH122" s="390" t="n"/>
      <c r="AI122" s="390" t="n"/>
      <c r="AJ122" s="390" t="n"/>
      <c r="AK122" s="390" t="n"/>
      <c r="AL122" s="390" t="n"/>
      <c r="AM122" s="390" t="n"/>
      <c r="AN122" s="390" t="n"/>
      <c r="AO122" s="390" t="n"/>
      <c r="AP122" s="390" t="n"/>
      <c r="AQ122" s="390" t="n"/>
      <c r="AR122" s="390" t="n"/>
      <c r="AS122" s="390" t="n"/>
      <c r="AT122" s="390" t="n"/>
      <c r="AU122" s="390" t="n"/>
      <c r="AV122" s="390" t="n"/>
      <c r="AW122" s="390" t="n"/>
      <c r="AX122" s="390" t="n"/>
      <c r="AY122" s="390" t="n"/>
      <c r="AZ122" s="390" t="n"/>
      <c r="BA122" s="390" t="n"/>
      <c r="BB122" s="390" t="n"/>
      <c r="BC122" s="390" t="n"/>
      <c r="BD122" s="390" t="n"/>
      <c r="BE122" s="390" t="n"/>
      <c r="BF122" s="390" t="n"/>
      <c r="BG122" s="390" t="n"/>
      <c r="BH122" s="390" t="n"/>
      <c r="BI122" s="390" t="n"/>
      <c r="BJ122" s="390" t="n"/>
      <c r="BK122" s="390" t="n"/>
      <c r="BL122" s="390" t="n"/>
      <c r="BM122" s="390" t="n"/>
      <c r="BN122" s="390" t="n"/>
      <c r="BO122" s="390" t="n"/>
      <c r="BP122" s="390" t="n"/>
      <c r="BQ122" s="390" t="n"/>
      <c r="BR122" s="390" t="n"/>
      <c r="BS122" s="390" t="n"/>
      <c r="BT122" s="390" t="n"/>
      <c r="BU122" s="390" t="n"/>
      <c r="BV122" s="390" t="n"/>
      <c r="BW122" s="390" t="n"/>
      <c r="BX122" s="390" t="n"/>
      <c r="BY122" s="390" t="n"/>
      <c r="BZ122" s="390" t="n"/>
      <c r="CA122" s="390" t="n"/>
      <c r="CB122" s="390" t="n"/>
      <c r="CC122" s="394" t="n"/>
      <c r="CF122" s="254" t="inlineStr">
        <is>
          <t>休日</t>
        </is>
      </c>
      <c r="CG122" s="395" t="n"/>
      <c r="CH122" s="395" t="n"/>
      <c r="CI122" s="396" t="n"/>
      <c r="CJ122" s="386">
        <f>IF(Q119="作業者1",N122-N119,0)</f>
        <v/>
      </c>
      <c r="CK122" s="387" t="n"/>
      <c r="CL122" s="387" t="n"/>
      <c r="CM122" s="387" t="n"/>
      <c r="CN122" s="388" t="n"/>
      <c r="CP122" s="253" t="inlineStr">
        <is>
          <t>休日</t>
        </is>
      </c>
      <c r="CQ122" s="384" t="n"/>
      <c r="CR122" s="384" t="n"/>
      <c r="CS122" s="385" t="n"/>
      <c r="CT122" s="386">
        <f>IF(Q119="作業者2",N122-N119,0)</f>
        <v/>
      </c>
      <c r="CU122" s="387" t="n"/>
      <c r="CV122" s="387" t="n"/>
      <c r="CW122" s="387" t="n"/>
      <c r="CX122" s="388" t="n"/>
      <c r="CZ122" s="254" t="inlineStr">
        <is>
          <t>休日</t>
        </is>
      </c>
      <c r="DA122" s="395" t="n"/>
      <c r="DB122" s="395" t="n"/>
      <c r="DC122" s="396" t="n"/>
      <c r="DD122" s="397">
        <f>IF(Q119="作業者3",N122-N119,0)</f>
        <v/>
      </c>
      <c r="DE122" s="395" t="n"/>
      <c r="DF122" s="395" t="n"/>
      <c r="DG122" s="395" t="n"/>
      <c r="DH122" s="396" t="n"/>
      <c r="DJ122" s="254" t="inlineStr">
        <is>
          <t>休日</t>
        </is>
      </c>
      <c r="DK122" s="395" t="n"/>
      <c r="DL122" s="395" t="n"/>
      <c r="DM122" s="396" t="n"/>
      <c r="DN122" s="397">
        <f>IF(Q119="作業者4",N122-N119,0)</f>
        <v/>
      </c>
      <c r="DO122" s="395" t="n"/>
      <c r="DP122" s="395" t="n"/>
      <c r="DQ122" s="395" t="n"/>
      <c r="DR122" s="396" t="n"/>
      <c r="DT122" s="254" t="inlineStr">
        <is>
          <t>休日</t>
        </is>
      </c>
      <c r="DU122" s="395" t="n"/>
      <c r="DV122" s="395" t="n"/>
      <c r="DW122" s="396" t="n"/>
      <c r="DX122" s="397">
        <f>IF(Q119="作業者5",N122-N119,0)</f>
        <v/>
      </c>
      <c r="DY122" s="395" t="n"/>
      <c r="DZ122" s="395" t="n"/>
      <c r="EA122" s="395" t="n"/>
      <c r="EB122" s="396" t="n"/>
    </row>
    <row r="123" ht="9" customHeight="1" s="337">
      <c r="B123" s="398" t="n"/>
      <c r="C123" s="372" t="n"/>
      <c r="D123" s="373" t="n"/>
      <c r="E123" s="399" t="n"/>
      <c r="F123" s="372" t="n"/>
      <c r="G123" s="373" t="n"/>
      <c r="H123" s="399" t="n"/>
      <c r="I123" s="372" t="n"/>
      <c r="J123" s="373" t="n"/>
      <c r="K123" s="399" t="n"/>
      <c r="L123" s="372" t="n"/>
      <c r="M123" s="373" t="n"/>
      <c r="N123" s="399" t="n"/>
      <c r="O123" s="372" t="n"/>
      <c r="P123" s="373" t="n"/>
      <c r="Q123" s="371" t="n"/>
      <c r="R123" s="372" t="n"/>
      <c r="S123" s="373" t="n"/>
      <c r="T123" s="371" t="n"/>
      <c r="U123" s="372" t="n"/>
      <c r="V123" s="373" t="n"/>
      <c r="W123" s="443" t="n"/>
      <c r="X123" s="372" t="n"/>
      <c r="Y123" s="372" t="n"/>
      <c r="Z123" s="372" t="n"/>
      <c r="AA123" s="372" t="n"/>
      <c r="AB123" s="372" t="n"/>
      <c r="AC123" s="372" t="n"/>
      <c r="AD123" s="372" t="n"/>
      <c r="AE123" s="372" t="n"/>
      <c r="AF123" s="372" t="n"/>
      <c r="AG123" s="372" t="n"/>
      <c r="AH123" s="372" t="n"/>
      <c r="AI123" s="372" t="n"/>
      <c r="AJ123" s="372" t="n"/>
      <c r="AK123" s="372" t="n"/>
      <c r="AL123" s="372" t="n"/>
      <c r="AM123" s="372" t="n"/>
      <c r="AN123" s="372" t="n"/>
      <c r="AO123" s="372" t="n"/>
      <c r="AP123" s="372" t="n"/>
      <c r="AQ123" s="372" t="n"/>
      <c r="AR123" s="372" t="n"/>
      <c r="AS123" s="372" t="n"/>
      <c r="AT123" s="372" t="n"/>
      <c r="AU123" s="372" t="n"/>
      <c r="AV123" s="372" t="n"/>
      <c r="AW123" s="372" t="n"/>
      <c r="AX123" s="372" t="n"/>
      <c r="AY123" s="372" t="n"/>
      <c r="AZ123" s="372" t="n"/>
      <c r="BA123" s="372" t="n"/>
      <c r="BB123" s="372" t="n"/>
      <c r="BC123" s="372" t="n"/>
      <c r="BD123" s="372" t="n"/>
      <c r="BE123" s="372" t="n"/>
      <c r="BF123" s="372" t="n"/>
      <c r="BG123" s="372" t="n"/>
      <c r="BH123" s="372" t="n"/>
      <c r="BI123" s="372" t="n"/>
      <c r="BJ123" s="372" t="n"/>
      <c r="BK123" s="372" t="n"/>
      <c r="BL123" s="372" t="n"/>
      <c r="BM123" s="372" t="n"/>
      <c r="BN123" s="372" t="n"/>
      <c r="BO123" s="372" t="n"/>
      <c r="BP123" s="372" t="n"/>
      <c r="BQ123" s="372" t="n"/>
      <c r="BR123" s="372" t="n"/>
      <c r="BS123" s="372" t="n"/>
      <c r="BT123" s="372" t="n"/>
      <c r="BU123" s="372" t="n"/>
      <c r="BV123" s="372" t="n"/>
      <c r="BW123" s="372" t="n"/>
      <c r="BX123" s="372" t="n"/>
      <c r="BY123" s="372" t="n"/>
      <c r="BZ123" s="372" t="n"/>
      <c r="CA123" s="372" t="n"/>
      <c r="CB123" s="372" t="n"/>
      <c r="CC123" s="402" t="n"/>
      <c r="CF123" s="259" t="inlineStr">
        <is>
          <t>移動</t>
        </is>
      </c>
      <c r="CG123" s="403" t="n"/>
      <c r="CH123" s="403" t="n"/>
      <c r="CI123" s="404" t="n"/>
      <c r="CJ123" s="379">
        <f>IF(Q123="作業者1",E126-E123,0)</f>
        <v/>
      </c>
      <c r="CK123" s="377" t="n"/>
      <c r="CL123" s="377" t="n"/>
      <c r="CM123" s="377" t="n"/>
      <c r="CN123" s="378" t="n"/>
      <c r="CP123" s="248" t="inlineStr">
        <is>
          <t>移動</t>
        </is>
      </c>
      <c r="CQ123" s="377" t="n"/>
      <c r="CR123" s="377" t="n"/>
      <c r="CS123" s="378" t="n"/>
      <c r="CT123" s="379">
        <f>IF(Q123="作業者2",E126-E123,0)</f>
        <v/>
      </c>
      <c r="CU123" s="377" t="n"/>
      <c r="CV123" s="377" t="n"/>
      <c r="CW123" s="377" t="n"/>
      <c r="CX123" s="378" t="n"/>
      <c r="CZ123" s="259" t="inlineStr">
        <is>
          <t>移動</t>
        </is>
      </c>
      <c r="DA123" s="403" t="n"/>
      <c r="DB123" s="403" t="n"/>
      <c r="DC123" s="404" t="n"/>
      <c r="DD123" s="405">
        <f>IF(Q123="作業者3",E126-E123,0)</f>
        <v/>
      </c>
      <c r="DE123" s="406" t="n"/>
      <c r="DF123" s="406" t="n"/>
      <c r="DG123" s="406" t="n"/>
      <c r="DH123" s="407" t="n"/>
      <c r="DJ123" s="259" t="inlineStr">
        <is>
          <t>移動</t>
        </is>
      </c>
      <c r="DK123" s="403" t="n"/>
      <c r="DL123" s="403" t="n"/>
      <c r="DM123" s="404" t="n"/>
      <c r="DN123" s="379">
        <f>IF(Q123="作業者4",E126-E123,0)</f>
        <v/>
      </c>
      <c r="DO123" s="377" t="n"/>
      <c r="DP123" s="377" t="n"/>
      <c r="DQ123" s="377" t="n"/>
      <c r="DR123" s="378" t="n"/>
      <c r="DT123" s="259" t="inlineStr">
        <is>
          <t>移動</t>
        </is>
      </c>
      <c r="DU123" s="403" t="n"/>
      <c r="DV123" s="403" t="n"/>
      <c r="DW123" s="404" t="n"/>
      <c r="DX123" s="379">
        <f>IF(Q123="作業者5",E126-E123,0)</f>
        <v/>
      </c>
      <c r="DY123" s="377" t="n"/>
      <c r="DZ123" s="377" t="n"/>
      <c r="EA123" s="377" t="n"/>
      <c r="EB123" s="378" t="n"/>
    </row>
    <row r="124" ht="9" customHeight="1" s="337">
      <c r="B124" s="350" t="n"/>
      <c r="C124" s="338" t="n"/>
      <c r="D124" s="380" t="n"/>
      <c r="E124" s="381" t="n"/>
      <c r="F124" s="122" t="inlineStr">
        <is>
          <t>～</t>
        </is>
      </c>
      <c r="G124" s="22" t="n"/>
      <c r="H124" s="381" t="n"/>
      <c r="I124" s="122" t="inlineStr">
        <is>
          <t>～</t>
        </is>
      </c>
      <c r="J124" s="22" t="n"/>
      <c r="K124" s="381" t="n"/>
      <c r="L124" s="122" t="inlineStr">
        <is>
          <t>～</t>
        </is>
      </c>
      <c r="M124" s="22" t="n"/>
      <c r="N124" s="381" t="n"/>
      <c r="O124" s="122" t="inlineStr">
        <is>
          <t>～</t>
        </is>
      </c>
      <c r="P124" s="22" t="n"/>
      <c r="Q124" s="382" t="n"/>
      <c r="R124" s="338" t="n"/>
      <c r="S124" s="380" t="n"/>
      <c r="T124" s="382" t="n"/>
      <c r="U124" s="338" t="n"/>
      <c r="V124" s="380" t="n"/>
      <c r="W124" s="382" t="n"/>
      <c r="X124" s="338" t="n"/>
      <c r="Y124" s="338" t="n"/>
      <c r="Z124" s="338" t="n"/>
      <c r="AA124" s="338" t="n"/>
      <c r="AB124" s="338" t="n"/>
      <c r="AC124" s="338" t="n"/>
      <c r="AD124" s="338" t="n"/>
      <c r="AE124" s="338" t="n"/>
      <c r="AF124" s="338" t="n"/>
      <c r="AG124" s="338" t="n"/>
      <c r="AH124" s="338" t="n"/>
      <c r="AI124" s="338" t="n"/>
      <c r="AJ124" s="338" t="n"/>
      <c r="AK124" s="338" t="n"/>
      <c r="AL124" s="338" t="n"/>
      <c r="AM124" s="338" t="n"/>
      <c r="AN124" s="338" t="n"/>
      <c r="AO124" s="338" t="n"/>
      <c r="AP124" s="338" t="n"/>
      <c r="AQ124" s="338" t="n"/>
      <c r="AR124" s="338" t="n"/>
      <c r="AS124" s="338" t="n"/>
      <c r="AT124" s="338" t="n"/>
      <c r="AU124" s="338" t="n"/>
      <c r="AV124" s="338" t="n"/>
      <c r="AW124" s="338" t="n"/>
      <c r="AX124" s="338" t="n"/>
      <c r="AY124" s="338" t="n"/>
      <c r="AZ124" s="338" t="n"/>
      <c r="BA124" s="338" t="n"/>
      <c r="BB124" s="338" t="n"/>
      <c r="BC124" s="338" t="n"/>
      <c r="BD124" s="338" t="n"/>
      <c r="BE124" s="338" t="n"/>
      <c r="BF124" s="338" t="n"/>
      <c r="BG124" s="338" t="n"/>
      <c r="BH124" s="338" t="n"/>
      <c r="BI124" s="338" t="n"/>
      <c r="BJ124" s="338" t="n"/>
      <c r="BK124" s="338" t="n"/>
      <c r="BL124" s="338" t="n"/>
      <c r="BM124" s="338" t="n"/>
      <c r="BN124" s="338" t="n"/>
      <c r="BO124" s="338" t="n"/>
      <c r="BP124" s="338" t="n"/>
      <c r="BQ124" s="338" t="n"/>
      <c r="BR124" s="338" t="n"/>
      <c r="BS124" s="338" t="n"/>
      <c r="BT124" s="338" t="n"/>
      <c r="BU124" s="338" t="n"/>
      <c r="BV124" s="338" t="n"/>
      <c r="BW124" s="338" t="n"/>
      <c r="BX124" s="338" t="n"/>
      <c r="BY124" s="338" t="n"/>
      <c r="BZ124" s="338" t="n"/>
      <c r="CA124" s="338" t="n"/>
      <c r="CB124" s="338" t="n"/>
      <c r="CC124" s="383" t="n"/>
      <c r="CF124" s="253" t="inlineStr">
        <is>
          <t>時間内</t>
        </is>
      </c>
      <c r="CG124" s="384" t="n"/>
      <c r="CH124" s="384" t="n"/>
      <c r="CI124" s="385" t="n"/>
      <c r="CJ124" s="386">
        <f>IF(Q123="作業者1",H126-H123,0)</f>
        <v/>
      </c>
      <c r="CK124" s="387" t="n"/>
      <c r="CL124" s="387" t="n"/>
      <c r="CM124" s="387" t="n"/>
      <c r="CN124" s="388" t="n"/>
      <c r="CP124" s="253" t="inlineStr">
        <is>
          <t>時間内</t>
        </is>
      </c>
      <c r="CQ124" s="384" t="n"/>
      <c r="CR124" s="384" t="n"/>
      <c r="CS124" s="385" t="n"/>
      <c r="CT124" s="386">
        <f>IF(Q123="作業者2",H126-H123,0)</f>
        <v/>
      </c>
      <c r="CU124" s="387" t="n"/>
      <c r="CV124" s="387" t="n"/>
      <c r="CW124" s="387" t="n"/>
      <c r="CX124" s="388" t="n"/>
      <c r="CZ124" s="253" t="inlineStr">
        <is>
          <t>時間内</t>
        </is>
      </c>
      <c r="DA124" s="384" t="n"/>
      <c r="DB124" s="384" t="n"/>
      <c r="DC124" s="385" t="n"/>
      <c r="DD124" s="386">
        <f>IF(Q123="作業者3",H126-H123,0)</f>
        <v/>
      </c>
      <c r="DE124" s="387" t="n"/>
      <c r="DF124" s="387" t="n"/>
      <c r="DG124" s="387" t="n"/>
      <c r="DH124" s="388" t="n"/>
      <c r="DJ124" s="253" t="inlineStr">
        <is>
          <t>時間内</t>
        </is>
      </c>
      <c r="DK124" s="384" t="n"/>
      <c r="DL124" s="384" t="n"/>
      <c r="DM124" s="385" t="n"/>
      <c r="DN124" s="386">
        <f>IF(Q123="作業者4",H126-H123,0)</f>
        <v/>
      </c>
      <c r="DO124" s="387" t="n"/>
      <c r="DP124" s="387" t="n"/>
      <c r="DQ124" s="387" t="n"/>
      <c r="DR124" s="388" t="n"/>
      <c r="DT124" s="253" t="inlineStr">
        <is>
          <t>時間内</t>
        </is>
      </c>
      <c r="DU124" s="384" t="n"/>
      <c r="DV124" s="384" t="n"/>
      <c r="DW124" s="385" t="n"/>
      <c r="DX124" s="386">
        <f>IF(Q123="作業者5",H126-H123,0)</f>
        <v/>
      </c>
      <c r="DY124" s="387" t="n"/>
      <c r="DZ124" s="387" t="n"/>
      <c r="EA124" s="387" t="n"/>
      <c r="EB124" s="388" t="n"/>
    </row>
    <row r="125" ht="9" customHeight="1" s="337">
      <c r="B125" s="350" t="n"/>
      <c r="C125" s="338" t="n"/>
      <c r="D125" s="380" t="n"/>
      <c r="E125" s="23" t="n"/>
      <c r="F125" s="338" t="n"/>
      <c r="G125" s="24" t="n"/>
      <c r="H125" s="23" t="n"/>
      <c r="I125" s="338" t="n"/>
      <c r="J125" s="24" t="n"/>
      <c r="K125" s="23" t="n"/>
      <c r="L125" s="338" t="n"/>
      <c r="M125" s="24" t="n"/>
      <c r="N125" s="23" t="n"/>
      <c r="O125" s="338" t="n"/>
      <c r="P125" s="24" t="n"/>
      <c r="Q125" s="382" t="n"/>
      <c r="R125" s="338" t="n"/>
      <c r="S125" s="380" t="n"/>
      <c r="T125" s="382" t="n"/>
      <c r="U125" s="338" t="n"/>
      <c r="V125" s="380" t="n"/>
      <c r="W125" s="382" t="n"/>
      <c r="X125" s="338" t="n"/>
      <c r="Y125" s="338" t="n"/>
      <c r="Z125" s="338" t="n"/>
      <c r="AA125" s="338" t="n"/>
      <c r="AB125" s="338" t="n"/>
      <c r="AC125" s="338" t="n"/>
      <c r="AD125" s="338" t="n"/>
      <c r="AE125" s="338" t="n"/>
      <c r="AF125" s="338" t="n"/>
      <c r="AG125" s="338" t="n"/>
      <c r="AH125" s="338" t="n"/>
      <c r="AI125" s="338" t="n"/>
      <c r="AJ125" s="338" t="n"/>
      <c r="AK125" s="338" t="n"/>
      <c r="AL125" s="338" t="n"/>
      <c r="AM125" s="338" t="n"/>
      <c r="AN125" s="338" t="n"/>
      <c r="AO125" s="338" t="n"/>
      <c r="AP125" s="338" t="n"/>
      <c r="AQ125" s="338" t="n"/>
      <c r="AR125" s="338" t="n"/>
      <c r="AS125" s="338" t="n"/>
      <c r="AT125" s="338" t="n"/>
      <c r="AU125" s="338" t="n"/>
      <c r="AV125" s="338" t="n"/>
      <c r="AW125" s="338" t="n"/>
      <c r="AX125" s="338" t="n"/>
      <c r="AY125" s="338" t="n"/>
      <c r="AZ125" s="338" t="n"/>
      <c r="BA125" s="338" t="n"/>
      <c r="BB125" s="338" t="n"/>
      <c r="BC125" s="338" t="n"/>
      <c r="BD125" s="338" t="n"/>
      <c r="BE125" s="338" t="n"/>
      <c r="BF125" s="338" t="n"/>
      <c r="BG125" s="338" t="n"/>
      <c r="BH125" s="338" t="n"/>
      <c r="BI125" s="338" t="n"/>
      <c r="BJ125" s="338" t="n"/>
      <c r="BK125" s="338" t="n"/>
      <c r="BL125" s="338" t="n"/>
      <c r="BM125" s="338" t="n"/>
      <c r="BN125" s="338" t="n"/>
      <c r="BO125" s="338" t="n"/>
      <c r="BP125" s="338" t="n"/>
      <c r="BQ125" s="338" t="n"/>
      <c r="BR125" s="338" t="n"/>
      <c r="BS125" s="338" t="n"/>
      <c r="BT125" s="338" t="n"/>
      <c r="BU125" s="338" t="n"/>
      <c r="BV125" s="338" t="n"/>
      <c r="BW125" s="338" t="n"/>
      <c r="BX125" s="338" t="n"/>
      <c r="BY125" s="338" t="n"/>
      <c r="BZ125" s="338" t="n"/>
      <c r="CA125" s="338" t="n"/>
      <c r="CB125" s="338" t="n"/>
      <c r="CC125" s="383" t="n"/>
      <c r="CF125" s="253" t="inlineStr">
        <is>
          <t>時間外</t>
        </is>
      </c>
      <c r="CG125" s="384" t="n"/>
      <c r="CH125" s="384" t="n"/>
      <c r="CI125" s="385" t="n"/>
      <c r="CJ125" s="386">
        <f>IF(Q123="作業者1",K126-K123,0)</f>
        <v/>
      </c>
      <c r="CK125" s="387" t="n"/>
      <c r="CL125" s="387" t="n"/>
      <c r="CM125" s="387" t="n"/>
      <c r="CN125" s="388" t="n"/>
      <c r="CP125" s="253" t="inlineStr">
        <is>
          <t>時間外</t>
        </is>
      </c>
      <c r="CQ125" s="384" t="n"/>
      <c r="CR125" s="384" t="n"/>
      <c r="CS125" s="385" t="n"/>
      <c r="CT125" s="386">
        <f>IF(Q123="作業者2",K126-K123,0)</f>
        <v/>
      </c>
      <c r="CU125" s="387" t="n"/>
      <c r="CV125" s="387" t="n"/>
      <c r="CW125" s="387" t="n"/>
      <c r="CX125" s="388" t="n"/>
      <c r="CZ125" s="253" t="inlineStr">
        <is>
          <t>時間外</t>
        </is>
      </c>
      <c r="DA125" s="384" t="n"/>
      <c r="DB125" s="384" t="n"/>
      <c r="DC125" s="385" t="n"/>
      <c r="DD125" s="386">
        <f>IF(Q123="作業者3",K126-K123,0)</f>
        <v/>
      </c>
      <c r="DE125" s="387" t="n"/>
      <c r="DF125" s="387" t="n"/>
      <c r="DG125" s="387" t="n"/>
      <c r="DH125" s="388" t="n"/>
      <c r="DJ125" s="253" t="inlineStr">
        <is>
          <t>時間外</t>
        </is>
      </c>
      <c r="DK125" s="384" t="n"/>
      <c r="DL125" s="384" t="n"/>
      <c r="DM125" s="385" t="n"/>
      <c r="DN125" s="386">
        <f>IF(Q123="作業者4",K126-K123,0)</f>
        <v/>
      </c>
      <c r="DO125" s="387" t="n"/>
      <c r="DP125" s="387" t="n"/>
      <c r="DQ125" s="387" t="n"/>
      <c r="DR125" s="388" t="n"/>
      <c r="DT125" s="253" t="inlineStr">
        <is>
          <t>時間外</t>
        </is>
      </c>
      <c r="DU125" s="384" t="n"/>
      <c r="DV125" s="384" t="n"/>
      <c r="DW125" s="385" t="n"/>
      <c r="DX125" s="386">
        <f>IF(Q123="作業者5",K126-K123,0)</f>
        <v/>
      </c>
      <c r="DY125" s="387" t="n"/>
      <c r="DZ125" s="387" t="n"/>
      <c r="EA125" s="387" t="n"/>
      <c r="EB125" s="388" t="n"/>
    </row>
    <row r="126" ht="9" customHeight="1" s="337">
      <c r="B126" s="389" t="n"/>
      <c r="C126" s="390" t="n"/>
      <c r="D126" s="391" t="n"/>
      <c r="E126" s="392" t="n"/>
      <c r="F126" s="390" t="n"/>
      <c r="G126" s="391" t="n"/>
      <c r="H126" s="392" t="n"/>
      <c r="I126" s="390" t="n"/>
      <c r="J126" s="391" t="n"/>
      <c r="K126" s="392" t="n"/>
      <c r="L126" s="390" t="n"/>
      <c r="M126" s="391" t="n"/>
      <c r="N126" s="392" t="n"/>
      <c r="O126" s="390" t="n"/>
      <c r="P126" s="391" t="n"/>
      <c r="Q126" s="393" t="n"/>
      <c r="R126" s="390" t="n"/>
      <c r="S126" s="391" t="n"/>
      <c r="T126" s="393" t="n"/>
      <c r="U126" s="390" t="n"/>
      <c r="V126" s="391" t="n"/>
      <c r="W126" s="393" t="n"/>
      <c r="X126" s="390" t="n"/>
      <c r="Y126" s="390" t="n"/>
      <c r="Z126" s="390" t="n"/>
      <c r="AA126" s="390" t="n"/>
      <c r="AB126" s="390" t="n"/>
      <c r="AC126" s="390" t="n"/>
      <c r="AD126" s="390" t="n"/>
      <c r="AE126" s="390" t="n"/>
      <c r="AF126" s="390" t="n"/>
      <c r="AG126" s="390" t="n"/>
      <c r="AH126" s="390" t="n"/>
      <c r="AI126" s="390" t="n"/>
      <c r="AJ126" s="390" t="n"/>
      <c r="AK126" s="390" t="n"/>
      <c r="AL126" s="390" t="n"/>
      <c r="AM126" s="390" t="n"/>
      <c r="AN126" s="390" t="n"/>
      <c r="AO126" s="390" t="n"/>
      <c r="AP126" s="390" t="n"/>
      <c r="AQ126" s="390" t="n"/>
      <c r="AR126" s="390" t="n"/>
      <c r="AS126" s="390" t="n"/>
      <c r="AT126" s="390" t="n"/>
      <c r="AU126" s="390" t="n"/>
      <c r="AV126" s="390" t="n"/>
      <c r="AW126" s="390" t="n"/>
      <c r="AX126" s="390" t="n"/>
      <c r="AY126" s="390" t="n"/>
      <c r="AZ126" s="390" t="n"/>
      <c r="BA126" s="390" t="n"/>
      <c r="BB126" s="390" t="n"/>
      <c r="BC126" s="390" t="n"/>
      <c r="BD126" s="390" t="n"/>
      <c r="BE126" s="390" t="n"/>
      <c r="BF126" s="390" t="n"/>
      <c r="BG126" s="390" t="n"/>
      <c r="BH126" s="390" t="n"/>
      <c r="BI126" s="390" t="n"/>
      <c r="BJ126" s="390" t="n"/>
      <c r="BK126" s="390" t="n"/>
      <c r="BL126" s="390" t="n"/>
      <c r="BM126" s="390" t="n"/>
      <c r="BN126" s="390" t="n"/>
      <c r="BO126" s="390" t="n"/>
      <c r="BP126" s="390" t="n"/>
      <c r="BQ126" s="390" t="n"/>
      <c r="BR126" s="390" t="n"/>
      <c r="BS126" s="390" t="n"/>
      <c r="BT126" s="390" t="n"/>
      <c r="BU126" s="390" t="n"/>
      <c r="BV126" s="390" t="n"/>
      <c r="BW126" s="390" t="n"/>
      <c r="BX126" s="390" t="n"/>
      <c r="BY126" s="390" t="n"/>
      <c r="BZ126" s="390" t="n"/>
      <c r="CA126" s="390" t="n"/>
      <c r="CB126" s="390" t="n"/>
      <c r="CC126" s="394" t="n"/>
      <c r="CF126" s="254" t="inlineStr">
        <is>
          <t>休日</t>
        </is>
      </c>
      <c r="CG126" s="395" t="n"/>
      <c r="CH126" s="395" t="n"/>
      <c r="CI126" s="396" t="n"/>
      <c r="CJ126" s="397">
        <f>IF(Q123="作業者1",N126-N123,0)</f>
        <v/>
      </c>
      <c r="CK126" s="395" t="n"/>
      <c r="CL126" s="395" t="n"/>
      <c r="CM126" s="395" t="n"/>
      <c r="CN126" s="396" t="n"/>
      <c r="CP126" s="254" t="inlineStr">
        <is>
          <t>休日</t>
        </is>
      </c>
      <c r="CQ126" s="395" t="n"/>
      <c r="CR126" s="395" t="n"/>
      <c r="CS126" s="396" t="n"/>
      <c r="CT126" s="397">
        <f>IF(Q123="作業者2",N126-N123,0)</f>
        <v/>
      </c>
      <c r="CU126" s="395" t="n"/>
      <c r="CV126" s="395" t="n"/>
      <c r="CW126" s="395" t="n"/>
      <c r="CX126" s="396" t="n"/>
      <c r="CZ126" s="254" t="inlineStr">
        <is>
          <t>休日</t>
        </is>
      </c>
      <c r="DA126" s="395" t="n"/>
      <c r="DB126" s="395" t="n"/>
      <c r="DC126" s="396" t="n"/>
      <c r="DD126" s="397">
        <f>IF(Q123="作業者3",N126-N123,0)</f>
        <v/>
      </c>
      <c r="DE126" s="395" t="n"/>
      <c r="DF126" s="395" t="n"/>
      <c r="DG126" s="395" t="n"/>
      <c r="DH126" s="396" t="n"/>
      <c r="DJ126" s="254" t="inlineStr">
        <is>
          <t>休日</t>
        </is>
      </c>
      <c r="DK126" s="395" t="n"/>
      <c r="DL126" s="395" t="n"/>
      <c r="DM126" s="396" t="n"/>
      <c r="DN126" s="397">
        <f>IF(Q123="作業者4",N126-N123,0)</f>
        <v/>
      </c>
      <c r="DO126" s="395" t="n"/>
      <c r="DP126" s="395" t="n"/>
      <c r="DQ126" s="395" t="n"/>
      <c r="DR126" s="396" t="n"/>
      <c r="DT126" s="254" t="inlineStr">
        <is>
          <t>休日</t>
        </is>
      </c>
      <c r="DU126" s="395" t="n"/>
      <c r="DV126" s="395" t="n"/>
      <c r="DW126" s="396" t="n"/>
      <c r="DX126" s="397">
        <f>IF(Q123="作業者5",N126-N123,0)</f>
        <v/>
      </c>
      <c r="DY126" s="395" t="n"/>
      <c r="DZ126" s="395" t="n"/>
      <c r="EA126" s="395" t="n"/>
      <c r="EB126" s="396" t="n"/>
    </row>
    <row r="127" ht="9" customHeight="1" s="337">
      <c r="B127" s="398" t="n"/>
      <c r="C127" s="372" t="n"/>
      <c r="D127" s="373" t="n"/>
      <c r="E127" s="399" t="n"/>
      <c r="F127" s="372" t="n"/>
      <c r="G127" s="373" t="n"/>
      <c r="H127" s="399" t="n"/>
      <c r="I127" s="372" t="n"/>
      <c r="J127" s="373" t="n"/>
      <c r="K127" s="399" t="n"/>
      <c r="L127" s="372" t="n"/>
      <c r="M127" s="373" t="n"/>
      <c r="N127" s="399" t="n"/>
      <c r="O127" s="372" t="n"/>
      <c r="P127" s="373" t="n"/>
      <c r="Q127" s="371" t="n"/>
      <c r="R127" s="372" t="n"/>
      <c r="S127" s="373" t="n"/>
      <c r="T127" s="371" t="n"/>
      <c r="U127" s="372" t="n"/>
      <c r="V127" s="373" t="n"/>
      <c r="W127" s="443" t="n"/>
      <c r="X127" s="372" t="n"/>
      <c r="Y127" s="372" t="n"/>
      <c r="Z127" s="372" t="n"/>
      <c r="AA127" s="372" t="n"/>
      <c r="AB127" s="372" t="n"/>
      <c r="AC127" s="372" t="n"/>
      <c r="AD127" s="372" t="n"/>
      <c r="AE127" s="372" t="n"/>
      <c r="AF127" s="372" t="n"/>
      <c r="AG127" s="372" t="n"/>
      <c r="AH127" s="372" t="n"/>
      <c r="AI127" s="372" t="n"/>
      <c r="AJ127" s="372" t="n"/>
      <c r="AK127" s="372" t="n"/>
      <c r="AL127" s="372" t="n"/>
      <c r="AM127" s="372" t="n"/>
      <c r="AN127" s="372" t="n"/>
      <c r="AO127" s="372" t="n"/>
      <c r="AP127" s="372" t="n"/>
      <c r="AQ127" s="372" t="n"/>
      <c r="AR127" s="372" t="n"/>
      <c r="AS127" s="372" t="n"/>
      <c r="AT127" s="372" t="n"/>
      <c r="AU127" s="372" t="n"/>
      <c r="AV127" s="372" t="n"/>
      <c r="AW127" s="372" t="n"/>
      <c r="AX127" s="372" t="n"/>
      <c r="AY127" s="372" t="n"/>
      <c r="AZ127" s="372" t="n"/>
      <c r="BA127" s="372" t="n"/>
      <c r="BB127" s="372" t="n"/>
      <c r="BC127" s="372" t="n"/>
      <c r="BD127" s="372" t="n"/>
      <c r="BE127" s="372" t="n"/>
      <c r="BF127" s="372" t="n"/>
      <c r="BG127" s="372" t="n"/>
      <c r="BH127" s="372" t="n"/>
      <c r="BI127" s="372" t="n"/>
      <c r="BJ127" s="372" t="n"/>
      <c r="BK127" s="372" t="n"/>
      <c r="BL127" s="372" t="n"/>
      <c r="BM127" s="372" t="n"/>
      <c r="BN127" s="372" t="n"/>
      <c r="BO127" s="372" t="n"/>
      <c r="BP127" s="372" t="n"/>
      <c r="BQ127" s="372" t="n"/>
      <c r="BR127" s="372" t="n"/>
      <c r="BS127" s="372" t="n"/>
      <c r="BT127" s="372" t="n"/>
      <c r="BU127" s="372" t="n"/>
      <c r="BV127" s="372" t="n"/>
      <c r="BW127" s="372" t="n"/>
      <c r="BX127" s="372" t="n"/>
      <c r="BY127" s="372" t="n"/>
      <c r="BZ127" s="372" t="n"/>
      <c r="CA127" s="372" t="n"/>
      <c r="CB127" s="372" t="n"/>
      <c r="CC127" s="402" t="n"/>
      <c r="CF127" s="248" t="inlineStr">
        <is>
          <t>移動</t>
        </is>
      </c>
      <c r="CG127" s="377" t="n"/>
      <c r="CH127" s="377" t="n"/>
      <c r="CI127" s="378" t="n"/>
      <c r="CJ127" s="379">
        <f>IF(Q127="作業者1",E130-E127,0)</f>
        <v/>
      </c>
      <c r="CK127" s="377" t="n"/>
      <c r="CL127" s="377" t="n"/>
      <c r="CM127" s="377" t="n"/>
      <c r="CN127" s="378" t="n"/>
      <c r="CP127" s="248" t="inlineStr">
        <is>
          <t>移動</t>
        </is>
      </c>
      <c r="CQ127" s="377" t="n"/>
      <c r="CR127" s="377" t="n"/>
      <c r="CS127" s="378" t="n"/>
      <c r="CT127" s="379">
        <f>IF(Q127="作業者2",E130-E127,0)</f>
        <v/>
      </c>
      <c r="CU127" s="377" t="n"/>
      <c r="CV127" s="377" t="n"/>
      <c r="CW127" s="377" t="n"/>
      <c r="CX127" s="378" t="n"/>
      <c r="CZ127" s="248" t="inlineStr">
        <is>
          <t>移動</t>
        </is>
      </c>
      <c r="DA127" s="377" t="n"/>
      <c r="DB127" s="377" t="n"/>
      <c r="DC127" s="378" t="n"/>
      <c r="DD127" s="379">
        <f>IF(Q127="作業者3",E130-E127,0)</f>
        <v/>
      </c>
      <c r="DE127" s="377" t="n"/>
      <c r="DF127" s="377" t="n"/>
      <c r="DG127" s="377" t="n"/>
      <c r="DH127" s="378" t="n"/>
      <c r="DJ127" s="248" t="inlineStr">
        <is>
          <t>移動</t>
        </is>
      </c>
      <c r="DK127" s="377" t="n"/>
      <c r="DL127" s="377" t="n"/>
      <c r="DM127" s="378" t="n"/>
      <c r="DN127" s="379">
        <f>IF(Q127="作業者4",E130-E127,0)</f>
        <v/>
      </c>
      <c r="DO127" s="377" t="n"/>
      <c r="DP127" s="377" t="n"/>
      <c r="DQ127" s="377" t="n"/>
      <c r="DR127" s="378" t="n"/>
      <c r="DT127" s="259" t="inlineStr">
        <is>
          <t>移動</t>
        </is>
      </c>
      <c r="DU127" s="403" t="n"/>
      <c r="DV127" s="403" t="n"/>
      <c r="DW127" s="404" t="n"/>
      <c r="DX127" s="379">
        <f>IF(Q127="作業者5",E130-E127,0)</f>
        <v/>
      </c>
      <c r="DY127" s="377" t="n"/>
      <c r="DZ127" s="377" t="n"/>
      <c r="EA127" s="377" t="n"/>
      <c r="EB127" s="378" t="n"/>
    </row>
    <row r="128" ht="9" customHeight="1" s="337">
      <c r="B128" s="350" t="n"/>
      <c r="C128" s="338" t="n"/>
      <c r="D128" s="380" t="n"/>
      <c r="E128" s="381" t="n"/>
      <c r="F128" s="122" t="inlineStr">
        <is>
          <t>～</t>
        </is>
      </c>
      <c r="G128" s="22" t="n"/>
      <c r="H128" s="381" t="n"/>
      <c r="I128" s="122" t="inlineStr">
        <is>
          <t>～</t>
        </is>
      </c>
      <c r="J128" s="22" t="n"/>
      <c r="K128" s="381" t="n"/>
      <c r="L128" s="122" t="inlineStr">
        <is>
          <t>～</t>
        </is>
      </c>
      <c r="M128" s="22" t="n"/>
      <c r="N128" s="381" t="n"/>
      <c r="O128" s="122" t="inlineStr">
        <is>
          <t>～</t>
        </is>
      </c>
      <c r="P128" s="22" t="n"/>
      <c r="Q128" s="382" t="n"/>
      <c r="R128" s="338" t="n"/>
      <c r="S128" s="380" t="n"/>
      <c r="T128" s="382" t="n"/>
      <c r="U128" s="338" t="n"/>
      <c r="V128" s="380" t="n"/>
      <c r="W128" s="382" t="n"/>
      <c r="X128" s="338" t="n"/>
      <c r="Y128" s="338" t="n"/>
      <c r="Z128" s="338" t="n"/>
      <c r="AA128" s="338" t="n"/>
      <c r="AB128" s="338" t="n"/>
      <c r="AC128" s="338" t="n"/>
      <c r="AD128" s="338" t="n"/>
      <c r="AE128" s="338" t="n"/>
      <c r="AF128" s="338" t="n"/>
      <c r="AG128" s="338" t="n"/>
      <c r="AH128" s="338" t="n"/>
      <c r="AI128" s="338" t="n"/>
      <c r="AJ128" s="338" t="n"/>
      <c r="AK128" s="338" t="n"/>
      <c r="AL128" s="338" t="n"/>
      <c r="AM128" s="338" t="n"/>
      <c r="AN128" s="338" t="n"/>
      <c r="AO128" s="338" t="n"/>
      <c r="AP128" s="338" t="n"/>
      <c r="AQ128" s="338" t="n"/>
      <c r="AR128" s="338" t="n"/>
      <c r="AS128" s="338" t="n"/>
      <c r="AT128" s="338" t="n"/>
      <c r="AU128" s="338" t="n"/>
      <c r="AV128" s="338" t="n"/>
      <c r="AW128" s="338" t="n"/>
      <c r="AX128" s="338" t="n"/>
      <c r="AY128" s="338" t="n"/>
      <c r="AZ128" s="338" t="n"/>
      <c r="BA128" s="338" t="n"/>
      <c r="BB128" s="338" t="n"/>
      <c r="BC128" s="338" t="n"/>
      <c r="BD128" s="338" t="n"/>
      <c r="BE128" s="338" t="n"/>
      <c r="BF128" s="338" t="n"/>
      <c r="BG128" s="338" t="n"/>
      <c r="BH128" s="338" t="n"/>
      <c r="BI128" s="338" t="n"/>
      <c r="BJ128" s="338" t="n"/>
      <c r="BK128" s="338" t="n"/>
      <c r="BL128" s="338" t="n"/>
      <c r="BM128" s="338" t="n"/>
      <c r="BN128" s="338" t="n"/>
      <c r="BO128" s="338" t="n"/>
      <c r="BP128" s="338" t="n"/>
      <c r="BQ128" s="338" t="n"/>
      <c r="BR128" s="338" t="n"/>
      <c r="BS128" s="338" t="n"/>
      <c r="BT128" s="338" t="n"/>
      <c r="BU128" s="338" t="n"/>
      <c r="BV128" s="338" t="n"/>
      <c r="BW128" s="338" t="n"/>
      <c r="BX128" s="338" t="n"/>
      <c r="BY128" s="338" t="n"/>
      <c r="BZ128" s="338" t="n"/>
      <c r="CA128" s="338" t="n"/>
      <c r="CB128" s="338" t="n"/>
      <c r="CC128" s="383" t="n"/>
      <c r="CF128" s="253" t="inlineStr">
        <is>
          <t>時間内</t>
        </is>
      </c>
      <c r="CG128" s="384" t="n"/>
      <c r="CH128" s="384" t="n"/>
      <c r="CI128" s="385" t="n"/>
      <c r="CJ128" s="386">
        <f>IF(Q127="作業者1",H130-H127,0)</f>
        <v/>
      </c>
      <c r="CK128" s="387" t="n"/>
      <c r="CL128" s="387" t="n"/>
      <c r="CM128" s="387" t="n"/>
      <c r="CN128" s="388" t="n"/>
      <c r="CP128" s="253" t="inlineStr">
        <is>
          <t>時間内</t>
        </is>
      </c>
      <c r="CQ128" s="384" t="n"/>
      <c r="CR128" s="384" t="n"/>
      <c r="CS128" s="385" t="n"/>
      <c r="CT128" s="386">
        <f>IF(Q127="作業者2",H130-H127,0)</f>
        <v/>
      </c>
      <c r="CU128" s="387" t="n"/>
      <c r="CV128" s="387" t="n"/>
      <c r="CW128" s="387" t="n"/>
      <c r="CX128" s="388" t="n"/>
      <c r="CZ128" s="253" t="inlineStr">
        <is>
          <t>時間内</t>
        </is>
      </c>
      <c r="DA128" s="384" t="n"/>
      <c r="DB128" s="384" t="n"/>
      <c r="DC128" s="385" t="n"/>
      <c r="DD128" s="386">
        <f>IF(Q127="作業者3",H130-H127,0)</f>
        <v/>
      </c>
      <c r="DE128" s="387" t="n"/>
      <c r="DF128" s="387" t="n"/>
      <c r="DG128" s="387" t="n"/>
      <c r="DH128" s="388" t="n"/>
      <c r="DJ128" s="253" t="inlineStr">
        <is>
          <t>時間内</t>
        </is>
      </c>
      <c r="DK128" s="384" t="n"/>
      <c r="DL128" s="384" t="n"/>
      <c r="DM128" s="385" t="n"/>
      <c r="DN128" s="386">
        <f>IF(Q127="作業者4",H130-H127,0)</f>
        <v/>
      </c>
      <c r="DO128" s="387" t="n"/>
      <c r="DP128" s="387" t="n"/>
      <c r="DQ128" s="387" t="n"/>
      <c r="DR128" s="388" t="n"/>
      <c r="DT128" s="253" t="inlineStr">
        <is>
          <t>時間内</t>
        </is>
      </c>
      <c r="DU128" s="384" t="n"/>
      <c r="DV128" s="384" t="n"/>
      <c r="DW128" s="385" t="n"/>
      <c r="DX128" s="386">
        <f>IF(Q127="作業者5",H130-H127,0)</f>
        <v/>
      </c>
      <c r="DY128" s="387" t="n"/>
      <c r="DZ128" s="387" t="n"/>
      <c r="EA128" s="387" t="n"/>
      <c r="EB128" s="388" t="n"/>
    </row>
    <row r="129" ht="9" customHeight="1" s="337">
      <c r="B129" s="350" t="n"/>
      <c r="C129" s="338" t="n"/>
      <c r="D129" s="380" t="n"/>
      <c r="E129" s="23" t="n"/>
      <c r="F129" s="338" t="n"/>
      <c r="G129" s="24" t="n"/>
      <c r="H129" s="23" t="n"/>
      <c r="I129" s="338" t="n"/>
      <c r="J129" s="24" t="n"/>
      <c r="K129" s="23" t="n"/>
      <c r="L129" s="338" t="n"/>
      <c r="M129" s="24" t="n"/>
      <c r="N129" s="23" t="n"/>
      <c r="O129" s="338" t="n"/>
      <c r="P129" s="24" t="n"/>
      <c r="Q129" s="382" t="n"/>
      <c r="R129" s="338" t="n"/>
      <c r="S129" s="380" t="n"/>
      <c r="T129" s="382" t="n"/>
      <c r="U129" s="338" t="n"/>
      <c r="V129" s="380" t="n"/>
      <c r="W129" s="382" t="n"/>
      <c r="X129" s="338" t="n"/>
      <c r="Y129" s="338" t="n"/>
      <c r="Z129" s="338" t="n"/>
      <c r="AA129" s="338" t="n"/>
      <c r="AB129" s="338" t="n"/>
      <c r="AC129" s="338" t="n"/>
      <c r="AD129" s="338" t="n"/>
      <c r="AE129" s="338" t="n"/>
      <c r="AF129" s="338" t="n"/>
      <c r="AG129" s="338" t="n"/>
      <c r="AH129" s="338" t="n"/>
      <c r="AI129" s="338" t="n"/>
      <c r="AJ129" s="338" t="n"/>
      <c r="AK129" s="338" t="n"/>
      <c r="AL129" s="338" t="n"/>
      <c r="AM129" s="338" t="n"/>
      <c r="AN129" s="338" t="n"/>
      <c r="AO129" s="338" t="n"/>
      <c r="AP129" s="338" t="n"/>
      <c r="AQ129" s="338" t="n"/>
      <c r="AR129" s="338" t="n"/>
      <c r="AS129" s="338" t="n"/>
      <c r="AT129" s="338" t="n"/>
      <c r="AU129" s="338" t="n"/>
      <c r="AV129" s="338" t="n"/>
      <c r="AW129" s="338" t="n"/>
      <c r="AX129" s="338" t="n"/>
      <c r="AY129" s="338" t="n"/>
      <c r="AZ129" s="338" t="n"/>
      <c r="BA129" s="338" t="n"/>
      <c r="BB129" s="338" t="n"/>
      <c r="BC129" s="338" t="n"/>
      <c r="BD129" s="338" t="n"/>
      <c r="BE129" s="338" t="n"/>
      <c r="BF129" s="338" t="n"/>
      <c r="BG129" s="338" t="n"/>
      <c r="BH129" s="338" t="n"/>
      <c r="BI129" s="338" t="n"/>
      <c r="BJ129" s="338" t="n"/>
      <c r="BK129" s="338" t="n"/>
      <c r="BL129" s="338" t="n"/>
      <c r="BM129" s="338" t="n"/>
      <c r="BN129" s="338" t="n"/>
      <c r="BO129" s="338" t="n"/>
      <c r="BP129" s="338" t="n"/>
      <c r="BQ129" s="338" t="n"/>
      <c r="BR129" s="338" t="n"/>
      <c r="BS129" s="338" t="n"/>
      <c r="BT129" s="338" t="n"/>
      <c r="BU129" s="338" t="n"/>
      <c r="BV129" s="338" t="n"/>
      <c r="BW129" s="338" t="n"/>
      <c r="BX129" s="338" t="n"/>
      <c r="BY129" s="338" t="n"/>
      <c r="BZ129" s="338" t="n"/>
      <c r="CA129" s="338" t="n"/>
      <c r="CB129" s="338" t="n"/>
      <c r="CC129" s="383" t="n"/>
      <c r="CF129" s="253" t="inlineStr">
        <is>
          <t>時間外</t>
        </is>
      </c>
      <c r="CG129" s="384" t="n"/>
      <c r="CH129" s="384" t="n"/>
      <c r="CI129" s="385" t="n"/>
      <c r="CJ129" s="386">
        <f>IF(Q127="作業者1",K130-K127,0)</f>
        <v/>
      </c>
      <c r="CK129" s="387" t="n"/>
      <c r="CL129" s="387" t="n"/>
      <c r="CM129" s="387" t="n"/>
      <c r="CN129" s="388" t="n"/>
      <c r="CP129" s="253" t="inlineStr">
        <is>
          <t>時間外</t>
        </is>
      </c>
      <c r="CQ129" s="384" t="n"/>
      <c r="CR129" s="384" t="n"/>
      <c r="CS129" s="385" t="n"/>
      <c r="CT129" s="386">
        <f>IF(Q127="作業者2",K130-K127,0)</f>
        <v/>
      </c>
      <c r="CU129" s="387" t="n"/>
      <c r="CV129" s="387" t="n"/>
      <c r="CW129" s="387" t="n"/>
      <c r="CX129" s="388" t="n"/>
      <c r="CZ129" s="253" t="inlineStr">
        <is>
          <t>時間外</t>
        </is>
      </c>
      <c r="DA129" s="384" t="n"/>
      <c r="DB129" s="384" t="n"/>
      <c r="DC129" s="385" t="n"/>
      <c r="DD129" s="386">
        <f>IF(Q127="作業者3",K130-K127,0)</f>
        <v/>
      </c>
      <c r="DE129" s="387" t="n"/>
      <c r="DF129" s="387" t="n"/>
      <c r="DG129" s="387" t="n"/>
      <c r="DH129" s="388" t="n"/>
      <c r="DJ129" s="253" t="inlineStr">
        <is>
          <t>時間外</t>
        </is>
      </c>
      <c r="DK129" s="384" t="n"/>
      <c r="DL129" s="384" t="n"/>
      <c r="DM129" s="385" t="n"/>
      <c r="DN129" s="386">
        <f>IF(Q127="作業者4",K130-K127,0)</f>
        <v/>
      </c>
      <c r="DO129" s="387" t="n"/>
      <c r="DP129" s="387" t="n"/>
      <c r="DQ129" s="387" t="n"/>
      <c r="DR129" s="388" t="n"/>
      <c r="DT129" s="253" t="inlineStr">
        <is>
          <t>時間外</t>
        </is>
      </c>
      <c r="DU129" s="384" t="n"/>
      <c r="DV129" s="384" t="n"/>
      <c r="DW129" s="385" t="n"/>
      <c r="DX129" s="386">
        <f>IF(Q127="作業者5",K130-K127,0)</f>
        <v/>
      </c>
      <c r="DY129" s="387" t="n"/>
      <c r="DZ129" s="387" t="n"/>
      <c r="EA129" s="387" t="n"/>
      <c r="EB129" s="388" t="n"/>
    </row>
    <row r="130" ht="9" customHeight="1" s="337">
      <c r="B130" s="389" t="n"/>
      <c r="C130" s="390" t="n"/>
      <c r="D130" s="391" t="n"/>
      <c r="E130" s="392" t="n"/>
      <c r="F130" s="390" t="n"/>
      <c r="G130" s="391" t="n"/>
      <c r="H130" s="392" t="n"/>
      <c r="I130" s="390" t="n"/>
      <c r="J130" s="391" t="n"/>
      <c r="K130" s="392" t="n"/>
      <c r="L130" s="390" t="n"/>
      <c r="M130" s="391" t="n"/>
      <c r="N130" s="392" t="n"/>
      <c r="O130" s="390" t="n"/>
      <c r="P130" s="391" t="n"/>
      <c r="Q130" s="393" t="n"/>
      <c r="R130" s="390" t="n"/>
      <c r="S130" s="391" t="n"/>
      <c r="T130" s="393" t="n"/>
      <c r="U130" s="390" t="n"/>
      <c r="V130" s="391" t="n"/>
      <c r="W130" s="393" t="n"/>
      <c r="X130" s="390" t="n"/>
      <c r="Y130" s="390" t="n"/>
      <c r="Z130" s="390" t="n"/>
      <c r="AA130" s="390" t="n"/>
      <c r="AB130" s="390" t="n"/>
      <c r="AC130" s="390" t="n"/>
      <c r="AD130" s="390" t="n"/>
      <c r="AE130" s="390" t="n"/>
      <c r="AF130" s="390" t="n"/>
      <c r="AG130" s="390" t="n"/>
      <c r="AH130" s="390" t="n"/>
      <c r="AI130" s="390" t="n"/>
      <c r="AJ130" s="390" t="n"/>
      <c r="AK130" s="390" t="n"/>
      <c r="AL130" s="390" t="n"/>
      <c r="AM130" s="390" t="n"/>
      <c r="AN130" s="390" t="n"/>
      <c r="AO130" s="390" t="n"/>
      <c r="AP130" s="390" t="n"/>
      <c r="AQ130" s="390" t="n"/>
      <c r="AR130" s="390" t="n"/>
      <c r="AS130" s="390" t="n"/>
      <c r="AT130" s="390" t="n"/>
      <c r="AU130" s="390" t="n"/>
      <c r="AV130" s="390" t="n"/>
      <c r="AW130" s="390" t="n"/>
      <c r="AX130" s="390" t="n"/>
      <c r="AY130" s="390" t="n"/>
      <c r="AZ130" s="390" t="n"/>
      <c r="BA130" s="390" t="n"/>
      <c r="BB130" s="390" t="n"/>
      <c r="BC130" s="390" t="n"/>
      <c r="BD130" s="390" t="n"/>
      <c r="BE130" s="390" t="n"/>
      <c r="BF130" s="390" t="n"/>
      <c r="BG130" s="390" t="n"/>
      <c r="BH130" s="390" t="n"/>
      <c r="BI130" s="390" t="n"/>
      <c r="BJ130" s="390" t="n"/>
      <c r="BK130" s="390" t="n"/>
      <c r="BL130" s="390" t="n"/>
      <c r="BM130" s="390" t="n"/>
      <c r="BN130" s="390" t="n"/>
      <c r="BO130" s="390" t="n"/>
      <c r="BP130" s="390" t="n"/>
      <c r="BQ130" s="390" t="n"/>
      <c r="BR130" s="390" t="n"/>
      <c r="BS130" s="390" t="n"/>
      <c r="BT130" s="390" t="n"/>
      <c r="BU130" s="390" t="n"/>
      <c r="BV130" s="390" t="n"/>
      <c r="BW130" s="390" t="n"/>
      <c r="BX130" s="390" t="n"/>
      <c r="BY130" s="390" t="n"/>
      <c r="BZ130" s="390" t="n"/>
      <c r="CA130" s="390" t="n"/>
      <c r="CB130" s="390" t="n"/>
      <c r="CC130" s="394" t="n"/>
      <c r="CF130" s="254" t="inlineStr">
        <is>
          <t>休日</t>
        </is>
      </c>
      <c r="CG130" s="395" t="n"/>
      <c r="CH130" s="395" t="n"/>
      <c r="CI130" s="396" t="n"/>
      <c r="CJ130" s="386">
        <f>IF(Q127="作業者1",N130-N127,0)</f>
        <v/>
      </c>
      <c r="CK130" s="387" t="n"/>
      <c r="CL130" s="387" t="n"/>
      <c r="CM130" s="387" t="n"/>
      <c r="CN130" s="388" t="n"/>
      <c r="CP130" s="253" t="inlineStr">
        <is>
          <t>休日</t>
        </is>
      </c>
      <c r="CQ130" s="384" t="n"/>
      <c r="CR130" s="384" t="n"/>
      <c r="CS130" s="385" t="n"/>
      <c r="CT130" s="386">
        <f>IF(Q127="作業者2",N130-N127,0)</f>
        <v/>
      </c>
      <c r="CU130" s="387" t="n"/>
      <c r="CV130" s="387" t="n"/>
      <c r="CW130" s="387" t="n"/>
      <c r="CX130" s="388" t="n"/>
      <c r="CZ130" s="254" t="inlineStr">
        <is>
          <t>休日</t>
        </is>
      </c>
      <c r="DA130" s="395" t="n"/>
      <c r="DB130" s="395" t="n"/>
      <c r="DC130" s="396" t="n"/>
      <c r="DD130" s="397">
        <f>IF(Q127="作業者3",N130-N127,0)</f>
        <v/>
      </c>
      <c r="DE130" s="395" t="n"/>
      <c r="DF130" s="395" t="n"/>
      <c r="DG130" s="395" t="n"/>
      <c r="DH130" s="396" t="n"/>
      <c r="DJ130" s="254" t="inlineStr">
        <is>
          <t>休日</t>
        </is>
      </c>
      <c r="DK130" s="395" t="n"/>
      <c r="DL130" s="395" t="n"/>
      <c r="DM130" s="396" t="n"/>
      <c r="DN130" s="397">
        <f>IF(Q127="作業者4",N130-N127,0)</f>
        <v/>
      </c>
      <c r="DO130" s="395" t="n"/>
      <c r="DP130" s="395" t="n"/>
      <c r="DQ130" s="395" t="n"/>
      <c r="DR130" s="396" t="n"/>
      <c r="DT130" s="254" t="inlineStr">
        <is>
          <t>休日</t>
        </is>
      </c>
      <c r="DU130" s="395" t="n"/>
      <c r="DV130" s="395" t="n"/>
      <c r="DW130" s="396" t="n"/>
      <c r="DX130" s="397">
        <f>IF(Q127="作業者5",N130-N127,0)</f>
        <v/>
      </c>
      <c r="DY130" s="395" t="n"/>
      <c r="DZ130" s="395" t="n"/>
      <c r="EA130" s="395" t="n"/>
      <c r="EB130" s="396" t="n"/>
    </row>
    <row r="131" ht="9" customHeight="1" s="337">
      <c r="B131" s="410" t="n"/>
      <c r="C131" s="372" t="n"/>
      <c r="D131" s="373" t="n"/>
      <c r="E131" s="399" t="n"/>
      <c r="F131" s="372" t="n"/>
      <c r="G131" s="373" t="n"/>
      <c r="H131" s="399" t="n"/>
      <c r="I131" s="372" t="n"/>
      <c r="J131" s="373" t="n"/>
      <c r="K131" s="399" t="n"/>
      <c r="L131" s="372" t="n"/>
      <c r="M131" s="373" t="n"/>
      <c r="N131" s="399" t="n"/>
      <c r="O131" s="372" t="n"/>
      <c r="P131" s="373" t="n"/>
      <c r="Q131" s="444" t="n"/>
      <c r="R131" s="372" t="n"/>
      <c r="S131" s="445" t="n"/>
      <c r="T131" s="411" t="n"/>
      <c r="U131" s="372" t="n"/>
      <c r="V131" s="373" t="n"/>
      <c r="W131" s="443" t="n"/>
      <c r="X131" s="372" t="n"/>
      <c r="Y131" s="372" t="n"/>
      <c r="Z131" s="372" t="n"/>
      <c r="AA131" s="372" t="n"/>
      <c r="AB131" s="372" t="n"/>
      <c r="AC131" s="372" t="n"/>
      <c r="AD131" s="372" t="n"/>
      <c r="AE131" s="372" t="n"/>
      <c r="AF131" s="372" t="n"/>
      <c r="AG131" s="372" t="n"/>
      <c r="AH131" s="372" t="n"/>
      <c r="AI131" s="372" t="n"/>
      <c r="AJ131" s="372" t="n"/>
      <c r="AK131" s="372" t="n"/>
      <c r="AL131" s="372" t="n"/>
      <c r="AM131" s="372" t="n"/>
      <c r="AN131" s="372" t="n"/>
      <c r="AO131" s="372" t="n"/>
      <c r="AP131" s="372" t="n"/>
      <c r="AQ131" s="372" t="n"/>
      <c r="AR131" s="372" t="n"/>
      <c r="AS131" s="372" t="n"/>
      <c r="AT131" s="372" t="n"/>
      <c r="AU131" s="372" t="n"/>
      <c r="AV131" s="372" t="n"/>
      <c r="AW131" s="372" t="n"/>
      <c r="AX131" s="372" t="n"/>
      <c r="AY131" s="372" t="n"/>
      <c r="AZ131" s="372" t="n"/>
      <c r="BA131" s="372" t="n"/>
      <c r="BB131" s="372" t="n"/>
      <c r="BC131" s="372" t="n"/>
      <c r="BD131" s="372" t="n"/>
      <c r="BE131" s="372" t="n"/>
      <c r="BF131" s="372" t="n"/>
      <c r="BG131" s="372" t="n"/>
      <c r="BH131" s="372" t="n"/>
      <c r="BI131" s="372" t="n"/>
      <c r="BJ131" s="372" t="n"/>
      <c r="BK131" s="372" t="n"/>
      <c r="BL131" s="372" t="n"/>
      <c r="BM131" s="372" t="n"/>
      <c r="BN131" s="372" t="n"/>
      <c r="BO131" s="372" t="n"/>
      <c r="BP131" s="372" t="n"/>
      <c r="BQ131" s="372" t="n"/>
      <c r="BR131" s="372" t="n"/>
      <c r="BS131" s="372" t="n"/>
      <c r="BT131" s="372" t="n"/>
      <c r="BU131" s="372" t="n"/>
      <c r="BV131" s="372" t="n"/>
      <c r="BW131" s="372" t="n"/>
      <c r="BX131" s="372" t="n"/>
      <c r="BY131" s="372" t="n"/>
      <c r="BZ131" s="372" t="n"/>
      <c r="CA131" s="372" t="n"/>
      <c r="CB131" s="372" t="n"/>
      <c r="CC131" s="402" t="n"/>
      <c r="CF131" s="259" t="inlineStr">
        <is>
          <t>移動</t>
        </is>
      </c>
      <c r="CG131" s="403" t="n"/>
      <c r="CH131" s="403" t="n"/>
      <c r="CI131" s="404" t="n"/>
      <c r="CJ131" s="379">
        <f>IF(Q131="作業者1",E134-E131,0)</f>
        <v/>
      </c>
      <c r="CK131" s="377" t="n"/>
      <c r="CL131" s="377" t="n"/>
      <c r="CM131" s="377" t="n"/>
      <c r="CN131" s="378" t="n"/>
      <c r="CP131" s="248" t="inlineStr">
        <is>
          <t>移動</t>
        </is>
      </c>
      <c r="CQ131" s="377" t="n"/>
      <c r="CR131" s="377" t="n"/>
      <c r="CS131" s="378" t="n"/>
      <c r="CT131" s="379">
        <f>IF(Q131="作業者2",E134-E131,0)</f>
        <v/>
      </c>
      <c r="CU131" s="377" t="n"/>
      <c r="CV131" s="377" t="n"/>
      <c r="CW131" s="377" t="n"/>
      <c r="CX131" s="378" t="n"/>
      <c r="CZ131" s="259" t="inlineStr">
        <is>
          <t>移動</t>
        </is>
      </c>
      <c r="DA131" s="403" t="n"/>
      <c r="DB131" s="403" t="n"/>
      <c r="DC131" s="404" t="n"/>
      <c r="DD131" s="405">
        <f>IF(Q131="作業者3",E134-E131,0)</f>
        <v/>
      </c>
      <c r="DE131" s="406" t="n"/>
      <c r="DF131" s="406" t="n"/>
      <c r="DG131" s="406" t="n"/>
      <c r="DH131" s="407" t="n"/>
      <c r="DJ131" s="259" t="inlineStr">
        <is>
          <t>移動</t>
        </is>
      </c>
      <c r="DK131" s="403" t="n"/>
      <c r="DL131" s="403" t="n"/>
      <c r="DM131" s="404" t="n"/>
      <c r="DN131" s="379">
        <f>IF(Q131="作業者4",E134-E131,0)</f>
        <v/>
      </c>
      <c r="DO131" s="377" t="n"/>
      <c r="DP131" s="377" t="n"/>
      <c r="DQ131" s="377" t="n"/>
      <c r="DR131" s="378" t="n"/>
      <c r="DT131" s="259" t="inlineStr">
        <is>
          <t>移動</t>
        </is>
      </c>
      <c r="DU131" s="403" t="n"/>
      <c r="DV131" s="403" t="n"/>
      <c r="DW131" s="404" t="n"/>
      <c r="DX131" s="379">
        <f>IF(Q131="作業者5",E134-E131,0)</f>
        <v/>
      </c>
      <c r="DY131" s="377" t="n"/>
      <c r="DZ131" s="377" t="n"/>
      <c r="EA131" s="377" t="n"/>
      <c r="EB131" s="378" t="n"/>
    </row>
    <row r="132" ht="9" customHeight="1" s="337">
      <c r="B132" s="350" t="n"/>
      <c r="C132" s="338" t="n"/>
      <c r="D132" s="380" t="n"/>
      <c r="E132" s="381" t="n"/>
      <c r="F132" s="122" t="inlineStr">
        <is>
          <t>～</t>
        </is>
      </c>
      <c r="G132" s="22" t="n"/>
      <c r="H132" s="381" t="n"/>
      <c r="I132" s="122" t="inlineStr">
        <is>
          <t>～</t>
        </is>
      </c>
      <c r="J132" s="22" t="n"/>
      <c r="K132" s="381" t="n"/>
      <c r="L132" s="122" t="inlineStr">
        <is>
          <t>～</t>
        </is>
      </c>
      <c r="M132" s="22" t="n"/>
      <c r="N132" s="381" t="n"/>
      <c r="O132" s="122" t="inlineStr">
        <is>
          <t>～</t>
        </is>
      </c>
      <c r="P132" s="22" t="n"/>
      <c r="Q132" s="382" t="n"/>
      <c r="R132" s="338" t="n"/>
      <c r="S132" s="446" t="n"/>
      <c r="T132" s="382" t="n"/>
      <c r="U132" s="338" t="n"/>
      <c r="V132" s="380" t="n"/>
      <c r="W132" s="382" t="n"/>
      <c r="X132" s="338" t="n"/>
      <c r="Y132" s="338" t="n"/>
      <c r="Z132" s="338" t="n"/>
      <c r="AA132" s="338" t="n"/>
      <c r="AB132" s="338" t="n"/>
      <c r="AC132" s="338" t="n"/>
      <c r="AD132" s="338" t="n"/>
      <c r="AE132" s="338" t="n"/>
      <c r="AF132" s="338" t="n"/>
      <c r="AG132" s="338" t="n"/>
      <c r="AH132" s="338" t="n"/>
      <c r="AI132" s="338" t="n"/>
      <c r="AJ132" s="338" t="n"/>
      <c r="AK132" s="338" t="n"/>
      <c r="AL132" s="338" t="n"/>
      <c r="AM132" s="338" t="n"/>
      <c r="AN132" s="338" t="n"/>
      <c r="AO132" s="338" t="n"/>
      <c r="AP132" s="338" t="n"/>
      <c r="AQ132" s="338" t="n"/>
      <c r="AR132" s="338" t="n"/>
      <c r="AS132" s="338" t="n"/>
      <c r="AT132" s="338" t="n"/>
      <c r="AU132" s="338" t="n"/>
      <c r="AV132" s="338" t="n"/>
      <c r="AW132" s="338" t="n"/>
      <c r="AX132" s="338" t="n"/>
      <c r="AY132" s="338" t="n"/>
      <c r="AZ132" s="338" t="n"/>
      <c r="BA132" s="338" t="n"/>
      <c r="BB132" s="338" t="n"/>
      <c r="BC132" s="338" t="n"/>
      <c r="BD132" s="338" t="n"/>
      <c r="BE132" s="338" t="n"/>
      <c r="BF132" s="338" t="n"/>
      <c r="BG132" s="338" t="n"/>
      <c r="BH132" s="338" t="n"/>
      <c r="BI132" s="338" t="n"/>
      <c r="BJ132" s="338" t="n"/>
      <c r="BK132" s="338" t="n"/>
      <c r="BL132" s="338" t="n"/>
      <c r="BM132" s="338" t="n"/>
      <c r="BN132" s="338" t="n"/>
      <c r="BO132" s="338" t="n"/>
      <c r="BP132" s="338" t="n"/>
      <c r="BQ132" s="338" t="n"/>
      <c r="BR132" s="338" t="n"/>
      <c r="BS132" s="338" t="n"/>
      <c r="BT132" s="338" t="n"/>
      <c r="BU132" s="338" t="n"/>
      <c r="BV132" s="338" t="n"/>
      <c r="BW132" s="338" t="n"/>
      <c r="BX132" s="338" t="n"/>
      <c r="BY132" s="338" t="n"/>
      <c r="BZ132" s="338" t="n"/>
      <c r="CA132" s="338" t="n"/>
      <c r="CB132" s="338" t="n"/>
      <c r="CC132" s="383" t="n"/>
      <c r="CF132" s="253" t="inlineStr">
        <is>
          <t>時間内</t>
        </is>
      </c>
      <c r="CG132" s="384" t="n"/>
      <c r="CH132" s="384" t="n"/>
      <c r="CI132" s="385" t="n"/>
      <c r="CJ132" s="386">
        <f>IF(Q131="作業者1",H134-H131,0)</f>
        <v/>
      </c>
      <c r="CK132" s="387" t="n"/>
      <c r="CL132" s="387" t="n"/>
      <c r="CM132" s="387" t="n"/>
      <c r="CN132" s="388" t="n"/>
      <c r="CP132" s="253" t="inlineStr">
        <is>
          <t>時間内</t>
        </is>
      </c>
      <c r="CQ132" s="384" t="n"/>
      <c r="CR132" s="384" t="n"/>
      <c r="CS132" s="385" t="n"/>
      <c r="CT132" s="386">
        <f>IF(Q131="作業者2",H134-H131,0)</f>
        <v/>
      </c>
      <c r="CU132" s="387" t="n"/>
      <c r="CV132" s="387" t="n"/>
      <c r="CW132" s="387" t="n"/>
      <c r="CX132" s="388" t="n"/>
      <c r="CZ132" s="253" t="inlineStr">
        <is>
          <t>時間内</t>
        </is>
      </c>
      <c r="DA132" s="384" t="n"/>
      <c r="DB132" s="384" t="n"/>
      <c r="DC132" s="385" t="n"/>
      <c r="DD132" s="386">
        <f>IF(Q131="作業者3",H134-H131,0)</f>
        <v/>
      </c>
      <c r="DE132" s="387" t="n"/>
      <c r="DF132" s="387" t="n"/>
      <c r="DG132" s="387" t="n"/>
      <c r="DH132" s="388" t="n"/>
      <c r="DJ132" s="253" t="inlineStr">
        <is>
          <t>時間内</t>
        </is>
      </c>
      <c r="DK132" s="384" t="n"/>
      <c r="DL132" s="384" t="n"/>
      <c r="DM132" s="385" t="n"/>
      <c r="DN132" s="386">
        <f>IF(Q131="作業者4",H134-H131,0)</f>
        <v/>
      </c>
      <c r="DO132" s="387" t="n"/>
      <c r="DP132" s="387" t="n"/>
      <c r="DQ132" s="387" t="n"/>
      <c r="DR132" s="388" t="n"/>
      <c r="DT132" s="253" t="inlineStr">
        <is>
          <t>時間内</t>
        </is>
      </c>
      <c r="DU132" s="384" t="n"/>
      <c r="DV132" s="384" t="n"/>
      <c r="DW132" s="385" t="n"/>
      <c r="DX132" s="386">
        <f>IF(Q131="作業者5",H134-H131,0)</f>
        <v/>
      </c>
      <c r="DY132" s="387" t="n"/>
      <c r="DZ132" s="387" t="n"/>
      <c r="EA132" s="387" t="n"/>
      <c r="EB132" s="388" t="n"/>
    </row>
    <row r="133" ht="9" customHeight="1" s="337">
      <c r="B133" s="350" t="n"/>
      <c r="C133" s="338" t="n"/>
      <c r="D133" s="380" t="n"/>
      <c r="E133" s="23" t="n"/>
      <c r="F133" s="338" t="n"/>
      <c r="G133" s="24" t="n"/>
      <c r="H133" s="23" t="n"/>
      <c r="I133" s="338" t="n"/>
      <c r="J133" s="24" t="n"/>
      <c r="K133" s="23" t="n"/>
      <c r="L133" s="338" t="n"/>
      <c r="M133" s="24" t="n"/>
      <c r="N133" s="23" t="n"/>
      <c r="O133" s="338" t="n"/>
      <c r="P133" s="24" t="n"/>
      <c r="Q133" s="382" t="n"/>
      <c r="R133" s="338" t="n"/>
      <c r="S133" s="446" t="n"/>
      <c r="T133" s="382" t="n"/>
      <c r="U133" s="338" t="n"/>
      <c r="V133" s="380" t="n"/>
      <c r="W133" s="382" t="n"/>
      <c r="X133" s="338" t="n"/>
      <c r="Y133" s="338" t="n"/>
      <c r="Z133" s="338" t="n"/>
      <c r="AA133" s="338" t="n"/>
      <c r="AB133" s="338" t="n"/>
      <c r="AC133" s="338" t="n"/>
      <c r="AD133" s="338" t="n"/>
      <c r="AE133" s="338" t="n"/>
      <c r="AF133" s="338" t="n"/>
      <c r="AG133" s="338" t="n"/>
      <c r="AH133" s="338" t="n"/>
      <c r="AI133" s="338" t="n"/>
      <c r="AJ133" s="338" t="n"/>
      <c r="AK133" s="338" t="n"/>
      <c r="AL133" s="338" t="n"/>
      <c r="AM133" s="338" t="n"/>
      <c r="AN133" s="338" t="n"/>
      <c r="AO133" s="338" t="n"/>
      <c r="AP133" s="338" t="n"/>
      <c r="AQ133" s="338" t="n"/>
      <c r="AR133" s="338" t="n"/>
      <c r="AS133" s="338" t="n"/>
      <c r="AT133" s="338" t="n"/>
      <c r="AU133" s="338" t="n"/>
      <c r="AV133" s="338" t="n"/>
      <c r="AW133" s="338" t="n"/>
      <c r="AX133" s="338" t="n"/>
      <c r="AY133" s="338" t="n"/>
      <c r="AZ133" s="338" t="n"/>
      <c r="BA133" s="338" t="n"/>
      <c r="BB133" s="338" t="n"/>
      <c r="BC133" s="338" t="n"/>
      <c r="BD133" s="338" t="n"/>
      <c r="BE133" s="338" t="n"/>
      <c r="BF133" s="338" t="n"/>
      <c r="BG133" s="338" t="n"/>
      <c r="BH133" s="338" t="n"/>
      <c r="BI133" s="338" t="n"/>
      <c r="BJ133" s="338" t="n"/>
      <c r="BK133" s="338" t="n"/>
      <c r="BL133" s="338" t="n"/>
      <c r="BM133" s="338" t="n"/>
      <c r="BN133" s="338" t="n"/>
      <c r="BO133" s="338" t="n"/>
      <c r="BP133" s="338" t="n"/>
      <c r="BQ133" s="338" t="n"/>
      <c r="BR133" s="338" t="n"/>
      <c r="BS133" s="338" t="n"/>
      <c r="BT133" s="338" t="n"/>
      <c r="BU133" s="338" t="n"/>
      <c r="BV133" s="338" t="n"/>
      <c r="BW133" s="338" t="n"/>
      <c r="BX133" s="338" t="n"/>
      <c r="BY133" s="338" t="n"/>
      <c r="BZ133" s="338" t="n"/>
      <c r="CA133" s="338" t="n"/>
      <c r="CB133" s="338" t="n"/>
      <c r="CC133" s="383" t="n"/>
      <c r="CF133" s="253" t="inlineStr">
        <is>
          <t>時間外</t>
        </is>
      </c>
      <c r="CG133" s="384" t="n"/>
      <c r="CH133" s="384" t="n"/>
      <c r="CI133" s="385" t="n"/>
      <c r="CJ133" s="386">
        <f>IF(Q131="作業者1",K134-K131,0)</f>
        <v/>
      </c>
      <c r="CK133" s="387" t="n"/>
      <c r="CL133" s="387" t="n"/>
      <c r="CM133" s="387" t="n"/>
      <c r="CN133" s="388" t="n"/>
      <c r="CP133" s="253" t="inlineStr">
        <is>
          <t>時間外</t>
        </is>
      </c>
      <c r="CQ133" s="384" t="n"/>
      <c r="CR133" s="384" t="n"/>
      <c r="CS133" s="385" t="n"/>
      <c r="CT133" s="386">
        <f>IF(Q131="作業者2",K134-K131,0)</f>
        <v/>
      </c>
      <c r="CU133" s="387" t="n"/>
      <c r="CV133" s="387" t="n"/>
      <c r="CW133" s="387" t="n"/>
      <c r="CX133" s="388" t="n"/>
      <c r="CZ133" s="253" t="inlineStr">
        <is>
          <t>時間外</t>
        </is>
      </c>
      <c r="DA133" s="384" t="n"/>
      <c r="DB133" s="384" t="n"/>
      <c r="DC133" s="385" t="n"/>
      <c r="DD133" s="386">
        <f>IF(Q131="作業者3",K134-K131,0)</f>
        <v/>
      </c>
      <c r="DE133" s="387" t="n"/>
      <c r="DF133" s="387" t="n"/>
      <c r="DG133" s="387" t="n"/>
      <c r="DH133" s="388" t="n"/>
      <c r="DJ133" s="253" t="inlineStr">
        <is>
          <t>時間外</t>
        </is>
      </c>
      <c r="DK133" s="384" t="n"/>
      <c r="DL133" s="384" t="n"/>
      <c r="DM133" s="385" t="n"/>
      <c r="DN133" s="386">
        <f>IF(Q131="作業者4",K134-K131,0)</f>
        <v/>
      </c>
      <c r="DO133" s="387" t="n"/>
      <c r="DP133" s="387" t="n"/>
      <c r="DQ133" s="387" t="n"/>
      <c r="DR133" s="388" t="n"/>
      <c r="DT133" s="253" t="inlineStr">
        <is>
          <t>時間外</t>
        </is>
      </c>
      <c r="DU133" s="384" t="n"/>
      <c r="DV133" s="384" t="n"/>
      <c r="DW133" s="385" t="n"/>
      <c r="DX133" s="386">
        <f>IF(Q131="作業者5",K134-K131,0)</f>
        <v/>
      </c>
      <c r="DY133" s="387" t="n"/>
      <c r="DZ133" s="387" t="n"/>
      <c r="EA133" s="387" t="n"/>
      <c r="EB133" s="388" t="n"/>
    </row>
    <row r="134" ht="9" customHeight="1" s="337">
      <c r="B134" s="353" t="n"/>
      <c r="C134" s="339" t="n"/>
      <c r="D134" s="364" t="n"/>
      <c r="E134" s="412" t="n"/>
      <c r="F134" s="339" t="n"/>
      <c r="G134" s="364" t="n"/>
      <c r="H134" s="412" t="n"/>
      <c r="I134" s="339" t="n"/>
      <c r="J134" s="364" t="n"/>
      <c r="K134" s="412" t="n"/>
      <c r="L134" s="339" t="n"/>
      <c r="M134" s="364" t="n"/>
      <c r="N134" s="412" t="n"/>
      <c r="O134" s="339" t="n"/>
      <c r="P134" s="364" t="n"/>
      <c r="Q134" s="393" t="n"/>
      <c r="R134" s="390" t="n"/>
      <c r="S134" s="447" t="n"/>
      <c r="T134" s="365" t="n"/>
      <c r="U134" s="339" t="n"/>
      <c r="V134" s="364" t="n"/>
      <c r="W134" s="393" t="n"/>
      <c r="X134" s="390" t="n"/>
      <c r="Y134" s="390" t="n"/>
      <c r="Z134" s="390" t="n"/>
      <c r="AA134" s="390" t="n"/>
      <c r="AB134" s="390" t="n"/>
      <c r="AC134" s="390" t="n"/>
      <c r="AD134" s="390" t="n"/>
      <c r="AE134" s="390" t="n"/>
      <c r="AF134" s="390" t="n"/>
      <c r="AG134" s="390" t="n"/>
      <c r="AH134" s="390" t="n"/>
      <c r="AI134" s="390" t="n"/>
      <c r="AJ134" s="390" t="n"/>
      <c r="AK134" s="390" t="n"/>
      <c r="AL134" s="390" t="n"/>
      <c r="AM134" s="390" t="n"/>
      <c r="AN134" s="390" t="n"/>
      <c r="AO134" s="390" t="n"/>
      <c r="AP134" s="390" t="n"/>
      <c r="AQ134" s="390" t="n"/>
      <c r="AR134" s="390" t="n"/>
      <c r="AS134" s="390" t="n"/>
      <c r="AT134" s="390" t="n"/>
      <c r="AU134" s="390" t="n"/>
      <c r="AV134" s="390" t="n"/>
      <c r="AW134" s="390" t="n"/>
      <c r="AX134" s="390" t="n"/>
      <c r="AY134" s="390" t="n"/>
      <c r="AZ134" s="390" t="n"/>
      <c r="BA134" s="390" t="n"/>
      <c r="BB134" s="390" t="n"/>
      <c r="BC134" s="390" t="n"/>
      <c r="BD134" s="390" t="n"/>
      <c r="BE134" s="390" t="n"/>
      <c r="BF134" s="390" t="n"/>
      <c r="BG134" s="390" t="n"/>
      <c r="BH134" s="390" t="n"/>
      <c r="BI134" s="390" t="n"/>
      <c r="BJ134" s="390" t="n"/>
      <c r="BK134" s="390" t="n"/>
      <c r="BL134" s="390" t="n"/>
      <c r="BM134" s="390" t="n"/>
      <c r="BN134" s="390" t="n"/>
      <c r="BO134" s="390" t="n"/>
      <c r="BP134" s="390" t="n"/>
      <c r="BQ134" s="390" t="n"/>
      <c r="BR134" s="390" t="n"/>
      <c r="BS134" s="390" t="n"/>
      <c r="BT134" s="390" t="n"/>
      <c r="BU134" s="390" t="n"/>
      <c r="BV134" s="390" t="n"/>
      <c r="BW134" s="390" t="n"/>
      <c r="BX134" s="390" t="n"/>
      <c r="BY134" s="390" t="n"/>
      <c r="BZ134" s="390" t="n"/>
      <c r="CA134" s="390" t="n"/>
      <c r="CB134" s="390" t="n"/>
      <c r="CC134" s="394" t="n"/>
      <c r="CF134" s="254" t="inlineStr">
        <is>
          <t>休日</t>
        </is>
      </c>
      <c r="CG134" s="395" t="n"/>
      <c r="CH134" s="395" t="n"/>
      <c r="CI134" s="396" t="n"/>
      <c r="CJ134" s="397">
        <f>IF(Q131="作業者1",N134-N131,0)</f>
        <v/>
      </c>
      <c r="CK134" s="395" t="n"/>
      <c r="CL134" s="395" t="n"/>
      <c r="CM134" s="395" t="n"/>
      <c r="CN134" s="396" t="n"/>
      <c r="CP134" s="254" t="inlineStr">
        <is>
          <t>休日</t>
        </is>
      </c>
      <c r="CQ134" s="395" t="n"/>
      <c r="CR134" s="395" t="n"/>
      <c r="CS134" s="396" t="n"/>
      <c r="CT134" s="397">
        <f>IF(Q131="作業者2",N134-N131,0)</f>
        <v/>
      </c>
      <c r="CU134" s="395" t="n"/>
      <c r="CV134" s="395" t="n"/>
      <c r="CW134" s="395" t="n"/>
      <c r="CX134" s="396" t="n"/>
      <c r="CZ134" s="254" t="inlineStr">
        <is>
          <t>休日</t>
        </is>
      </c>
      <c r="DA134" s="395" t="n"/>
      <c r="DB134" s="395" t="n"/>
      <c r="DC134" s="396" t="n"/>
      <c r="DD134" s="397">
        <f>IF(Q131="作業者3",N134-N131,0)</f>
        <v/>
      </c>
      <c r="DE134" s="395" t="n"/>
      <c r="DF134" s="395" t="n"/>
      <c r="DG134" s="395" t="n"/>
      <c r="DH134" s="396" t="n"/>
      <c r="DJ134" s="254" t="inlineStr">
        <is>
          <t>休日</t>
        </is>
      </c>
      <c r="DK134" s="395" t="n"/>
      <c r="DL134" s="395" t="n"/>
      <c r="DM134" s="396" t="n"/>
      <c r="DN134" s="397">
        <f>IF(Q131="作業者4",N134-N131,0)</f>
        <v/>
      </c>
      <c r="DO134" s="395" t="n"/>
      <c r="DP134" s="395" t="n"/>
      <c r="DQ134" s="395" t="n"/>
      <c r="DR134" s="396" t="n"/>
      <c r="DT134" s="254" t="inlineStr">
        <is>
          <t>休日</t>
        </is>
      </c>
      <c r="DU134" s="395" t="n"/>
      <c r="DV134" s="395" t="n"/>
      <c r="DW134" s="396" t="n"/>
      <c r="DX134" s="397">
        <f>IF(Q131="作業者5",N134-N131,0)</f>
        <v/>
      </c>
      <c r="DY134" s="395" t="n"/>
      <c r="DZ134" s="395" t="n"/>
      <c r="EA134" s="395" t="n"/>
      <c r="EB134" s="396" t="n"/>
    </row>
    <row r="135" ht="9" customHeight="1" s="337">
      <c r="B135" s="424" t="n"/>
      <c r="C135" s="424" t="n"/>
      <c r="D135" s="424" t="n"/>
      <c r="E135" s="425" t="n"/>
      <c r="F135" s="11" t="n"/>
      <c r="G135" s="11" t="n"/>
      <c r="H135" s="425" t="n"/>
      <c r="I135" s="11" t="n"/>
      <c r="J135" s="11" t="n"/>
      <c r="K135" s="425" t="n"/>
      <c r="L135" s="11" t="n"/>
      <c r="M135" s="11" t="n"/>
      <c r="N135" s="425" t="n"/>
      <c r="O135" s="11" t="n"/>
      <c r="P135" s="11" t="n"/>
      <c r="Q135" s="8" t="n"/>
      <c r="R135" s="8" t="n"/>
      <c r="S135" s="8" t="n"/>
      <c r="T135" s="12" t="n"/>
      <c r="U135" s="12" t="n"/>
      <c r="V135" s="12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  <c r="BP135" s="14" t="n"/>
      <c r="BQ135" s="14" t="n"/>
      <c r="BR135" s="14" t="n"/>
      <c r="BS135" s="14" t="n"/>
      <c r="BT135" s="14" t="n"/>
      <c r="BU135" s="14" t="n"/>
      <c r="BV135" s="14" t="n"/>
      <c r="BW135" s="14" t="n"/>
      <c r="BX135" s="14" t="n"/>
      <c r="BY135" s="14" t="n"/>
      <c r="BZ135" s="14" t="n"/>
      <c r="CA135" s="415" t="n"/>
      <c r="CB135" s="87" t="n"/>
      <c r="CC135" s="87" t="n"/>
      <c r="CD135" s="87" t="n"/>
      <c r="CE135" s="416" t="n"/>
      <c r="CF135" s="34" t="n"/>
      <c r="CG135" s="34" t="n"/>
    </row>
    <row r="136" ht="14.45" customHeight="1" s="337">
      <c r="G136" s="312" t="inlineStr">
        <is>
          <t>早出(始)</t>
        </is>
      </c>
      <c r="H136" s="377" t="n"/>
      <c r="I136" s="377" t="n"/>
      <c r="J136" s="378" t="n"/>
      <c r="K136" s="303" t="n">
        <v>0.0006944444444444445</v>
      </c>
      <c r="L136" s="377" t="n"/>
      <c r="M136" s="378" t="n"/>
      <c r="Q136" s="426" t="inlineStr">
        <is>
          <t>作業者</t>
        </is>
      </c>
      <c r="R136" s="427" t="n"/>
      <c r="S136" s="428" t="n"/>
      <c r="BP136" s="16" t="n"/>
      <c r="BQ136" s="87" t="n"/>
      <c r="BR136" s="87" t="n"/>
      <c r="BS136" s="87" t="n"/>
      <c r="BT136" s="87" t="n"/>
      <c r="BU136" s="87" t="n"/>
      <c r="BV136" s="87" t="n"/>
      <c r="BW136" s="449" t="inlineStr">
        <is>
          <t>合計</t>
        </is>
      </c>
      <c r="BX136" s="362" t="n"/>
      <c r="BY136" s="362" t="n"/>
      <c r="BZ136" s="362" t="n"/>
      <c r="CA136" s="362" t="n"/>
      <c r="CB136" s="362" t="n"/>
      <c r="CC136" s="363" t="n"/>
      <c r="CD136" s="450" t="n"/>
      <c r="CE136" s="451" t="n"/>
      <c r="CF136" s="431" t="inlineStr">
        <is>
          <t>合計（作業者1）</t>
        </is>
      </c>
      <c r="CG136" s="362" t="n"/>
      <c r="CH136" s="362" t="n"/>
      <c r="CI136" s="362" t="n"/>
      <c r="CJ136" s="362" t="n"/>
      <c r="CK136" s="362" t="n"/>
      <c r="CL136" s="362" t="n"/>
      <c r="CM136" s="362" t="n"/>
      <c r="CN136" s="363" t="n"/>
      <c r="CP136" s="431" t="inlineStr">
        <is>
          <t>合計（作業者2）</t>
        </is>
      </c>
      <c r="CQ136" s="362" t="n"/>
      <c r="CR136" s="362" t="n"/>
      <c r="CS136" s="362" t="n"/>
      <c r="CT136" s="362" t="n"/>
      <c r="CU136" s="362" t="n"/>
      <c r="CV136" s="362" t="n"/>
      <c r="CW136" s="362" t="n"/>
      <c r="CX136" s="363" t="n"/>
      <c r="CZ136" s="431" t="inlineStr">
        <is>
          <t>合計（作業者3）</t>
        </is>
      </c>
      <c r="DA136" s="362" t="n"/>
      <c r="DB136" s="362" t="n"/>
      <c r="DC136" s="362" t="n"/>
      <c r="DD136" s="362" t="n"/>
      <c r="DE136" s="362" t="n"/>
      <c r="DF136" s="362" t="n"/>
      <c r="DG136" s="362" t="n"/>
      <c r="DH136" s="363" t="n"/>
      <c r="DJ136" s="431" t="inlineStr">
        <is>
          <t>合計（作業者4）</t>
        </is>
      </c>
      <c r="DK136" s="362" t="n"/>
      <c r="DL136" s="362" t="n"/>
      <c r="DM136" s="362" t="n"/>
      <c r="DN136" s="362" t="n"/>
      <c r="DO136" s="362" t="n"/>
      <c r="DP136" s="362" t="n"/>
      <c r="DQ136" s="362" t="n"/>
      <c r="DR136" s="363" t="n"/>
      <c r="DT136" s="431" t="inlineStr">
        <is>
          <t>合計（作業者5）</t>
        </is>
      </c>
      <c r="DU136" s="362" t="n"/>
      <c r="DV136" s="362" t="n"/>
      <c r="DW136" s="362" t="n"/>
      <c r="DX136" s="362" t="n"/>
      <c r="DY136" s="362" t="n"/>
      <c r="DZ136" s="362" t="n"/>
      <c r="EA136" s="362" t="n"/>
      <c r="EB136" s="363" t="n"/>
    </row>
    <row r="137" ht="13.5" customHeight="1" s="337">
      <c r="C137" s="13" t="n"/>
      <c r="G137" s="313" t="inlineStr">
        <is>
          <t>早出(終)</t>
        </is>
      </c>
      <c r="H137" s="384" t="n"/>
      <c r="I137" s="384" t="n"/>
      <c r="J137" s="385" t="n"/>
      <c r="K137" s="306" t="n">
        <v>0.3333333333333333</v>
      </c>
      <c r="L137" s="387" t="n"/>
      <c r="M137" s="388" t="n"/>
      <c r="Q137" s="36" t="inlineStr">
        <is>
          <t>作業者1</t>
        </is>
      </c>
      <c r="R137" s="99" t="n"/>
      <c r="S137" s="100" t="n"/>
      <c r="BP137" s="16" t="n"/>
      <c r="BQ137" s="87" t="n"/>
      <c r="BR137" s="87" t="n"/>
      <c r="BS137" s="87" t="n"/>
      <c r="BT137" s="87" t="n"/>
      <c r="BU137" s="87" t="n"/>
      <c r="BV137" s="87" t="n"/>
      <c r="BW137" s="366" t="n"/>
      <c r="BX137" s="367" t="n"/>
      <c r="BY137" s="367" t="n"/>
      <c r="BZ137" s="367" t="n"/>
      <c r="CA137" s="367" t="n"/>
      <c r="CB137" s="367" t="n"/>
      <c r="CC137" s="368" t="n"/>
      <c r="CD137" s="450" t="n"/>
      <c r="CE137" s="451" t="n"/>
      <c r="CF137" s="366" t="n"/>
      <c r="CG137" s="367" t="n"/>
      <c r="CH137" s="367" t="n"/>
      <c r="CI137" s="367" t="n"/>
      <c r="CJ137" s="367" t="n"/>
      <c r="CK137" s="367" t="n"/>
      <c r="CL137" s="367" t="n"/>
      <c r="CM137" s="367" t="n"/>
      <c r="CN137" s="368" t="n"/>
      <c r="CP137" s="366" t="n"/>
      <c r="CQ137" s="367" t="n"/>
      <c r="CR137" s="367" t="n"/>
      <c r="CS137" s="367" t="n"/>
      <c r="CT137" s="367" t="n"/>
      <c r="CU137" s="367" t="n"/>
      <c r="CV137" s="367" t="n"/>
      <c r="CW137" s="367" t="n"/>
      <c r="CX137" s="368" t="n"/>
      <c r="CZ137" s="366" t="n"/>
      <c r="DA137" s="367" t="n"/>
      <c r="DB137" s="367" t="n"/>
      <c r="DC137" s="367" t="n"/>
      <c r="DD137" s="367" t="n"/>
      <c r="DE137" s="367" t="n"/>
      <c r="DF137" s="367" t="n"/>
      <c r="DG137" s="367" t="n"/>
      <c r="DH137" s="368" t="n"/>
      <c r="DJ137" s="366" t="n"/>
      <c r="DK137" s="367" t="n"/>
      <c r="DL137" s="367" t="n"/>
      <c r="DM137" s="367" t="n"/>
      <c r="DN137" s="367" t="n"/>
      <c r="DO137" s="367" t="n"/>
      <c r="DP137" s="367" t="n"/>
      <c r="DQ137" s="367" t="n"/>
      <c r="DR137" s="368" t="n"/>
      <c r="DT137" s="366" t="n"/>
      <c r="DU137" s="367" t="n"/>
      <c r="DV137" s="367" t="n"/>
      <c r="DW137" s="367" t="n"/>
      <c r="DX137" s="367" t="n"/>
      <c r="DY137" s="367" t="n"/>
      <c r="DZ137" s="367" t="n"/>
      <c r="EA137" s="367" t="n"/>
      <c r="EB137" s="368" t="n"/>
    </row>
    <row r="138" ht="12" customHeight="1" s="337">
      <c r="C138" s="13" t="n"/>
      <c r="G138" s="313" t="inlineStr">
        <is>
          <t>時間外(始)</t>
        </is>
      </c>
      <c r="H138" s="384" t="n"/>
      <c r="I138" s="384" t="n"/>
      <c r="J138" s="385" t="n"/>
      <c r="K138" s="306" t="n">
        <v>0.7083333333333334</v>
      </c>
      <c r="L138" s="387" t="n"/>
      <c r="M138" s="388" t="n"/>
      <c r="Q138" s="38" t="inlineStr">
        <is>
          <t>作業者2</t>
        </is>
      </c>
      <c r="R138" s="78" t="n"/>
      <c r="S138" s="79" t="n"/>
      <c r="BP138" s="16" t="n"/>
      <c r="BQ138" s="87" t="n"/>
      <c r="BR138" s="87" t="n"/>
      <c r="BS138" s="87" t="n"/>
      <c r="BT138" s="87" t="n"/>
      <c r="BU138" s="87" t="n"/>
      <c r="BV138" s="87" t="n"/>
      <c r="BW138" s="452" t="inlineStr">
        <is>
          <t>移動</t>
        </is>
      </c>
      <c r="BX138" s="453" t="n"/>
      <c r="BY138" s="453" t="n"/>
      <c r="BZ138" s="454">
        <f>CJ138+CT138+DD138+DN138+DX138</f>
        <v/>
      </c>
      <c r="CA138" s="453" t="n"/>
      <c r="CB138" s="453" t="n"/>
      <c r="CC138" s="455" t="n"/>
      <c r="CD138" s="456" t="n"/>
      <c r="CE138" s="451" t="n"/>
      <c r="CF138" s="259" t="inlineStr">
        <is>
          <t>移動</t>
        </is>
      </c>
      <c r="CG138" s="403" t="n"/>
      <c r="CH138" s="403" t="n"/>
      <c r="CI138" s="404" t="n"/>
      <c r="CJ138" s="405">
        <f>CJ4+CJ8+CJ12+CJ16+CJ20+CJ24+CJ28+CJ32+CJ36+CJ40+CJ44+CJ48+CJ52+CJ56+CJ60+CJ64+CJ71+CJ75+CJ79+CJ83+CJ87+CJ91+CJ95+CJ99+CJ103+CJ107+CJ111+CJ115+CJ119+CJ123+CJ127+CJ131</f>
        <v/>
      </c>
      <c r="CK138" s="406" t="n"/>
      <c r="CL138" s="406" t="n"/>
      <c r="CM138" s="406" t="n"/>
      <c r="CN138" s="407" t="n"/>
      <c r="CP138" s="259" t="inlineStr">
        <is>
          <t>移動</t>
        </is>
      </c>
      <c r="CQ138" s="403" t="n"/>
      <c r="CR138" s="403" t="n"/>
      <c r="CS138" s="404" t="n"/>
      <c r="CT138" s="405">
        <f>CT4+CT8+CT12+CT16+CT20+CT24+CT28+CT32+CT36+CT40+CT44+CT48+CT52+CT56+CT60+CT64+CT71+CT75+CT79+CT83+CT87+CT91+CT95+CT99+CT103+CT107+CT111+CT115+CT119+CT123+CT127+CT131</f>
        <v/>
      </c>
      <c r="CU138" s="406" t="n"/>
      <c r="CV138" s="406" t="n"/>
      <c r="CW138" s="406" t="n"/>
      <c r="CX138" s="407" t="n"/>
      <c r="CZ138" s="259" t="inlineStr">
        <is>
          <t>移動</t>
        </is>
      </c>
      <c r="DA138" s="403" t="n"/>
      <c r="DB138" s="403" t="n"/>
      <c r="DC138" s="404" t="n"/>
      <c r="DD138" s="405">
        <f>DD4+DD8+DD12+DD16+DD20+DD24+DD28+DD32+DD36+DD40+DD44+DD48+DD52+DD56+DD60+DD64+DD71+DD75+DD79+DD83+DD87+DD91+DD95+DD99+DD103+DD107+DD111+DD115+DD119+DD123+DD127+DD131</f>
        <v/>
      </c>
      <c r="DE138" s="406" t="n"/>
      <c r="DF138" s="406" t="n"/>
      <c r="DG138" s="406" t="n"/>
      <c r="DH138" s="407" t="n"/>
      <c r="DJ138" s="259" t="inlineStr">
        <is>
          <t>移動</t>
        </is>
      </c>
      <c r="DK138" s="403" t="n"/>
      <c r="DL138" s="403" t="n"/>
      <c r="DM138" s="404" t="n"/>
      <c r="DN138" s="405">
        <f>DN4+DN8+DN12+DN16+DN20+DN24+DN28+DN32+DN36+DN40+DN44+DN48+DN52+DN56+DN60+DN64+DN71+DN75+DN79+DN83+DN87+DN91+DN95+DN99+DN103+DN107+DN111+DN115+DN119+DN123+DN127+DN131</f>
        <v/>
      </c>
      <c r="DO138" s="406" t="n"/>
      <c r="DP138" s="406" t="n"/>
      <c r="DQ138" s="406" t="n"/>
      <c r="DR138" s="407" t="n"/>
      <c r="DT138" s="259" t="inlineStr">
        <is>
          <t>移動</t>
        </is>
      </c>
      <c r="DU138" s="403" t="n"/>
      <c r="DV138" s="403" t="n"/>
      <c r="DW138" s="404" t="n"/>
      <c r="DX138" s="405">
        <f>DX4+DX8+DX12+DX16+DX20+DX24+DX28+DX32+DX36+DX40+DX44+DX48+DX52+DX56+DX60+DX64+DX71+DX75+DX79+DX83+DX87+DX91+DX95+DX99+DX103+DX107+DX111+DX115+DX119+DX123+DX127+DX131</f>
        <v/>
      </c>
      <c r="DY138" s="406" t="n"/>
      <c r="DZ138" s="406" t="n"/>
      <c r="EA138" s="406" t="n"/>
      <c r="EB138" s="407" t="n"/>
    </row>
    <row r="139" ht="12" customHeight="1" s="337">
      <c r="C139" s="13" t="n"/>
      <c r="G139" s="42" t="inlineStr">
        <is>
          <t>時間外(終)</t>
        </is>
      </c>
      <c r="H139" s="43" t="n"/>
      <c r="I139" s="43" t="n"/>
      <c r="J139" s="43" t="n"/>
      <c r="K139" s="309" t="n">
        <v>0.9993055555555556</v>
      </c>
      <c r="L139" s="395" t="n"/>
      <c r="M139" s="396" t="n"/>
      <c r="Q139" s="52" t="inlineStr">
        <is>
          <t>作業者3</t>
        </is>
      </c>
      <c r="R139" s="53" t="n"/>
      <c r="S139" s="54" t="n"/>
      <c r="BP139" s="16" t="n"/>
      <c r="BQ139" s="87" t="n"/>
      <c r="BR139" s="87" t="n"/>
      <c r="BS139" s="87" t="n"/>
      <c r="BT139" s="87" t="n"/>
      <c r="BU139" s="87" t="n"/>
      <c r="BV139" s="87" t="n"/>
      <c r="BW139" s="457" t="inlineStr">
        <is>
          <t>時間内</t>
        </is>
      </c>
      <c r="BX139" s="384" t="n"/>
      <c r="BY139" s="384" t="n"/>
      <c r="BZ139" s="458">
        <f>CJ139+CT139+DD139+DN139+DX139</f>
        <v/>
      </c>
      <c r="CA139" s="384" t="n"/>
      <c r="CB139" s="384" t="n"/>
      <c r="CC139" s="459" t="n"/>
      <c r="CD139" s="456" t="n"/>
      <c r="CE139" s="451" t="n"/>
      <c r="CF139" s="253" t="inlineStr">
        <is>
          <t>時間内</t>
        </is>
      </c>
      <c r="CG139" s="384" t="n"/>
      <c r="CH139" s="384" t="n"/>
      <c r="CI139" s="385" t="n"/>
      <c r="CJ139" s="386">
        <f>CJ5+CJ9+CJ13+CJ17+CJ21+CJ25+CJ29+CJ33+CJ37+CJ41+CJ45+CJ49+CJ53+CJ57+CJ61+CJ65+CJ72+CJ76+CJ80+CJ84+CJ88+CJ92+CJ96+CJ100+CJ104+CJ108+CJ112+CJ116+CJ120+CJ124+CJ128+CJ132</f>
        <v/>
      </c>
      <c r="CK139" s="387" t="n"/>
      <c r="CL139" s="387" t="n"/>
      <c r="CM139" s="387" t="n"/>
      <c r="CN139" s="388" t="n"/>
      <c r="CP139" s="253" t="inlineStr">
        <is>
          <t>時間内</t>
        </is>
      </c>
      <c r="CQ139" s="384" t="n"/>
      <c r="CR139" s="384" t="n"/>
      <c r="CS139" s="385" t="n"/>
      <c r="CT139" s="386">
        <f>CT5+CT9+CT13+CT17+CT21+CT25+CT29+CT33+CT37+CT41+CT45+CT49+CT53+CT57+CT61+CT65+CT72+CT76+CT80+CT84+CT88+CT92+CT96+CT100+CT104+CT108+CT112+CT116+CT120+CT124+CT128+CT132</f>
        <v/>
      </c>
      <c r="CU139" s="387" t="n"/>
      <c r="CV139" s="387" t="n"/>
      <c r="CW139" s="387" t="n"/>
      <c r="CX139" s="388" t="n"/>
      <c r="CZ139" s="253" t="inlineStr">
        <is>
          <t>時間内</t>
        </is>
      </c>
      <c r="DA139" s="384" t="n"/>
      <c r="DB139" s="384" t="n"/>
      <c r="DC139" s="385" t="n"/>
      <c r="DD139" s="386">
        <f>DD5+DD9+DD13+DD17+DD21+DD25+DD29+DD33+DD37+DD41+DD45+DD49+DD53+DD57+DD61+DD65+DD72+DD76+DD80+DD84+DD88+DD92+DD96+DD100+DD104+DD108+DD112+DD116+DD120+DD124+DD128+DD132</f>
        <v/>
      </c>
      <c r="DE139" s="387" t="n"/>
      <c r="DF139" s="387" t="n"/>
      <c r="DG139" s="387" t="n"/>
      <c r="DH139" s="388" t="n"/>
      <c r="DJ139" s="253" t="inlineStr">
        <is>
          <t>時間内</t>
        </is>
      </c>
      <c r="DK139" s="384" t="n"/>
      <c r="DL139" s="384" t="n"/>
      <c r="DM139" s="385" t="n"/>
      <c r="DN139" s="386">
        <f>DN5+DN9+DN13+DN17+DN21+DN25+DN29+DN33+DN37+DN41+DN45+DN49+DN53+DN57+DN61+DN65+DN72+DN76+DN80+DN84+DN88+DN92+DN96+DN100+DN104+DN108+DN112+DN116+DN120+DN124+DN128+DN132</f>
        <v/>
      </c>
      <c r="DO139" s="387" t="n"/>
      <c r="DP139" s="387" t="n"/>
      <c r="DQ139" s="387" t="n"/>
      <c r="DR139" s="388" t="n"/>
      <c r="DT139" s="253" t="inlineStr">
        <is>
          <t>時間内</t>
        </is>
      </c>
      <c r="DU139" s="384" t="n"/>
      <c r="DV139" s="384" t="n"/>
      <c r="DW139" s="385" t="n"/>
      <c r="DX139" s="386">
        <f>DX5+DX9+DX13+DX17+DX21+DX25+DX29+DX33+DX37+DX41+DX45+DX49+DX53+DX57+DX61+DX65+DX72+DX76+DX80+DX84+DX88+DX92+DX96+DX100+DX104+DX108+DX112+DX116+DX120+DX124+DX128+DX132</f>
        <v/>
      </c>
      <c r="DY139" s="387" t="n"/>
      <c r="DZ139" s="387" t="n"/>
      <c r="EA139" s="387" t="n"/>
      <c r="EB139" s="388" t="n"/>
    </row>
    <row r="140" ht="12" customHeight="1" s="337">
      <c r="C140" s="13" t="n"/>
      <c r="Q140" s="38" t="inlineStr">
        <is>
          <t>作業者4</t>
        </is>
      </c>
      <c r="R140" s="78" t="n"/>
      <c r="S140" s="79" t="n"/>
      <c r="BP140" s="19" t="n"/>
      <c r="BW140" s="457" t="inlineStr">
        <is>
          <t>時間外</t>
        </is>
      </c>
      <c r="BX140" s="384" t="n"/>
      <c r="BY140" s="384" t="n"/>
      <c r="BZ140" s="458">
        <f>CJ140+CT140+DD140+DN140+DX140</f>
        <v/>
      </c>
      <c r="CA140" s="384" t="n"/>
      <c r="CB140" s="384" t="n"/>
      <c r="CC140" s="459" t="n"/>
      <c r="CD140" s="456" t="n"/>
      <c r="CE140" s="31" t="n"/>
      <c r="CF140" s="253" t="inlineStr">
        <is>
          <t>時間外</t>
        </is>
      </c>
      <c r="CG140" s="384" t="n"/>
      <c r="CH140" s="384" t="n"/>
      <c r="CI140" s="385" t="n"/>
      <c r="CJ140" s="386">
        <f>CJ6+CJ10+CJ14+CJ18+CJ22+CJ26+CJ30+CJ34+CJ38+CJ42+CJ46+CJ50+CJ54+CJ58+CJ62+CJ66+CJ73+CJ77+CJ81+CJ85+CJ89+CJ93+CJ97+CJ101+CJ105+CJ109+CJ113+CJ117+CJ121+CJ125+CJ129+CJ133</f>
        <v/>
      </c>
      <c r="CK140" s="387" t="n"/>
      <c r="CL140" s="387" t="n"/>
      <c r="CM140" s="387" t="n"/>
      <c r="CN140" s="388" t="n"/>
      <c r="CP140" s="253" t="inlineStr">
        <is>
          <t>時間外</t>
        </is>
      </c>
      <c r="CQ140" s="384" t="n"/>
      <c r="CR140" s="384" t="n"/>
      <c r="CS140" s="385" t="n"/>
      <c r="CT140" s="386">
        <f>CT6+CT10+CT14+CT18+CT22+CT26+CT30+CT34+CT38+CT42+CT46+CT50+CT54+CT58+CT62+CT66+CT73+CT77+CT81+CT85+CT89+CT93+CT97+CT101+CT105+CT109+CT113+CT117+CT121+CT125+CT129+CT133</f>
        <v/>
      </c>
      <c r="CU140" s="387" t="n"/>
      <c r="CV140" s="387" t="n"/>
      <c r="CW140" s="387" t="n"/>
      <c r="CX140" s="388" t="n"/>
      <c r="CZ140" s="253" t="inlineStr">
        <is>
          <t>時間外</t>
        </is>
      </c>
      <c r="DA140" s="384" t="n"/>
      <c r="DB140" s="384" t="n"/>
      <c r="DC140" s="385" t="n"/>
      <c r="DD140" s="386">
        <f>DD6+DD10+DD14+DD18+DD22+DD26+DD30+DD34+DD38+DD42+DD46+DD50+DD54+DD58+DD62+DD66+DD73+DD77+DD81+DD85+DD89+DD93+DD97+DD101+DD105+DD109+DD113+DD117+DD121+DD125+DD129+DD133</f>
        <v/>
      </c>
      <c r="DE140" s="387" t="n"/>
      <c r="DF140" s="387" t="n"/>
      <c r="DG140" s="387" t="n"/>
      <c r="DH140" s="388" t="n"/>
      <c r="DJ140" s="253" t="inlineStr">
        <is>
          <t>時間外</t>
        </is>
      </c>
      <c r="DK140" s="384" t="n"/>
      <c r="DL140" s="384" t="n"/>
      <c r="DM140" s="385" t="n"/>
      <c r="DN140" s="386">
        <f>DN6+DN10+DN14+DN18+DN22+DN26+DN30+DN34+DN38+DN42+DN46+DN50+DN54+DN58+DN62+DN66+DN73+DN77+DN81+DN85+DN89+DN93+DN97+DN101+DN105+DN109+DN113+DN117+DN121+DN125+DN129+DN133</f>
        <v/>
      </c>
      <c r="DO140" s="387" t="n"/>
      <c r="DP140" s="387" t="n"/>
      <c r="DQ140" s="387" t="n"/>
      <c r="DR140" s="388" t="n"/>
      <c r="DT140" s="253" t="inlineStr">
        <is>
          <t>時間外</t>
        </is>
      </c>
      <c r="DU140" s="384" t="n"/>
      <c r="DV140" s="384" t="n"/>
      <c r="DW140" s="385" t="n"/>
      <c r="DX140" s="386">
        <f>DX6+DX10+DX14+DX18+DX22+DX26+DX30+DX34+DX38+DX42+DX46+DX50+DX54+DX58+DX62+DX66+DX73+DX77+DX81+DX85+DX89+DX93+DX97+DX101+DX105+DX109+DX113+DX117+DX121+DX125+DX129+DX133</f>
        <v/>
      </c>
      <c r="DY140" s="387" t="n"/>
      <c r="DZ140" s="387" t="n"/>
      <c r="EA140" s="387" t="n"/>
      <c r="EB140" s="388" t="n"/>
    </row>
    <row r="141" ht="12" customHeight="1" s="337">
      <c r="C141" s="13" t="n"/>
      <c r="Q141" s="40" t="inlineStr">
        <is>
          <t>作業者5</t>
        </is>
      </c>
      <c r="R141" s="82" t="n"/>
      <c r="S141" s="83" t="n"/>
      <c r="BW141" s="460" t="inlineStr">
        <is>
          <t>休日</t>
        </is>
      </c>
      <c r="BX141" s="395" t="n"/>
      <c r="BY141" s="395" t="n"/>
      <c r="BZ141" s="461">
        <f>CJ141+CT141+DD141+DN141+DX141</f>
        <v/>
      </c>
      <c r="CA141" s="395" t="n"/>
      <c r="CB141" s="395" t="n"/>
      <c r="CC141" s="462" t="n"/>
      <c r="CD141" s="456" t="n"/>
      <c r="CE141" s="31" t="n"/>
      <c r="CF141" s="254" t="inlineStr">
        <is>
          <t>休日</t>
        </is>
      </c>
      <c r="CG141" s="395" t="n"/>
      <c r="CH141" s="395" t="n"/>
      <c r="CI141" s="396" t="n"/>
      <c r="CJ141" s="397">
        <f>CJ7+CJ11+CJ15+CJ19+CJ23+CJ27+CJ31+CJ35+CJ39+CJ43+CJ47+CJ51+CJ55+CJ59+CJ63+CJ67+CJ74+CJ78+CJ82+CJ86+CJ90+CJ94+CJ98+CJ102+CJ106+CJ110+CJ114+CJ118+CJ122+CJ126+CJ130+CJ134</f>
        <v/>
      </c>
      <c r="CK141" s="395" t="n"/>
      <c r="CL141" s="395" t="n"/>
      <c r="CM141" s="395" t="n"/>
      <c r="CN141" s="396" t="n"/>
      <c r="CP141" s="254" t="inlineStr">
        <is>
          <t>休日</t>
        </is>
      </c>
      <c r="CQ141" s="395" t="n"/>
      <c r="CR141" s="395" t="n"/>
      <c r="CS141" s="396" t="n"/>
      <c r="CT141" s="397">
        <f>CT7+CT11+CT15+CT19+CT23+CT27+CT31+CT35+CT39+CT43+CT47+CT51+CT55+CT59+CT63+CT67+CT74+CT78+CT82+CT86+CT90+CT94+CT98+CT102+CT106+CT110+CT114+CT118+CT122+CT126+CT130+CT134</f>
        <v/>
      </c>
      <c r="CU141" s="395" t="n"/>
      <c r="CV141" s="395" t="n"/>
      <c r="CW141" s="395" t="n"/>
      <c r="CX141" s="396" t="n"/>
      <c r="CZ141" s="254" t="inlineStr">
        <is>
          <t>休日</t>
        </is>
      </c>
      <c r="DA141" s="395" t="n"/>
      <c r="DB141" s="395" t="n"/>
      <c r="DC141" s="396" t="n"/>
      <c r="DD141" s="397">
        <f>DD7+DD11+DD15+DD19+DD23+DD27+DD31+DD35+DD39+DD43+DD47+DD51+DD55+DD59+DD63+DD67+DD74+DD78+DD82+DD86+DD90+DD94+DD98+DD102+DD106+DD110+DD114+DD118+DD122+DD126+DD130+DD134</f>
        <v/>
      </c>
      <c r="DE141" s="395" t="n"/>
      <c r="DF141" s="395" t="n"/>
      <c r="DG141" s="395" t="n"/>
      <c r="DH141" s="396" t="n"/>
      <c r="DJ141" s="254" t="inlineStr">
        <is>
          <t>休日</t>
        </is>
      </c>
      <c r="DK141" s="395" t="n"/>
      <c r="DL141" s="395" t="n"/>
      <c r="DM141" s="396" t="n"/>
      <c r="DN141" s="397">
        <f>DN7+DN11+DN15+DN19+DN23+DN27+DN31+DN35+DN39+DN43+DN47+DN51+DN55+DN59+DN63+DN67+DN74+DN78+DN82+DN86+DN90+DN94+DN98+DN102+DN106+DN110+DN114+DN118+DN122+DN126+DN130+DN134</f>
        <v/>
      </c>
      <c r="DO141" s="395" t="n"/>
      <c r="DP141" s="395" t="n"/>
      <c r="DQ141" s="395" t="n"/>
      <c r="DR141" s="396" t="n"/>
      <c r="DT141" s="254" t="inlineStr">
        <is>
          <t>休日</t>
        </is>
      </c>
      <c r="DU141" s="395" t="n"/>
      <c r="DV141" s="395" t="n"/>
      <c r="DW141" s="396" t="n"/>
      <c r="DX141" s="397">
        <f>DX7+DX11+DX15+DX19+DX23+DX27+DX31+DX35+DX39+DX43+DX47+DX51+DX55+DX59+DX63+DX67+DX74+DX78+DX82+DX86+DX90+DX94+DX98+DX102+DX106+DX110+DX114+DX118+DX122+DX126+DX130+DX134</f>
        <v/>
      </c>
      <c r="DY141" s="395" t="n"/>
      <c r="DZ141" s="395" t="n"/>
      <c r="EA141" s="395" t="n"/>
      <c r="EB141" s="396" t="n"/>
    </row>
    <row r="142" ht="12" customHeight="1" s="337"/>
    <row r="143" ht="12" customHeight="1" s="337"/>
    <row r="144" ht="12" customHeight="1" s="337"/>
    <row r="145" ht="12" customHeight="1" s="337"/>
  </sheetData>
  <mergeCells count="1880">
    <mergeCell ref="DJ78:DM78"/>
    <mergeCell ref="CJ47:CN47"/>
    <mergeCell ref="DD95:DH95"/>
    <mergeCell ref="CT96:CX96"/>
    <mergeCell ref="DD87:DH87"/>
    <mergeCell ref="CF91:CI91"/>
    <mergeCell ref="CP88:CS88"/>
    <mergeCell ref="CT37:CX37"/>
    <mergeCell ref="CP82:CS82"/>
    <mergeCell ref="I57:I58"/>
    <mergeCell ref="DD97:DH97"/>
    <mergeCell ref="DN119:DR119"/>
    <mergeCell ref="CT98:CX98"/>
    <mergeCell ref="DD89:DH89"/>
    <mergeCell ref="CZ114:DC114"/>
    <mergeCell ref="CF93:CI93"/>
    <mergeCell ref="H75:J75"/>
    <mergeCell ref="DX109:EB109"/>
    <mergeCell ref="H111:J111"/>
    <mergeCell ref="CJ63:CN63"/>
    <mergeCell ref="DJ104:DM104"/>
    <mergeCell ref="CP83:CS83"/>
    <mergeCell ref="F13:F14"/>
    <mergeCell ref="DN114:DR114"/>
    <mergeCell ref="B52:D55"/>
    <mergeCell ref="DD113:DH113"/>
    <mergeCell ref="DJ106:DM106"/>
    <mergeCell ref="CP85:CS85"/>
    <mergeCell ref="T127:V130"/>
    <mergeCell ref="CF109:CI109"/>
    <mergeCell ref="CT124:CX124"/>
    <mergeCell ref="DD115:DH115"/>
    <mergeCell ref="W8:CC11"/>
    <mergeCell ref="N32:P32"/>
    <mergeCell ref="CP141:CS141"/>
    <mergeCell ref="CF75:CI75"/>
    <mergeCell ref="CT126:CX126"/>
    <mergeCell ref="DD108:DH108"/>
    <mergeCell ref="DN130:DR130"/>
    <mergeCell ref="CP12:CS12"/>
    <mergeCell ref="CZ125:DC125"/>
    <mergeCell ref="DD141:DH141"/>
    <mergeCell ref="K44:M44"/>
    <mergeCell ref="DN132:DR132"/>
    <mergeCell ref="CP14:CS14"/>
    <mergeCell ref="CZ133:DC133"/>
    <mergeCell ref="CZ127:DC127"/>
    <mergeCell ref="DJ28:DM28"/>
    <mergeCell ref="CP7:CS7"/>
    <mergeCell ref="H7:J7"/>
    <mergeCell ref="DT25:DW25"/>
    <mergeCell ref="T28:V31"/>
    <mergeCell ref="CZ39:DC39"/>
    <mergeCell ref="CJ117:CN117"/>
    <mergeCell ref="DJ30:DM30"/>
    <mergeCell ref="CT108:CX108"/>
    <mergeCell ref="CZ128:DC128"/>
    <mergeCell ref="Q12:S15"/>
    <mergeCell ref="DD38:DH38"/>
    <mergeCell ref="CT139:CX139"/>
    <mergeCell ref="E24:G24"/>
    <mergeCell ref="DD40:DH40"/>
    <mergeCell ref="N47:P47"/>
    <mergeCell ref="F88:F89"/>
    <mergeCell ref="CP35:CS35"/>
    <mergeCell ref="CZ57:DC57"/>
    <mergeCell ref="CF36:CI36"/>
    <mergeCell ref="CT51:CX51"/>
    <mergeCell ref="DT105:DW105"/>
    <mergeCell ref="I124:I125"/>
    <mergeCell ref="BZ138:CC138"/>
    <mergeCell ref="DT107:DW107"/>
    <mergeCell ref="E19:G19"/>
    <mergeCell ref="Q40:S43"/>
    <mergeCell ref="DJ69:DR70"/>
    <mergeCell ref="DT73:DW73"/>
    <mergeCell ref="CJ130:CN130"/>
    <mergeCell ref="CJ132:CN132"/>
    <mergeCell ref="CF35:CI35"/>
    <mergeCell ref="CF62:CI62"/>
    <mergeCell ref="CT33:CX33"/>
    <mergeCell ref="CF64:CI64"/>
    <mergeCell ref="H71:J71"/>
    <mergeCell ref="CT35:CX35"/>
    <mergeCell ref="H107:J107"/>
    <mergeCell ref="CF69:CN70"/>
    <mergeCell ref="CF30:CI30"/>
    <mergeCell ref="DJ100:DM100"/>
    <mergeCell ref="CP79:CS79"/>
    <mergeCell ref="K118:M118"/>
    <mergeCell ref="DN85:DR85"/>
    <mergeCell ref="CT64:CX64"/>
    <mergeCell ref="CZ80:DC80"/>
    <mergeCell ref="DJ102:DM102"/>
    <mergeCell ref="CP81:CS81"/>
    <mergeCell ref="DJ129:DM129"/>
    <mergeCell ref="H102:J102"/>
    <mergeCell ref="T123:V126"/>
    <mergeCell ref="DT120:DW120"/>
    <mergeCell ref="DJ131:DM131"/>
    <mergeCell ref="CJ62:CN62"/>
    <mergeCell ref="K134:M134"/>
    <mergeCell ref="CJ56:CN56"/>
    <mergeCell ref="CP105:CS105"/>
    <mergeCell ref="DD112:DH112"/>
    <mergeCell ref="W95:CC98"/>
    <mergeCell ref="E90:G90"/>
    <mergeCell ref="DD106:DH106"/>
    <mergeCell ref="CP107:CS107"/>
    <mergeCell ref="CP99:CS99"/>
    <mergeCell ref="E119:G119"/>
    <mergeCell ref="DJ113:DM113"/>
    <mergeCell ref="E91:G91"/>
    <mergeCell ref="CJ82:CN82"/>
    <mergeCell ref="CJ118:CN118"/>
    <mergeCell ref="CZ124:DC124"/>
    <mergeCell ref="DJ115:DM115"/>
    <mergeCell ref="CZ126:DC126"/>
    <mergeCell ref="N16:P16"/>
    <mergeCell ref="CP125:CS125"/>
    <mergeCell ref="CJ119:CN119"/>
    <mergeCell ref="N51:P51"/>
    <mergeCell ref="N43:P43"/>
    <mergeCell ref="F84:F85"/>
    <mergeCell ref="DD125:DH125"/>
    <mergeCell ref="DX6:EB6"/>
    <mergeCell ref="CF129:CI129"/>
    <mergeCell ref="CP120:CS120"/>
    <mergeCell ref="W20:CC23"/>
    <mergeCell ref="CF131:CI131"/>
    <mergeCell ref="E15:G15"/>
    <mergeCell ref="Q36:S39"/>
    <mergeCell ref="N67:P67"/>
    <mergeCell ref="CZ23:DC23"/>
    <mergeCell ref="Q127:S130"/>
    <mergeCell ref="DN27:DR27"/>
    <mergeCell ref="L96:L97"/>
    <mergeCell ref="CF60:CI60"/>
    <mergeCell ref="DX17:EB17"/>
    <mergeCell ref="H78:J78"/>
    <mergeCell ref="DT34:DW34"/>
    <mergeCell ref="CP50:CS50"/>
    <mergeCell ref="W48:CC51"/>
    <mergeCell ref="DN22:DR22"/>
    <mergeCell ref="H44:J44"/>
    <mergeCell ref="W4:CC7"/>
    <mergeCell ref="DX19:EB19"/>
    <mergeCell ref="E35:G35"/>
    <mergeCell ref="I108:I109"/>
    <mergeCell ref="O5:O6"/>
    <mergeCell ref="E28:G28"/>
    <mergeCell ref="CJ25:CN25"/>
    <mergeCell ref="DD23:DH23"/>
    <mergeCell ref="F5:F6"/>
    <mergeCell ref="E59:G59"/>
    <mergeCell ref="N82:P82"/>
    <mergeCell ref="O29:O30"/>
    <mergeCell ref="CF71:CI71"/>
    <mergeCell ref="O65:O66"/>
    <mergeCell ref="CP103:CS103"/>
    <mergeCell ref="Q52:S55"/>
    <mergeCell ref="DX72:EB72"/>
    <mergeCell ref="CZ94:DC94"/>
    <mergeCell ref="CF73:CI73"/>
    <mergeCell ref="H126:J126"/>
    <mergeCell ref="E56:G56"/>
    <mergeCell ref="CT16:CX16"/>
    <mergeCell ref="CJ27:CN27"/>
    <mergeCell ref="CT18:CX18"/>
    <mergeCell ref="CT104:CX104"/>
    <mergeCell ref="N12:P12"/>
    <mergeCell ref="W119:CC122"/>
    <mergeCell ref="O49:O50"/>
    <mergeCell ref="CT106:CX106"/>
    <mergeCell ref="CF101:CI101"/>
    <mergeCell ref="DX83:EB83"/>
    <mergeCell ref="CP116:CS116"/>
    <mergeCell ref="F21:F22"/>
    <mergeCell ref="B32:D35"/>
    <mergeCell ref="CT101:CX101"/>
    <mergeCell ref="DX84:EB84"/>
    <mergeCell ref="CP118:CS118"/>
    <mergeCell ref="E102:G102"/>
    <mergeCell ref="CJ99:CN99"/>
    <mergeCell ref="K24:M24"/>
    <mergeCell ref="CJ128:CN128"/>
    <mergeCell ref="E127:G127"/>
    <mergeCell ref="L61:L62"/>
    <mergeCell ref="DX13:EB13"/>
    <mergeCell ref="E4:G4"/>
    <mergeCell ref="DJ8:DM8"/>
    <mergeCell ref="T8:V11"/>
    <mergeCell ref="K51:M51"/>
    <mergeCell ref="DX15:EB15"/>
    <mergeCell ref="W127:CC130"/>
    <mergeCell ref="DJ10:DM10"/>
    <mergeCell ref="DN138:DR138"/>
    <mergeCell ref="DN9:DR9"/>
    <mergeCell ref="N78:P78"/>
    <mergeCell ref="DX41:EB41"/>
    <mergeCell ref="DD20:DH20"/>
    <mergeCell ref="DN11:DR11"/>
    <mergeCell ref="DX43:EB43"/>
    <mergeCell ref="DD22:DH22"/>
    <mergeCell ref="N79:P79"/>
    <mergeCell ref="DJ21:DM21"/>
    <mergeCell ref="E52:G52"/>
    <mergeCell ref="CZ32:DC32"/>
    <mergeCell ref="CF13:CI13"/>
    <mergeCell ref="F116:F117"/>
    <mergeCell ref="CT14:CX14"/>
    <mergeCell ref="T16:V19"/>
    <mergeCell ref="CT13:CX13"/>
    <mergeCell ref="DD4:DH4"/>
    <mergeCell ref="DN64:DR64"/>
    <mergeCell ref="CT43:CX43"/>
    <mergeCell ref="CT15:CX15"/>
    <mergeCell ref="DX54:EB54"/>
    <mergeCell ref="DD33:DH33"/>
    <mergeCell ref="K98:M98"/>
    <mergeCell ref="BZ140:CC140"/>
    <mergeCell ref="DT71:DW71"/>
    <mergeCell ref="DN65:DR65"/>
    <mergeCell ref="DX81:EB81"/>
    <mergeCell ref="DX56:EB56"/>
    <mergeCell ref="O76:O77"/>
    <mergeCell ref="T103:V106"/>
    <mergeCell ref="CJ51:CN51"/>
    <mergeCell ref="DT100:DW100"/>
    <mergeCell ref="DT66:DW66"/>
    <mergeCell ref="G137:J137"/>
    <mergeCell ref="DJ77:DM77"/>
    <mergeCell ref="CF28:CI28"/>
    <mergeCell ref="DX107:EB107"/>
    <mergeCell ref="DD86:DH86"/>
    <mergeCell ref="CF108:CI108"/>
    <mergeCell ref="K20:M20"/>
    <mergeCell ref="Q123:S126"/>
    <mergeCell ref="L57:L58"/>
    <mergeCell ref="CZ103:DC103"/>
    <mergeCell ref="K111:M111"/>
    <mergeCell ref="DN78:DR78"/>
    <mergeCell ref="W123:CC126"/>
    <mergeCell ref="DJ6:DM6"/>
    <mergeCell ref="B16:D19"/>
    <mergeCell ref="DX110:EB110"/>
    <mergeCell ref="CJ64:CN64"/>
    <mergeCell ref="K4:M4"/>
    <mergeCell ref="F61:F62"/>
    <mergeCell ref="CZ131:DC131"/>
    <mergeCell ref="CF110:CI110"/>
    <mergeCell ref="DN7:DR7"/>
    <mergeCell ref="DN129:DR129"/>
    <mergeCell ref="DD105:DH105"/>
    <mergeCell ref="DX120:EB120"/>
    <mergeCell ref="DT23:DW23"/>
    <mergeCell ref="T69:V70"/>
    <mergeCell ref="DX39:EB39"/>
    <mergeCell ref="DN131:DR131"/>
    <mergeCell ref="DJ17:DM17"/>
    <mergeCell ref="K35:M35"/>
    <mergeCell ref="DX121:EB121"/>
    <mergeCell ref="DT18:DW18"/>
    <mergeCell ref="CJ75:CN75"/>
    <mergeCell ref="CT141:CX141"/>
    <mergeCell ref="DJ19:DM19"/>
    <mergeCell ref="DX123:EB123"/>
    <mergeCell ref="DT26:DW26"/>
    <mergeCell ref="B64:D67"/>
    <mergeCell ref="DT9:DW9"/>
    <mergeCell ref="K59:M59"/>
    <mergeCell ref="CP29:CS29"/>
    <mergeCell ref="DN35:DR35"/>
    <mergeCell ref="DJ20:DM20"/>
    <mergeCell ref="L104:L105"/>
    <mergeCell ref="DN28:DR28"/>
    <mergeCell ref="DX50:EB50"/>
    <mergeCell ref="DD29:DH29"/>
    <mergeCell ref="DJ45:DM45"/>
    <mergeCell ref="H24:J24"/>
    <mergeCell ref="CP24:CS24"/>
    <mergeCell ref="DD39:DH39"/>
    <mergeCell ref="CZ21:DC21"/>
    <mergeCell ref="DN30:DR30"/>
    <mergeCell ref="DX52:EB52"/>
    <mergeCell ref="DD31:DH31"/>
    <mergeCell ref="I88:I89"/>
    <mergeCell ref="DJ53:DM53"/>
    <mergeCell ref="DJ47:DM47"/>
    <mergeCell ref="CP26:CS26"/>
    <mergeCell ref="L124:L125"/>
    <mergeCell ref="DT96:DW96"/>
    <mergeCell ref="DJ46:DM46"/>
    <mergeCell ref="T40:V43"/>
    <mergeCell ref="DT62:DW62"/>
    <mergeCell ref="DT37:DW37"/>
    <mergeCell ref="CZ16:DC16"/>
    <mergeCell ref="H55:J55"/>
    <mergeCell ref="DT98:DW98"/>
    <mergeCell ref="CJ7:CN7"/>
    <mergeCell ref="DJ48:DM48"/>
    <mergeCell ref="N69:P70"/>
    <mergeCell ref="B83:D86"/>
    <mergeCell ref="N115:P115"/>
    <mergeCell ref="CF24:CI24"/>
    <mergeCell ref="DJ63:DM63"/>
    <mergeCell ref="CP42:CS42"/>
    <mergeCell ref="DD57:DH57"/>
    <mergeCell ref="W40:CC43"/>
    <mergeCell ref="CF17:CI17"/>
    <mergeCell ref="Q32:S35"/>
    <mergeCell ref="CZ74:DC74"/>
    <mergeCell ref="CF53:CI53"/>
    <mergeCell ref="CT24:CX24"/>
    <mergeCell ref="DX63:EB63"/>
    <mergeCell ref="CF19:CI19"/>
    <mergeCell ref="CZ67:DC67"/>
    <mergeCell ref="DT88:DW88"/>
    <mergeCell ref="K107:M107"/>
    <mergeCell ref="DT124:DW124"/>
    <mergeCell ref="DN74:DR74"/>
    <mergeCell ref="B12:D15"/>
    <mergeCell ref="DT117:DW117"/>
    <mergeCell ref="CF50:CI50"/>
    <mergeCell ref="T87:V90"/>
    <mergeCell ref="CJ60:CN60"/>
    <mergeCell ref="DN76:DR76"/>
    <mergeCell ref="CT84:CX84"/>
    <mergeCell ref="I13:I14"/>
    <mergeCell ref="DT119:DW119"/>
    <mergeCell ref="CF79:CI79"/>
    <mergeCell ref="CT50:CX50"/>
    <mergeCell ref="DN101:DR101"/>
    <mergeCell ref="CT80:CX80"/>
    <mergeCell ref="N134:P134"/>
    <mergeCell ref="CF81:CI81"/>
    <mergeCell ref="CT52:CX52"/>
    <mergeCell ref="CP97:CS97"/>
    <mergeCell ref="CT79:CX79"/>
    <mergeCell ref="DN100:DR100"/>
    <mergeCell ref="DJ117:DM117"/>
    <mergeCell ref="CP96:CS96"/>
    <mergeCell ref="DT108:DW108"/>
    <mergeCell ref="CZ87:DC87"/>
    <mergeCell ref="DN102:DR102"/>
    <mergeCell ref="CT81:CX81"/>
    <mergeCell ref="DD103:DH103"/>
    <mergeCell ref="CP98:CS98"/>
    <mergeCell ref="H119:J119"/>
    <mergeCell ref="CF63:CI63"/>
    <mergeCell ref="DX119:EB119"/>
    <mergeCell ref="DT139:DW139"/>
    <mergeCell ref="CJ79:CN79"/>
    <mergeCell ref="CJ73:CN73"/>
    <mergeCell ref="DT2:EB3"/>
    <mergeCell ref="CZ113:DC113"/>
    <mergeCell ref="CF92:CI92"/>
    <mergeCell ref="DT51:DW51"/>
    <mergeCell ref="CT63:CX63"/>
    <mergeCell ref="DD129:DH129"/>
    <mergeCell ref="DD123:DH123"/>
    <mergeCell ref="DN120:DR120"/>
    <mergeCell ref="CF5:CI5"/>
    <mergeCell ref="CT99:CX99"/>
    <mergeCell ref="L100:L101"/>
    <mergeCell ref="CJ74:CN74"/>
    <mergeCell ref="CZ115:DC115"/>
    <mergeCell ref="DD131:DH131"/>
    <mergeCell ref="DN113:DR113"/>
    <mergeCell ref="CZ17:DC17"/>
    <mergeCell ref="DN26:DR26"/>
    <mergeCell ref="DJ130:DM130"/>
    <mergeCell ref="I84:I85"/>
    <mergeCell ref="DD124:DH124"/>
    <mergeCell ref="CF6:CI6"/>
    <mergeCell ref="DN140:DR140"/>
    <mergeCell ref="DN115:DR115"/>
    <mergeCell ref="CP22:CS22"/>
    <mergeCell ref="CZ19:DC19"/>
    <mergeCell ref="CZ141:DC141"/>
    <mergeCell ref="DJ132:DM132"/>
    <mergeCell ref="CP2:CX3"/>
    <mergeCell ref="DD126:DH126"/>
    <mergeCell ref="K60:M60"/>
    <mergeCell ref="CJ107:CN107"/>
    <mergeCell ref="CJ101:CN101"/>
    <mergeCell ref="DT33:DW33"/>
    <mergeCell ref="CZ12:DC12"/>
    <mergeCell ref="H51:J51"/>
    <mergeCell ref="DX18:EB18"/>
    <mergeCell ref="DT35:DW35"/>
    <mergeCell ref="CZ14:DC14"/>
    <mergeCell ref="B79:D82"/>
    <mergeCell ref="CJ92:CN92"/>
    <mergeCell ref="DD53:DH53"/>
    <mergeCell ref="W36:CC39"/>
    <mergeCell ref="CP48:CS48"/>
    <mergeCell ref="DT64:DW64"/>
    <mergeCell ref="DD55:DH55"/>
    <mergeCell ref="I112:I113"/>
    <mergeCell ref="CF2:CN3"/>
    <mergeCell ref="CZ38:DC38"/>
    <mergeCell ref="E32:G32"/>
    <mergeCell ref="CP33:CS33"/>
    <mergeCell ref="F96:F97"/>
    <mergeCell ref="CZ65:DC65"/>
    <mergeCell ref="CZ40:DC40"/>
    <mergeCell ref="DJ62:DM62"/>
    <mergeCell ref="DJ56:DM56"/>
    <mergeCell ref="H35:J35"/>
    <mergeCell ref="L108:L109"/>
    <mergeCell ref="T83:V86"/>
    <mergeCell ref="N86:P86"/>
    <mergeCell ref="CP51:CS51"/>
    <mergeCell ref="B107:D110"/>
    <mergeCell ref="CJ120:CN120"/>
    <mergeCell ref="CP66:CS66"/>
    <mergeCell ref="CF77:CI77"/>
    <mergeCell ref="H59:J59"/>
    <mergeCell ref="DX87:EB87"/>
    <mergeCell ref="DD66:DH66"/>
    <mergeCell ref="K131:M131"/>
    <mergeCell ref="CP67:CS67"/>
    <mergeCell ref="DJ82:DM82"/>
    <mergeCell ref="CP61:CS61"/>
    <mergeCell ref="DN98:DR98"/>
    <mergeCell ref="CT77:CX77"/>
    <mergeCell ref="DX89:EB89"/>
    <mergeCell ref="CZ93:DC93"/>
    <mergeCell ref="CF72:CI72"/>
    <mergeCell ref="H90:J90"/>
    <mergeCell ref="DX88:EB88"/>
    <mergeCell ref="T111:V114"/>
    <mergeCell ref="CJ42:CN42"/>
    <mergeCell ref="CZ84:DC84"/>
    <mergeCell ref="DJ119:DM119"/>
    <mergeCell ref="CF59:CI59"/>
    <mergeCell ref="CJ44:CN44"/>
    <mergeCell ref="DJ85:DM85"/>
    <mergeCell ref="CP64:CS64"/>
    <mergeCell ref="CZ109:DC109"/>
    <mergeCell ref="CF88:CI88"/>
    <mergeCell ref="Q103:S106"/>
    <mergeCell ref="DD94:DH94"/>
    <mergeCell ref="CF54:CI54"/>
    <mergeCell ref="CZ111:DC111"/>
    <mergeCell ref="CF90:CI90"/>
    <mergeCell ref="CT61:CX61"/>
    <mergeCell ref="DN109:DR109"/>
    <mergeCell ref="CP122:CS122"/>
    <mergeCell ref="CJ72:CN72"/>
    <mergeCell ref="I49:I50"/>
    <mergeCell ref="DN111:DR111"/>
    <mergeCell ref="CT90:CX90"/>
    <mergeCell ref="CZ112:DC112"/>
    <mergeCell ref="CZ106:DC106"/>
    <mergeCell ref="CF85:CI85"/>
    <mergeCell ref="DD122:DH122"/>
    <mergeCell ref="CT121:CX121"/>
    <mergeCell ref="CF116:CI116"/>
    <mergeCell ref="CT87:CX87"/>
    <mergeCell ref="Q87:S90"/>
    <mergeCell ref="CJ126:CN126"/>
    <mergeCell ref="CT123:CX123"/>
    <mergeCell ref="CF118:CI118"/>
    <mergeCell ref="N31:P31"/>
    <mergeCell ref="CT116:CX116"/>
    <mergeCell ref="N24:P24"/>
    <mergeCell ref="CP133:CS133"/>
    <mergeCell ref="W131:CC134"/>
    <mergeCell ref="O61:O62"/>
    <mergeCell ref="CT118:CX118"/>
    <mergeCell ref="DD140:DH140"/>
    <mergeCell ref="DJ25:DM25"/>
    <mergeCell ref="CZ36:DC36"/>
    <mergeCell ref="CJ116:CN116"/>
    <mergeCell ref="CT134:CX134"/>
    <mergeCell ref="T56:V59"/>
    <mergeCell ref="CJ139:CN139"/>
    <mergeCell ref="CJ111:CN111"/>
    <mergeCell ref="N44:P44"/>
    <mergeCell ref="DT16:DW16"/>
    <mergeCell ref="DX32:EB32"/>
    <mergeCell ref="CT48:CX48"/>
    <mergeCell ref="DJ27:DM27"/>
    <mergeCell ref="CF43:CI43"/>
    <mergeCell ref="CP65:CS65"/>
    <mergeCell ref="H86:J86"/>
    <mergeCell ref="T107:V110"/>
    <mergeCell ref="CZ69:DH70"/>
    <mergeCell ref="DT104:DW104"/>
    <mergeCell ref="E16:G16"/>
    <mergeCell ref="DX27:EB27"/>
    <mergeCell ref="CZ49:DC49"/>
    <mergeCell ref="DT106:DW106"/>
    <mergeCell ref="N95:P95"/>
    <mergeCell ref="CP60:CS60"/>
    <mergeCell ref="DT99:DW99"/>
    <mergeCell ref="DX58:EB58"/>
    <mergeCell ref="O9:O10"/>
    <mergeCell ref="CF25:CI25"/>
    <mergeCell ref="DT101:DW101"/>
    <mergeCell ref="CJ41:CN41"/>
    <mergeCell ref="CF61:CI61"/>
    <mergeCell ref="K69:M70"/>
    <mergeCell ref="N98:P98"/>
    <mergeCell ref="CF56:CI56"/>
    <mergeCell ref="DJ99:DM99"/>
    <mergeCell ref="CP78:CS78"/>
    <mergeCell ref="H99:J99"/>
    <mergeCell ref="N123:P123"/>
    <mergeCell ref="CF112:CI112"/>
    <mergeCell ref="DD21:DH21"/>
    <mergeCell ref="Q83:S86"/>
    <mergeCell ref="CT32:CX32"/>
    <mergeCell ref="CF114:CI114"/>
    <mergeCell ref="CT112:CX112"/>
    <mergeCell ref="L21:L22"/>
    <mergeCell ref="CF107:CI107"/>
    <mergeCell ref="N20:P20"/>
    <mergeCell ref="CP104:CS104"/>
    <mergeCell ref="O57:O58"/>
    <mergeCell ref="CT114:CX114"/>
    <mergeCell ref="CP106:CS106"/>
    <mergeCell ref="H127:J127"/>
    <mergeCell ref="W87:CC90"/>
    <mergeCell ref="E82:G82"/>
    <mergeCell ref="Q2:S3"/>
    <mergeCell ref="CF100:CI100"/>
    <mergeCell ref="CZ121:DC121"/>
    <mergeCell ref="F65:F66"/>
    <mergeCell ref="CP101:CS101"/>
    <mergeCell ref="CF125:CI125"/>
    <mergeCell ref="CF127:CI127"/>
    <mergeCell ref="K39:M39"/>
    <mergeCell ref="N40:P40"/>
    <mergeCell ref="DN6:DR6"/>
    <mergeCell ref="L76:L77"/>
    <mergeCell ref="CT127:CX127"/>
    <mergeCell ref="CP30:CS30"/>
    <mergeCell ref="CF128:CI128"/>
    <mergeCell ref="E12:G12"/>
    <mergeCell ref="N35:P35"/>
    <mergeCell ref="DT13:DW13"/>
    <mergeCell ref="F49:F50"/>
    <mergeCell ref="CZ134:DC134"/>
    <mergeCell ref="DT15:DW15"/>
    <mergeCell ref="W44:CC47"/>
    <mergeCell ref="F80:F81"/>
    <mergeCell ref="O132:O133"/>
    <mergeCell ref="DN17:DR17"/>
    <mergeCell ref="DX139:EB139"/>
    <mergeCell ref="K52:M52"/>
    <mergeCell ref="DN19:DR19"/>
    <mergeCell ref="DX16:EB16"/>
    <mergeCell ref="F104:F105"/>
    <mergeCell ref="DX51:EB51"/>
    <mergeCell ref="L88:L89"/>
    <mergeCell ref="CF52:CI52"/>
    <mergeCell ref="DX9:EB9"/>
    <mergeCell ref="DX11:EB11"/>
    <mergeCell ref="DD17:DH17"/>
    <mergeCell ref="Q69:S70"/>
    <mergeCell ref="DX67:EB67"/>
    <mergeCell ref="DD46:DH46"/>
    <mergeCell ref="DT136:EB137"/>
    <mergeCell ref="L17:L18"/>
    <mergeCell ref="CP41:CS41"/>
    <mergeCell ref="DD12:DH12"/>
    <mergeCell ref="N122:P122"/>
    <mergeCell ref="DJ64:DM64"/>
    <mergeCell ref="DX62:EB62"/>
    <mergeCell ref="B99:D102"/>
    <mergeCell ref="H123:J123"/>
    <mergeCell ref="N107:P107"/>
    <mergeCell ref="DX64:EB64"/>
    <mergeCell ref="CJ24:CN24"/>
    <mergeCell ref="DN63:DR63"/>
    <mergeCell ref="CJ26:CN26"/>
    <mergeCell ref="DD74:DH74"/>
    <mergeCell ref="CF34:CI34"/>
    <mergeCell ref="L45:L46"/>
    <mergeCell ref="DD76:DH76"/>
    <mergeCell ref="DJ75:DM75"/>
    <mergeCell ref="I29:I30"/>
    <mergeCell ref="Q131:S134"/>
    <mergeCell ref="N4:P4"/>
    <mergeCell ref="DN91:DR91"/>
    <mergeCell ref="W111:CC114"/>
    <mergeCell ref="E106:G106"/>
    <mergeCell ref="DX82:EB82"/>
    <mergeCell ref="H134:J134"/>
    <mergeCell ref="CZ86:DC86"/>
    <mergeCell ref="CF124:CI124"/>
    <mergeCell ref="DN93:DR93"/>
    <mergeCell ref="CP115:CS115"/>
    <mergeCell ref="E107:G107"/>
    <mergeCell ref="CT67:CX67"/>
    <mergeCell ref="CP136:CX137"/>
    <mergeCell ref="B24:D27"/>
    <mergeCell ref="DN117:DR117"/>
    <mergeCell ref="DX108:EB108"/>
    <mergeCell ref="O92:O93"/>
    <mergeCell ref="O128:O129"/>
    <mergeCell ref="Q115:S118"/>
    <mergeCell ref="K23:M23"/>
    <mergeCell ref="DX12:EB12"/>
    <mergeCell ref="F100:F101"/>
    <mergeCell ref="DJ7:DM7"/>
    <mergeCell ref="L84:L85"/>
    <mergeCell ref="DX7:EB7"/>
    <mergeCell ref="DT24:DW24"/>
    <mergeCell ref="H4:J4"/>
    <mergeCell ref="DX38:EB38"/>
    <mergeCell ref="CJ91:CN91"/>
    <mergeCell ref="CT82:CX82"/>
    <mergeCell ref="DN43:DR43"/>
    <mergeCell ref="CT22:CX22"/>
    <mergeCell ref="DD19:DH19"/>
    <mergeCell ref="DJ35:DM35"/>
    <mergeCell ref="CP39:CS39"/>
    <mergeCell ref="K67:M67"/>
    <mergeCell ref="L112:L113"/>
    <mergeCell ref="DN51:DR51"/>
    <mergeCell ref="CZ30:DC30"/>
    <mergeCell ref="DX33:EB33"/>
    <mergeCell ref="DN34:DR34"/>
    <mergeCell ref="CT9:CX9"/>
    <mergeCell ref="DX25:EB25"/>
    <mergeCell ref="H32:J32"/>
    <mergeCell ref="DT50:DW50"/>
    <mergeCell ref="CZ29:DC29"/>
    <mergeCell ref="DX60:EB60"/>
    <mergeCell ref="DX35:EB35"/>
    <mergeCell ref="DD14:DH14"/>
    <mergeCell ref="DT80:DW80"/>
    <mergeCell ref="CJ20:CN20"/>
    <mergeCell ref="DT52:DW52"/>
    <mergeCell ref="CZ31:DC31"/>
    <mergeCell ref="DT79:DW79"/>
    <mergeCell ref="CJ22:CN22"/>
    <mergeCell ref="CT4:CX4"/>
    <mergeCell ref="L41:L42"/>
    <mergeCell ref="DT81:DW81"/>
    <mergeCell ref="CJ15:CN15"/>
    <mergeCell ref="K87:M87"/>
    <mergeCell ref="CT12:CX12"/>
    <mergeCell ref="DD72:DH72"/>
    <mergeCell ref="CF7:CI7"/>
    <mergeCell ref="K95:M95"/>
    <mergeCell ref="T71:V74"/>
    <mergeCell ref="DD65:DH65"/>
    <mergeCell ref="DX86:EB86"/>
    <mergeCell ref="DN62:DR62"/>
    <mergeCell ref="DX122:EB122"/>
    <mergeCell ref="DN56:DR56"/>
    <mergeCell ref="N131:P131"/>
    <mergeCell ref="DJ79:DM79"/>
    <mergeCell ref="DJ73:DM73"/>
    <mergeCell ref="E51:G51"/>
    <mergeCell ref="BZ139:CC139"/>
    <mergeCell ref="CF89:CI89"/>
    <mergeCell ref="CJ48:CN48"/>
    <mergeCell ref="K90:M90"/>
    <mergeCell ref="DT63:DW63"/>
    <mergeCell ref="CT38:CX38"/>
    <mergeCell ref="B20:D23"/>
    <mergeCell ref="CJ33:CN33"/>
    <mergeCell ref="DJ74:DM74"/>
    <mergeCell ref="T95:V98"/>
    <mergeCell ref="DJ110:DM110"/>
    <mergeCell ref="CJ43:CN43"/>
    <mergeCell ref="K115:M115"/>
    <mergeCell ref="CT40:CX40"/>
    <mergeCell ref="DX104:EB104"/>
    <mergeCell ref="DD83:DH83"/>
    <mergeCell ref="DJ76:DM76"/>
    <mergeCell ref="CP84:CS84"/>
    <mergeCell ref="CJ34:CN34"/>
    <mergeCell ref="CZ100:DC100"/>
    <mergeCell ref="DX106:EB106"/>
    <mergeCell ref="DD85:DH85"/>
    <mergeCell ref="K19:M19"/>
    <mergeCell ref="CZ110:DC110"/>
    <mergeCell ref="DJ101:DM101"/>
    <mergeCell ref="CP80:CS80"/>
    <mergeCell ref="DX105:EB105"/>
    <mergeCell ref="DD84:DH84"/>
    <mergeCell ref="DX99:EB99"/>
    <mergeCell ref="CJ59:CN59"/>
    <mergeCell ref="DN75:DR75"/>
    <mergeCell ref="L49:L50"/>
    <mergeCell ref="DJ92:DM92"/>
    <mergeCell ref="DX101:EB101"/>
    <mergeCell ref="DD80:DH80"/>
    <mergeCell ref="B48:D51"/>
    <mergeCell ref="CJ61:CN61"/>
    <mergeCell ref="DD109:DH109"/>
    <mergeCell ref="CF105:CI105"/>
    <mergeCell ref="DD111:DH111"/>
    <mergeCell ref="CT122:CX122"/>
    <mergeCell ref="E118:G118"/>
    <mergeCell ref="CT105:CX105"/>
    <mergeCell ref="CP8:CS8"/>
    <mergeCell ref="DN128:DR128"/>
    <mergeCell ref="CP10:CS10"/>
    <mergeCell ref="CZ129:DC129"/>
    <mergeCell ref="DX29:EB29"/>
    <mergeCell ref="DD8:DH8"/>
    <mergeCell ref="CZ123:DC123"/>
    <mergeCell ref="DX31:EB31"/>
    <mergeCell ref="DD10:DH10"/>
    <mergeCell ref="DJ26:DM26"/>
    <mergeCell ref="CP5:CS5"/>
    <mergeCell ref="CJ105:CN105"/>
    <mergeCell ref="Q8:S11"/>
    <mergeCell ref="CT133:CX133"/>
    <mergeCell ref="DT77:DW77"/>
    <mergeCell ref="F112:F113"/>
    <mergeCell ref="DJ42:DM42"/>
    <mergeCell ref="E20:G20"/>
    <mergeCell ref="CP21:CS21"/>
    <mergeCell ref="DD36:DH36"/>
    <mergeCell ref="DD28:DH28"/>
    <mergeCell ref="CZ53:DC53"/>
    <mergeCell ref="CF32:CI32"/>
    <mergeCell ref="DJ44:DM44"/>
    <mergeCell ref="CP23:CS23"/>
    <mergeCell ref="DN60:DR60"/>
    <mergeCell ref="K86:M86"/>
    <mergeCell ref="CZ55:DC55"/>
    <mergeCell ref="H16:J16"/>
    <mergeCell ref="CT5:CX5"/>
    <mergeCell ref="Q28:S31"/>
    <mergeCell ref="DX44:EB44"/>
    <mergeCell ref="CJ4:CN4"/>
    <mergeCell ref="N59:P59"/>
    <mergeCell ref="T91:V94"/>
    <mergeCell ref="CJ39:CN39"/>
    <mergeCell ref="DN55:DR55"/>
    <mergeCell ref="CT36:CX36"/>
    <mergeCell ref="CT30:CX30"/>
    <mergeCell ref="DD54:DH54"/>
    <mergeCell ref="DJ72:DM72"/>
    <mergeCell ref="CF58:CI58"/>
    <mergeCell ref="DT90:DW90"/>
    <mergeCell ref="CP49:CS49"/>
    <mergeCell ref="CT65:CX65"/>
    <mergeCell ref="DD56:DH56"/>
    <mergeCell ref="H67:J67"/>
    <mergeCell ref="CF16:CI16"/>
    <mergeCell ref="CT31:CX31"/>
    <mergeCell ref="CP76:CS76"/>
    <mergeCell ref="H103:J103"/>
    <mergeCell ref="I9:I10"/>
    <mergeCell ref="DD49:DH49"/>
    <mergeCell ref="DN71:DR71"/>
    <mergeCell ref="DJ96:DM96"/>
    <mergeCell ref="K114:M114"/>
    <mergeCell ref="CF18:CI18"/>
    <mergeCell ref="CZ66:DC66"/>
    <mergeCell ref="DT87:DW87"/>
    <mergeCell ref="DX103:EB103"/>
    <mergeCell ref="DX97:EB97"/>
    <mergeCell ref="CJ57:CN57"/>
    <mergeCell ref="DJ98:DM98"/>
    <mergeCell ref="CP77:CS77"/>
    <mergeCell ref="H98:J98"/>
    <mergeCell ref="K99:M99"/>
    <mergeCell ref="DT116:DW116"/>
    <mergeCell ref="T119:V122"/>
    <mergeCell ref="DD107:DH107"/>
    <mergeCell ref="B4:D7"/>
    <mergeCell ref="DJ83:DM83"/>
    <mergeCell ref="CF42:CI42"/>
    <mergeCell ref="DT118:DW118"/>
    <mergeCell ref="CJ58:CN58"/>
    <mergeCell ref="CF103:CI103"/>
    <mergeCell ref="K130:M130"/>
    <mergeCell ref="CJ52:CN52"/>
    <mergeCell ref="CT49:CX49"/>
    <mergeCell ref="CF44:CI44"/>
    <mergeCell ref="H131:J131"/>
    <mergeCell ref="W91:CC94"/>
    <mergeCell ref="H87:J87"/>
    <mergeCell ref="I37:I38"/>
    <mergeCell ref="DD102:DH102"/>
    <mergeCell ref="O21:O22"/>
    <mergeCell ref="CT78:CX78"/>
    <mergeCell ref="DN99:DR99"/>
    <mergeCell ref="CF98:CI98"/>
    <mergeCell ref="DJ116:DM116"/>
    <mergeCell ref="CP95:CS95"/>
    <mergeCell ref="DD110:DH110"/>
    <mergeCell ref="DT134:DW134"/>
    <mergeCell ref="DJ109:DM109"/>
    <mergeCell ref="K127:M127"/>
    <mergeCell ref="H82:J82"/>
    <mergeCell ref="DJ139:DM139"/>
    <mergeCell ref="DX116:EB116"/>
    <mergeCell ref="N11:P11"/>
    <mergeCell ref="F29:F30"/>
    <mergeCell ref="T2:V3"/>
    <mergeCell ref="CJ114:CN114"/>
    <mergeCell ref="DJ111:DM111"/>
    <mergeCell ref="DJ2:DR3"/>
    <mergeCell ref="I65:I66"/>
    <mergeCell ref="CP90:CS90"/>
    <mergeCell ref="CT129:CX129"/>
    <mergeCell ref="CZ122:DC122"/>
    <mergeCell ref="DT48:DW48"/>
    <mergeCell ref="DD120:DH120"/>
    <mergeCell ref="DJ140:DM140"/>
    <mergeCell ref="CP121:CS121"/>
    <mergeCell ref="DT14:DW14"/>
    <mergeCell ref="CJ71:CN71"/>
    <mergeCell ref="CT131:CX131"/>
    <mergeCell ref="CF126:CI126"/>
    <mergeCell ref="N39:P39"/>
    <mergeCell ref="DD121:DH121"/>
    <mergeCell ref="E99:G99"/>
    <mergeCell ref="L92:L93"/>
    <mergeCell ref="CZ138:DC138"/>
    <mergeCell ref="CZ132:DC132"/>
    <mergeCell ref="H12:J12"/>
    <mergeCell ref="CZ9:DC9"/>
    <mergeCell ref="H48:J48"/>
    <mergeCell ref="CZ140:DC140"/>
    <mergeCell ref="DJ41:DM41"/>
    <mergeCell ref="CT113:CX113"/>
    <mergeCell ref="H43:J43"/>
    <mergeCell ref="T64:V67"/>
    <mergeCell ref="CP45:CS45"/>
    <mergeCell ref="CP134:CS134"/>
    <mergeCell ref="CP47:CS47"/>
    <mergeCell ref="H74:J74"/>
    <mergeCell ref="W28:CC31"/>
    <mergeCell ref="CF139:CI139"/>
    <mergeCell ref="CP46:CS46"/>
    <mergeCell ref="DD134:DH134"/>
    <mergeCell ref="CZ37:DC37"/>
    <mergeCell ref="E31:G31"/>
    <mergeCell ref="DD47:DH47"/>
    <mergeCell ref="I104:I105"/>
    <mergeCell ref="DT32:DW32"/>
    <mergeCell ref="DT112:DW112"/>
    <mergeCell ref="CF38:CI38"/>
    <mergeCell ref="DT114:DW114"/>
    <mergeCell ref="CF40:CI40"/>
    <mergeCell ref="CF67:CI67"/>
    <mergeCell ref="DN36:DR36"/>
    <mergeCell ref="W56:CC59"/>
    <mergeCell ref="O17:O18"/>
    <mergeCell ref="CT76:CX76"/>
    <mergeCell ref="H122:J122"/>
    <mergeCell ref="CP59:CS59"/>
    <mergeCell ref="K123:M123"/>
    <mergeCell ref="E44:G44"/>
    <mergeCell ref="CP86:CS86"/>
    <mergeCell ref="DT125:DW125"/>
    <mergeCell ref="N8:P8"/>
    <mergeCell ref="CP117:CS117"/>
    <mergeCell ref="DT127:DW127"/>
    <mergeCell ref="O45:O46"/>
    <mergeCell ref="CF87:CI87"/>
    <mergeCell ref="CP119:CS119"/>
    <mergeCell ref="DX79:EB79"/>
    <mergeCell ref="DD117:DH117"/>
    <mergeCell ref="W75:CC78"/>
    <mergeCell ref="L29:L30"/>
    <mergeCell ref="CP112:CS112"/>
    <mergeCell ref="CF82:CI82"/>
    <mergeCell ref="DD119:DH119"/>
    <mergeCell ref="F9:F10"/>
    <mergeCell ref="CJ94:CN94"/>
    <mergeCell ref="CP114:CS114"/>
    <mergeCell ref="CF113:CI113"/>
    <mergeCell ref="B69:D70"/>
    <mergeCell ref="CJ129:CN129"/>
    <mergeCell ref="CJ123:CN123"/>
    <mergeCell ref="DJ120:DM120"/>
    <mergeCell ref="E98:G98"/>
    <mergeCell ref="CJ95:CN95"/>
    <mergeCell ref="CJ89:CN89"/>
    <mergeCell ref="CJ97:CN97"/>
    <mergeCell ref="CP130:CS130"/>
    <mergeCell ref="CJ124:CN124"/>
    <mergeCell ref="CT115:CX115"/>
    <mergeCell ref="CF141:CI141"/>
    <mergeCell ref="N23:P23"/>
    <mergeCell ref="CP132:CS132"/>
    <mergeCell ref="DD130:DH130"/>
    <mergeCell ref="I100:I101"/>
    <mergeCell ref="CZ35:DC35"/>
    <mergeCell ref="CJ113:CN113"/>
    <mergeCell ref="CP127:CS127"/>
    <mergeCell ref="N74:P74"/>
    <mergeCell ref="CJ108:CN108"/>
    <mergeCell ref="W52:CC55"/>
    <mergeCell ref="W60:CC63"/>
    <mergeCell ref="I120:I121"/>
    <mergeCell ref="DX24:EB24"/>
    <mergeCell ref="CP57:CS57"/>
    <mergeCell ref="CT10:CX10"/>
    <mergeCell ref="T99:V102"/>
    <mergeCell ref="CT39:CX39"/>
    <mergeCell ref="Q56:S59"/>
    <mergeCell ref="O41:O42"/>
    <mergeCell ref="DD30:DH30"/>
    <mergeCell ref="N87:P87"/>
    <mergeCell ref="W71:CC74"/>
    <mergeCell ref="DT67:DW67"/>
    <mergeCell ref="DX77:EB77"/>
    <mergeCell ref="O72:O73"/>
    <mergeCell ref="F132:F133"/>
    <mergeCell ref="E67:G67"/>
    <mergeCell ref="CJ32:CN32"/>
    <mergeCell ref="CT29:CX29"/>
    <mergeCell ref="CT23:CX23"/>
    <mergeCell ref="K106:M106"/>
    <mergeCell ref="CF104:CI104"/>
    <mergeCell ref="Q119:S122"/>
    <mergeCell ref="DN79:DR79"/>
    <mergeCell ref="Q75:S78"/>
    <mergeCell ref="DN73:DR73"/>
    <mergeCell ref="DX95:EB95"/>
    <mergeCell ref="L53:L54"/>
    <mergeCell ref="CF106:CI106"/>
    <mergeCell ref="N19:P19"/>
    <mergeCell ref="CJ122:CN122"/>
    <mergeCell ref="DX96:EB96"/>
    <mergeCell ref="DJ91:DM91"/>
    <mergeCell ref="DD100:DH100"/>
    <mergeCell ref="F57:F58"/>
    <mergeCell ref="K36:M36"/>
    <mergeCell ref="DN92:DR92"/>
    <mergeCell ref="DN5:DR5"/>
    <mergeCell ref="DX124:EB124"/>
    <mergeCell ref="DX118:EB118"/>
    <mergeCell ref="K31:M31"/>
    <mergeCell ref="DJ15:DM15"/>
    <mergeCell ref="DT12:DW12"/>
    <mergeCell ref="DX22:EB22"/>
    <mergeCell ref="DX134:EB134"/>
    <mergeCell ref="DT7:DW7"/>
    <mergeCell ref="DX46:EB46"/>
    <mergeCell ref="DN16:DR16"/>
    <mergeCell ref="H20:J20"/>
    <mergeCell ref="CP20:CS20"/>
    <mergeCell ref="DT38:DW38"/>
    <mergeCell ref="CZ11:DC11"/>
    <mergeCell ref="DJ33:DM33"/>
    <mergeCell ref="DX48:EB48"/>
    <mergeCell ref="DD27:DH27"/>
    <mergeCell ref="DN18:DR18"/>
    <mergeCell ref="DJ43:DM43"/>
    <mergeCell ref="DJ34:DM34"/>
    <mergeCell ref="CP9:CS9"/>
    <mergeCell ref="K75:M75"/>
    <mergeCell ref="W64:CC67"/>
    <mergeCell ref="DJ136:DR137"/>
    <mergeCell ref="DN42:DR42"/>
    <mergeCell ref="N111:P111"/>
    <mergeCell ref="CF20:CI20"/>
    <mergeCell ref="DJ59:DM59"/>
    <mergeCell ref="CJ5:CN5"/>
    <mergeCell ref="CP38:CS38"/>
    <mergeCell ref="DD9:DH9"/>
    <mergeCell ref="DN44:DR44"/>
    <mergeCell ref="N119:P119"/>
    <mergeCell ref="DD45:DH45"/>
    <mergeCell ref="O25:O26"/>
    <mergeCell ref="CP4:CS4"/>
    <mergeCell ref="CT20:CX20"/>
    <mergeCell ref="CP40:CS40"/>
    <mergeCell ref="DD11:DH11"/>
    <mergeCell ref="DX59:EB59"/>
    <mergeCell ref="CF15:CI15"/>
    <mergeCell ref="K103:M103"/>
    <mergeCell ref="CZ72:DC72"/>
    <mergeCell ref="CF51:CI51"/>
    <mergeCell ref="DJ54:DM54"/>
    <mergeCell ref="L9:L10"/>
    <mergeCell ref="CP92:CS92"/>
    <mergeCell ref="N114:P114"/>
    <mergeCell ref="DX61:EB61"/>
    <mergeCell ref="B8:D11"/>
    <mergeCell ref="DT122:DW122"/>
    <mergeCell ref="DT78:DW78"/>
    <mergeCell ref="H69:J70"/>
    <mergeCell ref="DN72:DR72"/>
    <mergeCell ref="CP94:CS94"/>
    <mergeCell ref="CT46:CX46"/>
    <mergeCell ref="DD37:DH37"/>
    <mergeCell ref="CJ16:CN16"/>
    <mergeCell ref="Q99:S102"/>
    <mergeCell ref="DD98:DH98"/>
    <mergeCell ref="N130:P130"/>
    <mergeCell ref="CF33:CI33"/>
    <mergeCell ref="CJ18:CN18"/>
    <mergeCell ref="DN88:DR88"/>
    <mergeCell ref="L37:L38"/>
    <mergeCell ref="CZ83:DC83"/>
    <mergeCell ref="DX114:EB114"/>
    <mergeCell ref="DD93:DH93"/>
    <mergeCell ref="DN90:DR90"/>
    <mergeCell ref="CZ85:DC85"/>
    <mergeCell ref="DT133:DW133"/>
    <mergeCell ref="I21:I22"/>
    <mergeCell ref="DN83:DR83"/>
    <mergeCell ref="CJ103:CN103"/>
    <mergeCell ref="W2:CC3"/>
    <mergeCell ref="CT66:CX66"/>
    <mergeCell ref="L65:L66"/>
    <mergeCell ref="CJ77:CN77"/>
    <mergeCell ref="CT59:CX59"/>
    <mergeCell ref="CJ98:CN98"/>
    <mergeCell ref="DN141:DR141"/>
    <mergeCell ref="DN116:DR116"/>
    <mergeCell ref="CT95:CX95"/>
    <mergeCell ref="DT39:DW39"/>
    <mergeCell ref="CT89:CX89"/>
    <mergeCell ref="DX132:EB132"/>
    <mergeCell ref="DT5:DW5"/>
    <mergeCell ref="K55:M55"/>
    <mergeCell ref="N56:P56"/>
    <mergeCell ref="CT97:CX97"/>
    <mergeCell ref="CZ13:DC13"/>
    <mergeCell ref="DJ4:DM4"/>
    <mergeCell ref="O120:O121"/>
    <mergeCell ref="DJ39:DM39"/>
    <mergeCell ref="DX133:EB133"/>
    <mergeCell ref="DX127:EB127"/>
    <mergeCell ref="CZ15:DC15"/>
    <mergeCell ref="DT30:DW30"/>
    <mergeCell ref="K40:M40"/>
    <mergeCell ref="CJ87:CN87"/>
    <mergeCell ref="DN13:DR13"/>
    <mergeCell ref="DJ128:DM128"/>
    <mergeCell ref="DX4:EB4"/>
    <mergeCell ref="DT29:DW29"/>
    <mergeCell ref="CZ8:DC8"/>
    <mergeCell ref="DT65:DW65"/>
    <mergeCell ref="K71:M71"/>
    <mergeCell ref="DN38:DR38"/>
    <mergeCell ref="DT31:DW31"/>
    <mergeCell ref="CZ10:DC10"/>
    <mergeCell ref="DT58:DW58"/>
    <mergeCell ref="CJ88:CN88"/>
    <mergeCell ref="CZ25:DC25"/>
    <mergeCell ref="DN40:DR40"/>
    <mergeCell ref="CJ90:CN90"/>
    <mergeCell ref="DT60:DW60"/>
    <mergeCell ref="DD138:DH138"/>
    <mergeCell ref="DD132:DH132"/>
    <mergeCell ref="DJ57:DM57"/>
    <mergeCell ref="CP36:CS36"/>
    <mergeCell ref="DD51:DH51"/>
    <mergeCell ref="K74:M74"/>
    <mergeCell ref="CF22:CI22"/>
    <mergeCell ref="DN41:DR41"/>
    <mergeCell ref="N110:P110"/>
    <mergeCell ref="E2:G3"/>
    <mergeCell ref="DJ58:DM58"/>
    <mergeCell ref="DJ52:DM52"/>
    <mergeCell ref="CP31:CS31"/>
    <mergeCell ref="H31:J31"/>
    <mergeCell ref="DT49:DW49"/>
    <mergeCell ref="CZ28:DC28"/>
    <mergeCell ref="T79:V82"/>
    <mergeCell ref="B87:D90"/>
    <mergeCell ref="DD67:DH67"/>
    <mergeCell ref="DJ60:DM60"/>
    <mergeCell ref="DT42:DW42"/>
    <mergeCell ref="H60:J60"/>
    <mergeCell ref="B95:D98"/>
    <mergeCell ref="CJ12:CN12"/>
    <mergeCell ref="DT44:DW44"/>
    <mergeCell ref="CF29:CI29"/>
    <mergeCell ref="CF4:CI4"/>
    <mergeCell ref="CJ14:CN14"/>
    <mergeCell ref="DD62:DH62"/>
    <mergeCell ref="DJ55:DM55"/>
    <mergeCell ref="DN59:DR59"/>
    <mergeCell ref="L33:L34"/>
    <mergeCell ref="CZ79:DC79"/>
    <mergeCell ref="CZ54:DC54"/>
    <mergeCell ref="DX85:EB85"/>
    <mergeCell ref="DD64:DH64"/>
    <mergeCell ref="DJ80:DM80"/>
    <mergeCell ref="CZ81:DC81"/>
    <mergeCell ref="CZ56:DC56"/>
    <mergeCell ref="DT129:DW129"/>
    <mergeCell ref="B115:D118"/>
    <mergeCell ref="CJ38:CN38"/>
    <mergeCell ref="DN54:DR54"/>
    <mergeCell ref="DJ71:DM71"/>
    <mergeCell ref="DT131:DW131"/>
    <mergeCell ref="E43:G43"/>
    <mergeCell ref="Q64:S67"/>
    <mergeCell ref="DN81:DR81"/>
    <mergeCell ref="CJ40:CN40"/>
    <mergeCell ref="CT62:CX62"/>
    <mergeCell ref="CZ76:DC76"/>
    <mergeCell ref="CF84:CI84"/>
    <mergeCell ref="CP75:CS75"/>
    <mergeCell ref="E131:G131"/>
    <mergeCell ref="DN112:DR112"/>
    <mergeCell ref="CT91:CX91"/>
    <mergeCell ref="DD82:DH82"/>
    <mergeCell ref="DT126:DW126"/>
    <mergeCell ref="K138:M138"/>
    <mergeCell ref="CZ107:DC107"/>
    <mergeCell ref="CF86:CI86"/>
    <mergeCell ref="CT57:CX57"/>
    <mergeCell ref="CT93:CX93"/>
    <mergeCell ref="DD75:DH75"/>
    <mergeCell ref="DT113:DW113"/>
    <mergeCell ref="CZ92:DC92"/>
    <mergeCell ref="DN107:DR107"/>
    <mergeCell ref="CT86:CX86"/>
    <mergeCell ref="CZ102:DC102"/>
    <mergeCell ref="I53:I54"/>
    <mergeCell ref="CT117:CX117"/>
    <mergeCell ref="E69:G70"/>
    <mergeCell ref="CZ6:DC6"/>
    <mergeCell ref="CJ84:CN84"/>
    <mergeCell ref="CT119:CX119"/>
    <mergeCell ref="E115:G115"/>
    <mergeCell ref="CT75:CX75"/>
    <mergeCell ref="N27:P27"/>
    <mergeCell ref="CJ86:CN86"/>
    <mergeCell ref="CJ80:CN80"/>
    <mergeCell ref="DN125:DR125"/>
    <mergeCell ref="CP129:CS129"/>
    <mergeCell ref="CZ120:DC120"/>
    <mergeCell ref="CF99:CI99"/>
    <mergeCell ref="DN127:DR127"/>
    <mergeCell ref="CP131:CS131"/>
    <mergeCell ref="DX28:EB28"/>
    <mergeCell ref="DJ23:DM23"/>
    <mergeCell ref="DN39:DR39"/>
    <mergeCell ref="CJ112:CN112"/>
    <mergeCell ref="CT130:CX130"/>
    <mergeCell ref="T52:V55"/>
    <mergeCell ref="CJ141:CN141"/>
    <mergeCell ref="DT40:DW40"/>
    <mergeCell ref="CT132:CX132"/>
    <mergeCell ref="DT76:DW76"/>
    <mergeCell ref="W16:CC19"/>
    <mergeCell ref="DJ51:DM51"/>
    <mergeCell ref="CZ50:DC50"/>
    <mergeCell ref="DD35:DH35"/>
    <mergeCell ref="CP55:CS55"/>
    <mergeCell ref="K83:M83"/>
    <mergeCell ref="CZ52:DC52"/>
    <mergeCell ref="CF31:CI31"/>
    <mergeCell ref="DN50:DR50"/>
    <mergeCell ref="L120:L121"/>
    <mergeCell ref="CT25:CX25"/>
    <mergeCell ref="CZ45:DC45"/>
    <mergeCell ref="B119:D122"/>
    <mergeCell ref="DT102:DW102"/>
    <mergeCell ref="E39:G39"/>
    <mergeCell ref="CJ36:CN36"/>
    <mergeCell ref="Q136:S136"/>
    <mergeCell ref="CZ47:DC47"/>
    <mergeCell ref="CF26:CI26"/>
    <mergeCell ref="DT95:DW95"/>
    <mergeCell ref="CJ125:CN125"/>
    <mergeCell ref="CJ127:CN127"/>
    <mergeCell ref="DT97:DW97"/>
    <mergeCell ref="CF57:CI57"/>
    <mergeCell ref="CT28:CX28"/>
    <mergeCell ref="CP73:CS73"/>
    <mergeCell ref="CF23:CI23"/>
    <mergeCell ref="CZ63:DC63"/>
    <mergeCell ref="DJ95:DM95"/>
    <mergeCell ref="CP74:CS74"/>
    <mergeCell ref="DJ89:DM89"/>
    <mergeCell ref="H95:J95"/>
    <mergeCell ref="I132:I133"/>
    <mergeCell ref="DD104:DH104"/>
    <mergeCell ref="DJ97:DM97"/>
    <mergeCell ref="DJ124:DM124"/>
    <mergeCell ref="Q79:S82"/>
    <mergeCell ref="DT115:DW115"/>
    <mergeCell ref="CJ49:CN49"/>
    <mergeCell ref="CZ91:DC91"/>
    <mergeCell ref="DJ126:DM126"/>
    <mergeCell ref="BW139:BY139"/>
    <mergeCell ref="E83:G83"/>
    <mergeCell ref="DD99:DH99"/>
    <mergeCell ref="N106:P106"/>
    <mergeCell ref="DT141:DW141"/>
    <mergeCell ref="B127:D130"/>
    <mergeCell ref="CZ116:DC116"/>
    <mergeCell ref="O53:O54"/>
    <mergeCell ref="CF95:CI95"/>
    <mergeCell ref="CT110:CX110"/>
    <mergeCell ref="DD101:DH101"/>
    <mergeCell ref="CP102:CS102"/>
    <mergeCell ref="CZ118:DC118"/>
    <mergeCell ref="CF97:CI97"/>
    <mergeCell ref="W83:CC86"/>
    <mergeCell ref="E78:G78"/>
    <mergeCell ref="E114:G114"/>
    <mergeCell ref="H115:J115"/>
    <mergeCell ref="CZ117:DC117"/>
    <mergeCell ref="CF96:CI96"/>
    <mergeCell ref="DJ108:DM108"/>
    <mergeCell ref="E86:G86"/>
    <mergeCell ref="CP87:CS87"/>
    <mergeCell ref="Q107:S110"/>
    <mergeCell ref="H27:J27"/>
    <mergeCell ref="T48:V51"/>
    <mergeCell ref="CZ119:DC119"/>
    <mergeCell ref="CT128:CX128"/>
    <mergeCell ref="W12:CC15"/>
    <mergeCell ref="CF123:CI123"/>
    <mergeCell ref="N36:P36"/>
    <mergeCell ref="L72:L73"/>
    <mergeCell ref="O100:O101"/>
    <mergeCell ref="CP138:CS138"/>
    <mergeCell ref="CP113:CS113"/>
    <mergeCell ref="K2:M3"/>
    <mergeCell ref="CF136:CN137"/>
    <mergeCell ref="E8:G8"/>
    <mergeCell ref="CZ139:DC139"/>
    <mergeCell ref="CP140:CS140"/>
    <mergeCell ref="CZ130:DC130"/>
    <mergeCell ref="CJ121:CN121"/>
    <mergeCell ref="DN20:DR20"/>
    <mergeCell ref="N64:P64"/>
    <mergeCell ref="F76:F77"/>
    <mergeCell ref="CF134:CI134"/>
    <mergeCell ref="DT93:DW93"/>
    <mergeCell ref="CP44:CS44"/>
    <mergeCell ref="K48:M48"/>
    <mergeCell ref="CF55:CI55"/>
    <mergeCell ref="DN15:DR15"/>
    <mergeCell ref="CP37:CS37"/>
    <mergeCell ref="CT53:CX53"/>
    <mergeCell ref="DD44:DH44"/>
    <mergeCell ref="CF48:CI48"/>
    <mergeCell ref="F92:F93"/>
    <mergeCell ref="CT55:CX55"/>
    <mergeCell ref="I128:I129"/>
    <mergeCell ref="E23:G23"/>
    <mergeCell ref="Q44:S47"/>
    <mergeCell ref="N75:P75"/>
    <mergeCell ref="CJ134:CN134"/>
    <mergeCell ref="CF37:CI37"/>
    <mergeCell ref="DN33:DR33"/>
    <mergeCell ref="N102:P102"/>
    <mergeCell ref="L13:L14"/>
    <mergeCell ref="B123:D126"/>
    <mergeCell ref="DX65:EB65"/>
    <mergeCell ref="CF66:CI66"/>
    <mergeCell ref="CZ89:DC89"/>
    <mergeCell ref="W79:CC82"/>
    <mergeCell ref="N103:P103"/>
    <mergeCell ref="I25:I26"/>
    <mergeCell ref="DN87:DR87"/>
    <mergeCell ref="E110:G110"/>
    <mergeCell ref="CZ82:DC82"/>
    <mergeCell ref="DN89:DR89"/>
    <mergeCell ref="H106:J106"/>
    <mergeCell ref="CF119:CI119"/>
    <mergeCell ref="N7:P7"/>
    <mergeCell ref="O96:O97"/>
    <mergeCell ref="CP109:CS109"/>
    <mergeCell ref="W107:CC110"/>
    <mergeCell ref="DX78:EB78"/>
    <mergeCell ref="H130:J130"/>
    <mergeCell ref="O37:O38"/>
    <mergeCell ref="CT94:CX94"/>
    <mergeCell ref="W99:CC102"/>
    <mergeCell ref="E94:G94"/>
    <mergeCell ref="K122:M122"/>
    <mergeCell ref="CP111:CS111"/>
    <mergeCell ref="DX80:EB80"/>
    <mergeCell ref="CF122:CI122"/>
    <mergeCell ref="E95:G95"/>
    <mergeCell ref="F45:F46"/>
    <mergeCell ref="N60:P60"/>
    <mergeCell ref="F72:F73"/>
    <mergeCell ref="DN105:DR105"/>
    <mergeCell ref="O124:O125"/>
    <mergeCell ref="Q111:S114"/>
    <mergeCell ref="CF138:CI138"/>
    <mergeCell ref="CF132:CI132"/>
    <mergeCell ref="DX8:EB8"/>
    <mergeCell ref="N55:P55"/>
    <mergeCell ref="DX10:EB10"/>
    <mergeCell ref="CF133:CI133"/>
    <mergeCell ref="E123:G123"/>
    <mergeCell ref="DJ5:DM5"/>
    <mergeCell ref="B40:D43"/>
    <mergeCell ref="H64:J64"/>
    <mergeCell ref="DT20:DW20"/>
    <mergeCell ref="N71:P71"/>
    <mergeCell ref="DX5:EB5"/>
    <mergeCell ref="O108:O109"/>
    <mergeCell ref="DD13:DH13"/>
    <mergeCell ref="DN29:DR29"/>
    <mergeCell ref="DN4:DR4"/>
    <mergeCell ref="DT22:DW22"/>
    <mergeCell ref="DD15:DH15"/>
    <mergeCell ref="DX30:EB30"/>
    <mergeCell ref="DN31:DR31"/>
    <mergeCell ref="DN24:DR24"/>
    <mergeCell ref="DX21:EB21"/>
    <mergeCell ref="DT46:DW46"/>
    <mergeCell ref="E134:G134"/>
    <mergeCell ref="DJ16:DM16"/>
    <mergeCell ref="H2:J3"/>
    <mergeCell ref="DN32:DR32"/>
    <mergeCell ref="E47:G47"/>
    <mergeCell ref="CT7:CX7"/>
    <mergeCell ref="DX23:EB23"/>
    <mergeCell ref="CZ27:DC27"/>
    <mergeCell ref="DJ18:DM18"/>
    <mergeCell ref="DN57:DR57"/>
    <mergeCell ref="CT8:CX8"/>
    <mergeCell ref="E63:G63"/>
    <mergeCell ref="K91:M91"/>
    <mergeCell ref="DN58:DR58"/>
    <mergeCell ref="W103:CC106"/>
    <mergeCell ref="DN52:DR52"/>
    <mergeCell ref="DX74:EB74"/>
    <mergeCell ref="DX49:EB49"/>
    <mergeCell ref="O33:O34"/>
    <mergeCell ref="BW136:CC137"/>
    <mergeCell ref="DX76:EB76"/>
    <mergeCell ref="DT59:DW59"/>
    <mergeCell ref="DT89:DW89"/>
    <mergeCell ref="CJ29:CN29"/>
    <mergeCell ref="F41:F42"/>
    <mergeCell ref="DT61:DW61"/>
    <mergeCell ref="CJ31:CN31"/>
    <mergeCell ref="DD79:DH79"/>
    <mergeCell ref="DX100:EB100"/>
    <mergeCell ref="CT21:CX21"/>
    <mergeCell ref="DX102:EB102"/>
    <mergeCell ref="DD81:DH81"/>
    <mergeCell ref="E122:G122"/>
    <mergeCell ref="K15:M15"/>
    <mergeCell ref="DN96:DR96"/>
    <mergeCell ref="DX131:EB131"/>
    <mergeCell ref="DJ88:DM88"/>
    <mergeCell ref="F25:F26"/>
    <mergeCell ref="B36:D39"/>
    <mergeCell ref="T75:V78"/>
    <mergeCell ref="DJ90:DM90"/>
    <mergeCell ref="DX113:EB113"/>
    <mergeCell ref="DD92:DH92"/>
    <mergeCell ref="DN124:DR124"/>
    <mergeCell ref="CT103:CX103"/>
    <mergeCell ref="CP6:CS6"/>
    <mergeCell ref="DX115:EB115"/>
    <mergeCell ref="K28:M28"/>
    <mergeCell ref="DN126:DR126"/>
    <mergeCell ref="E130:G130"/>
    <mergeCell ref="DJ12:DM12"/>
    <mergeCell ref="T12:V15"/>
    <mergeCell ref="DD6:DH6"/>
    <mergeCell ref="DJ14:DM14"/>
    <mergeCell ref="CT92:CX92"/>
    <mergeCell ref="DJ13:DM13"/>
    <mergeCell ref="DT4:DW4"/>
    <mergeCell ref="DX14:EB14"/>
    <mergeCell ref="CJ96:CN96"/>
    <mergeCell ref="T36:V39"/>
    <mergeCell ref="DJ38:DM38"/>
    <mergeCell ref="CP17:CS17"/>
    <mergeCell ref="K56:M56"/>
    <mergeCell ref="CT6:CX6"/>
    <mergeCell ref="H11:J11"/>
    <mergeCell ref="DX45:EB45"/>
    <mergeCell ref="DD24:DH24"/>
    <mergeCell ref="DD18:DH18"/>
    <mergeCell ref="DJ40:DM40"/>
    <mergeCell ref="CP19:CS19"/>
    <mergeCell ref="H19:J19"/>
    <mergeCell ref="CZ41:DC41"/>
    <mergeCell ref="B75:D78"/>
    <mergeCell ref="DX47:EB47"/>
    <mergeCell ref="DD26:DH26"/>
    <mergeCell ref="CZ51:DC51"/>
    <mergeCell ref="DN139:DR139"/>
    <mergeCell ref="CZ34:DC34"/>
    <mergeCell ref="DT91:DW91"/>
    <mergeCell ref="Q24:S27"/>
    <mergeCell ref="DX40:EB40"/>
    <mergeCell ref="CT60:CX60"/>
    <mergeCell ref="DT57:DW57"/>
    <mergeCell ref="DT84:DW84"/>
    <mergeCell ref="F120:F121"/>
    <mergeCell ref="DD50:DH50"/>
    <mergeCell ref="DN66:DR66"/>
    <mergeCell ref="B103:D106"/>
    <mergeCell ref="DT86:DW86"/>
    <mergeCell ref="CF46:CI46"/>
    <mergeCell ref="DD16:DH16"/>
    <mergeCell ref="CT17:CX17"/>
    <mergeCell ref="DX98:EB98"/>
    <mergeCell ref="DD77:DH77"/>
    <mergeCell ref="CT11:CX11"/>
    <mergeCell ref="DD52:DH52"/>
    <mergeCell ref="CF12:CI12"/>
    <mergeCell ref="K94:M94"/>
    <mergeCell ref="CT19:CX19"/>
    <mergeCell ref="DN67:DR67"/>
    <mergeCell ref="CF14:CI14"/>
    <mergeCell ref="CZ62:DC62"/>
    <mergeCell ref="CF41:CI41"/>
    <mergeCell ref="DJ84:DM84"/>
    <mergeCell ref="K102:M102"/>
    <mergeCell ref="DX93:EB93"/>
    <mergeCell ref="BW141:BY141"/>
    <mergeCell ref="DT75:DW75"/>
    <mergeCell ref="CJ53:CN53"/>
    <mergeCell ref="CT44:CX44"/>
    <mergeCell ref="CZ64:DC64"/>
    <mergeCell ref="DJ86:DM86"/>
    <mergeCell ref="L132:L133"/>
    <mergeCell ref="CJ55:CN55"/>
    <mergeCell ref="DN94:DR94"/>
    <mergeCell ref="CT73:CX73"/>
    <mergeCell ref="B131:D134"/>
    <mergeCell ref="CT45:CX45"/>
    <mergeCell ref="DD88:DH88"/>
    <mergeCell ref="DD63:DH63"/>
    <mergeCell ref="DJ81:DM81"/>
    <mergeCell ref="O104:O105"/>
    <mergeCell ref="CT47:CX47"/>
    <mergeCell ref="DN95:DR95"/>
    <mergeCell ref="CT74:CX74"/>
    <mergeCell ref="DX117:EB117"/>
    <mergeCell ref="DD96:DH96"/>
    <mergeCell ref="DX111:EB111"/>
    <mergeCell ref="DD90:DH90"/>
    <mergeCell ref="DJ112:DM112"/>
    <mergeCell ref="CP91:CS91"/>
    <mergeCell ref="DN122:DR122"/>
    <mergeCell ref="DN97:DR97"/>
    <mergeCell ref="DT130:DW130"/>
    <mergeCell ref="B60:D63"/>
    <mergeCell ref="DJ105:DM105"/>
    <mergeCell ref="DT43:DW43"/>
    <mergeCell ref="CP93:CS93"/>
    <mergeCell ref="DJ141:DM141"/>
    <mergeCell ref="CZ75:DC75"/>
    <mergeCell ref="H114:J114"/>
    <mergeCell ref="DD91:DH91"/>
    <mergeCell ref="DX112:EB112"/>
    <mergeCell ref="DT132:DW132"/>
    <mergeCell ref="CJ66:CN66"/>
    <mergeCell ref="DN82:DR82"/>
    <mergeCell ref="DJ107:DM107"/>
    <mergeCell ref="DX141:EB141"/>
    <mergeCell ref="DD116:DH116"/>
    <mergeCell ref="Q91:S94"/>
    <mergeCell ref="CJ67:CN67"/>
    <mergeCell ref="T32:V35"/>
    <mergeCell ref="DD118:DH118"/>
    <mergeCell ref="CP13:CS13"/>
    <mergeCell ref="CZ4:DC4"/>
    <mergeCell ref="DN133:DR133"/>
    <mergeCell ref="DN108:DR108"/>
    <mergeCell ref="DJ36:DM36"/>
    <mergeCell ref="CP15:CS15"/>
    <mergeCell ref="H15:J15"/>
    <mergeCell ref="DX130:EB130"/>
    <mergeCell ref="B71:D74"/>
    <mergeCell ref="N2:P3"/>
    <mergeCell ref="DJ125:DM125"/>
    <mergeCell ref="H8:J8"/>
    <mergeCell ref="Q20:S23"/>
    <mergeCell ref="DJ127:DM127"/>
    <mergeCell ref="DX125:EB125"/>
    <mergeCell ref="DT28:DW28"/>
    <mergeCell ref="CZ7:DC7"/>
    <mergeCell ref="CF140:CI140"/>
    <mergeCell ref="DT69:EB70"/>
    <mergeCell ref="DN37:DR37"/>
    <mergeCell ref="CT138:CX138"/>
    <mergeCell ref="H39:J39"/>
    <mergeCell ref="T60:V63"/>
    <mergeCell ref="K63:M63"/>
    <mergeCell ref="I76:I77"/>
    <mergeCell ref="DD48:DH48"/>
    <mergeCell ref="CF8:CI8"/>
    <mergeCell ref="CT140:CX140"/>
    <mergeCell ref="CP43:CS43"/>
    <mergeCell ref="W24:CC27"/>
    <mergeCell ref="N48:P48"/>
    <mergeCell ref="CZ58:DC58"/>
    <mergeCell ref="CP34:CS34"/>
    <mergeCell ref="W32:CC35"/>
    <mergeCell ref="DJ49:DM49"/>
    <mergeCell ref="E27:G27"/>
    <mergeCell ref="CP28:CS28"/>
    <mergeCell ref="H28:J28"/>
    <mergeCell ref="DD43:DH43"/>
    <mergeCell ref="Q48:S51"/>
    <mergeCell ref="I92:I93"/>
    <mergeCell ref="CZ60:DC60"/>
    <mergeCell ref="CF39:CI39"/>
    <mergeCell ref="CJ138:CN138"/>
    <mergeCell ref="I5:I6"/>
    <mergeCell ref="L128:L129"/>
    <mergeCell ref="CJ9:CN9"/>
    <mergeCell ref="BZ141:CC141"/>
    <mergeCell ref="DJ50:DM50"/>
    <mergeCell ref="DT110:DW110"/>
    <mergeCell ref="H23:J23"/>
    <mergeCell ref="T44:V47"/>
    <mergeCell ref="CP25:CS25"/>
    <mergeCell ref="CT41:CX41"/>
    <mergeCell ref="CJ11:CN11"/>
    <mergeCell ref="DD59:DH59"/>
    <mergeCell ref="CJ133:CN133"/>
    <mergeCell ref="CP54:CS54"/>
    <mergeCell ref="O13:O14"/>
    <mergeCell ref="DD61:DH61"/>
    <mergeCell ref="CF65:CI65"/>
    <mergeCell ref="K126:M126"/>
    <mergeCell ref="CF21:CI21"/>
    <mergeCell ref="CP62:CS62"/>
    <mergeCell ref="H56:J56"/>
    <mergeCell ref="CP56:CS56"/>
    <mergeCell ref="CZ78:DC78"/>
    <mergeCell ref="H83:J83"/>
    <mergeCell ref="CT72:CX72"/>
    <mergeCell ref="K119:M119"/>
    <mergeCell ref="DT92:DW92"/>
    <mergeCell ref="CZ71:DC71"/>
    <mergeCell ref="H110:J110"/>
    <mergeCell ref="T131:V134"/>
    <mergeCell ref="DT128:DW128"/>
    <mergeCell ref="E40:G40"/>
    <mergeCell ref="CP69:CX70"/>
    <mergeCell ref="CJ37:CN37"/>
    <mergeCell ref="DJ103:DM103"/>
    <mergeCell ref="CZ73:DC73"/>
    <mergeCell ref="DT121:DW121"/>
    <mergeCell ref="CT88:CX88"/>
    <mergeCell ref="I17:I18"/>
    <mergeCell ref="DT123:DW123"/>
    <mergeCell ref="CZ104:DC104"/>
    <mergeCell ref="CF83:CI83"/>
    <mergeCell ref="CT54:CX54"/>
    <mergeCell ref="DD114:DH114"/>
    <mergeCell ref="CJ93:CN93"/>
    <mergeCell ref="CF49:CI49"/>
    <mergeCell ref="CJ65:CN65"/>
    <mergeCell ref="K137:M137"/>
    <mergeCell ref="CT56:CX56"/>
    <mergeCell ref="DN104:DR104"/>
    <mergeCell ref="CT83:CX83"/>
    <mergeCell ref="CZ105:DC105"/>
    <mergeCell ref="CZ99:DC99"/>
    <mergeCell ref="CF78:CI78"/>
    <mergeCell ref="DJ121:DM121"/>
    <mergeCell ref="CP100:CS100"/>
    <mergeCell ref="K139:M139"/>
    <mergeCell ref="DN106:DR106"/>
    <mergeCell ref="CT85:CX85"/>
    <mergeCell ref="CP110:CS110"/>
    <mergeCell ref="L80:L81"/>
    <mergeCell ref="B44:D47"/>
    <mergeCell ref="CZ101:DC101"/>
    <mergeCell ref="CF80:CI80"/>
    <mergeCell ref="DJ123:DM123"/>
    <mergeCell ref="I45:I46"/>
    <mergeCell ref="CT109:CX109"/>
    <mergeCell ref="CJ83:CN83"/>
    <mergeCell ref="DT53:DW53"/>
    <mergeCell ref="DJ118:DM118"/>
    <mergeCell ref="I72:I73"/>
    <mergeCell ref="K8:M8"/>
    <mergeCell ref="CT111:CX111"/>
    <mergeCell ref="DT55:DW55"/>
    <mergeCell ref="DD133:DH133"/>
    <mergeCell ref="DD127:DH127"/>
    <mergeCell ref="CP128:CS128"/>
    <mergeCell ref="F33:F34"/>
    <mergeCell ref="CJ78:CN78"/>
    <mergeCell ref="I96:I97"/>
    <mergeCell ref="DJ134:DM134"/>
    <mergeCell ref="DD128:DH128"/>
    <mergeCell ref="CJ109:CN109"/>
    <mergeCell ref="CF10:CI10"/>
    <mergeCell ref="CP123:CS123"/>
    <mergeCell ref="Q4:S7"/>
    <mergeCell ref="CJ104:CN104"/>
    <mergeCell ref="CJ140:CN140"/>
    <mergeCell ref="CJ106:CN106"/>
    <mergeCell ref="CP58:CS58"/>
    <mergeCell ref="H52:J52"/>
    <mergeCell ref="CP52:CS52"/>
    <mergeCell ref="H79:J79"/>
    <mergeCell ref="I116:I117"/>
    <mergeCell ref="DX20:EB20"/>
    <mergeCell ref="CZ42:DC42"/>
    <mergeCell ref="E36:G36"/>
    <mergeCell ref="E11:G11"/>
    <mergeCell ref="CP53:CS53"/>
    <mergeCell ref="H47:J47"/>
    <mergeCell ref="CZ44:DC44"/>
    <mergeCell ref="CJ35:CN35"/>
    <mergeCell ref="B2:D3"/>
    <mergeCell ref="N90:P90"/>
    <mergeCell ref="B111:D114"/>
    <mergeCell ref="DT94:DW94"/>
    <mergeCell ref="N83:P83"/>
    <mergeCell ref="CF45:CI45"/>
    <mergeCell ref="Q60:S63"/>
    <mergeCell ref="CJ30:CN30"/>
    <mergeCell ref="CP63:CS63"/>
    <mergeCell ref="H63:J63"/>
    <mergeCell ref="N91:P91"/>
    <mergeCell ref="CZ95:DC95"/>
    <mergeCell ref="CF74:CI74"/>
    <mergeCell ref="CP71:CS71"/>
    <mergeCell ref="E64:G64"/>
    <mergeCell ref="F128:F129"/>
    <mergeCell ref="CZ97:DC97"/>
    <mergeCell ref="CF76:CI76"/>
    <mergeCell ref="H94:J94"/>
    <mergeCell ref="T115:V118"/>
    <mergeCell ref="DJ87:DM87"/>
    <mergeCell ref="I41:I42"/>
    <mergeCell ref="CZ98:DC98"/>
    <mergeCell ref="O84:O85"/>
    <mergeCell ref="Q71:S74"/>
    <mergeCell ref="DX91:EB91"/>
    <mergeCell ref="CT107:CX107"/>
    <mergeCell ref="O80:O81"/>
    <mergeCell ref="CF102:CI102"/>
    <mergeCell ref="N15:P15"/>
    <mergeCell ref="CP124:CS124"/>
    <mergeCell ref="CF94:CI94"/>
    <mergeCell ref="E75:G75"/>
    <mergeCell ref="CP126:CS126"/>
    <mergeCell ref="CZ108:DC108"/>
    <mergeCell ref="CZ136:DH137"/>
    <mergeCell ref="CJ46:CN46"/>
    <mergeCell ref="CT125:CX125"/>
    <mergeCell ref="E103:G103"/>
    <mergeCell ref="F53:F54"/>
    <mergeCell ref="CJ100:CN100"/>
    <mergeCell ref="CF120:CI120"/>
    <mergeCell ref="K32:M32"/>
    <mergeCell ref="CJ102:CN102"/>
    <mergeCell ref="CT120:CX120"/>
    <mergeCell ref="CF121:CI121"/>
    <mergeCell ref="CF115:CI115"/>
    <mergeCell ref="K27:M27"/>
    <mergeCell ref="N28:P28"/>
    <mergeCell ref="CJ131:CN131"/>
    <mergeCell ref="E7:G7"/>
    <mergeCell ref="CP139:CS139"/>
    <mergeCell ref="DT8:DW8"/>
    <mergeCell ref="F37:F38"/>
    <mergeCell ref="DT10:DW10"/>
    <mergeCell ref="K16:M16"/>
    <mergeCell ref="DN12:DR12"/>
    <mergeCell ref="DX34:EB34"/>
    <mergeCell ref="K11:M11"/>
    <mergeCell ref="CJ115:CN115"/>
    <mergeCell ref="DJ29:DM29"/>
    <mergeCell ref="K47:M47"/>
    <mergeCell ref="DN14:DR14"/>
    <mergeCell ref="E60:G60"/>
    <mergeCell ref="DX36:EB36"/>
    <mergeCell ref="F124:F125"/>
    <mergeCell ref="DJ31:DM31"/>
    <mergeCell ref="CF47:CI47"/>
    <mergeCell ref="DJ24:DM24"/>
    <mergeCell ref="T24:V27"/>
    <mergeCell ref="DT21:DW21"/>
    <mergeCell ref="DJ32:DM32"/>
    <mergeCell ref="N99:P99"/>
    <mergeCell ref="DD41:DH41"/>
    <mergeCell ref="DJ114:DM114"/>
    <mergeCell ref="DD7:DH7"/>
    <mergeCell ref="DD34:DH34"/>
    <mergeCell ref="CP89:CS89"/>
    <mergeCell ref="DN25:DR25"/>
    <mergeCell ref="E71:G71"/>
    <mergeCell ref="N94:P94"/>
    <mergeCell ref="DX57:EB57"/>
    <mergeCell ref="CJ17:CN17"/>
    <mergeCell ref="E79:G79"/>
    <mergeCell ref="H118:J118"/>
    <mergeCell ref="DT103:DW103"/>
    <mergeCell ref="N127:P127"/>
    <mergeCell ref="E74:G74"/>
    <mergeCell ref="Q95:S98"/>
    <mergeCell ref="CT34:CX34"/>
    <mergeCell ref="G138:J138"/>
    <mergeCell ref="DD25:DH25"/>
    <mergeCell ref="DN84:DR84"/>
    <mergeCell ref="DX75:EB75"/>
    <mergeCell ref="CF117:CI117"/>
    <mergeCell ref="L25:L26"/>
    <mergeCell ref="CF111:CI111"/>
    <mergeCell ref="DN86:DR86"/>
    <mergeCell ref="CP108:CS108"/>
    <mergeCell ref="DN80:DR80"/>
    <mergeCell ref="DT6:DW6"/>
    <mergeCell ref="I80:I81"/>
    <mergeCell ref="E87:G87"/>
    <mergeCell ref="DX128:EB128"/>
    <mergeCell ref="DN8:DR8"/>
    <mergeCell ref="N52:P52"/>
    <mergeCell ref="K43:M43"/>
    <mergeCell ref="O116:O117"/>
    <mergeCell ref="DN10:DR10"/>
    <mergeCell ref="DX129:EB129"/>
    <mergeCell ref="O88:O89"/>
    <mergeCell ref="CF130:CI130"/>
    <mergeCell ref="CZ5:DC5"/>
    <mergeCell ref="T20:V23"/>
    <mergeCell ref="CJ85:CN85"/>
    <mergeCell ref="DT17:DW17"/>
    <mergeCell ref="DT11:DW11"/>
    <mergeCell ref="DT27:DW27"/>
    <mergeCell ref="DJ22:DM22"/>
    <mergeCell ref="DT19:DW19"/>
    <mergeCell ref="N63:P63"/>
    <mergeCell ref="CP32:CS32"/>
    <mergeCell ref="W69:CC70"/>
    <mergeCell ref="DN21:DR21"/>
    <mergeCell ref="K64:M64"/>
    <mergeCell ref="DX53:EB53"/>
    <mergeCell ref="DD32:DH32"/>
    <mergeCell ref="CJ13:CN13"/>
    <mergeCell ref="DN23:DR23"/>
    <mergeCell ref="CP27:CS27"/>
    <mergeCell ref="DT45:DW45"/>
    <mergeCell ref="CZ24:DC24"/>
    <mergeCell ref="CZ18:DC18"/>
    <mergeCell ref="F108:F109"/>
    <mergeCell ref="DX55:EB55"/>
    <mergeCell ref="L5:L6"/>
    <mergeCell ref="DT47:DW47"/>
    <mergeCell ref="CZ26:DC26"/>
    <mergeCell ref="DT74:DW74"/>
    <mergeCell ref="B91:D94"/>
    <mergeCell ref="CJ8:CN8"/>
    <mergeCell ref="CJ10:CN10"/>
    <mergeCell ref="DD58:DH58"/>
    <mergeCell ref="K82:M82"/>
    <mergeCell ref="G136:J136"/>
    <mergeCell ref="DN49:DR49"/>
    <mergeCell ref="DX71:EB71"/>
    <mergeCell ref="N118:P118"/>
    <mergeCell ref="DJ66:DM66"/>
    <mergeCell ref="DD60:DH60"/>
    <mergeCell ref="N126:P126"/>
    <mergeCell ref="DX73:EB73"/>
    <mergeCell ref="CZ77:DC77"/>
    <mergeCell ref="DX66:EB66"/>
    <mergeCell ref="E126:G126"/>
    <mergeCell ref="DJ67:DM67"/>
    <mergeCell ref="K110:M110"/>
    <mergeCell ref="DJ61:DM61"/>
    <mergeCell ref="H40:J40"/>
    <mergeCell ref="DT83:DW83"/>
    <mergeCell ref="DN77:DR77"/>
    <mergeCell ref="CJ28:CN28"/>
    <mergeCell ref="DD42:DH42"/>
    <mergeCell ref="CJ21:CN21"/>
    <mergeCell ref="DD78:DH78"/>
    <mergeCell ref="K12:M12"/>
    <mergeCell ref="DJ94:DM94"/>
    <mergeCell ref="DN110:DR110"/>
    <mergeCell ref="CJ23:CN23"/>
    <mergeCell ref="DD71:DH71"/>
    <mergeCell ref="DX92:EB92"/>
    <mergeCell ref="O112:O113"/>
    <mergeCell ref="K136:M136"/>
    <mergeCell ref="CZ88:DC88"/>
    <mergeCell ref="DN103:DR103"/>
    <mergeCell ref="I33:I34"/>
    <mergeCell ref="DD73:DH73"/>
    <mergeCell ref="DX94:EB94"/>
    <mergeCell ref="K7:M7"/>
    <mergeCell ref="CJ54:CN54"/>
    <mergeCell ref="W115:CC118"/>
    <mergeCell ref="CZ96:DC96"/>
    <mergeCell ref="CZ90:DC90"/>
    <mergeCell ref="DT138:DW138"/>
    <mergeCell ref="CJ81:CN81"/>
    <mergeCell ref="DT140:DW140"/>
    <mergeCell ref="E111:G111"/>
    <mergeCell ref="CT71:CX71"/>
    <mergeCell ref="CJ110:CN110"/>
    <mergeCell ref="B28:D31"/>
    <mergeCell ref="CJ76:CN76"/>
    <mergeCell ref="DN121:DR121"/>
    <mergeCell ref="CT100:CX100"/>
    <mergeCell ref="DJ138:DM138"/>
    <mergeCell ref="I61:I62"/>
    <mergeCell ref="DN123:DR123"/>
    <mergeCell ref="CT102:CX102"/>
    <mergeCell ref="DJ9:DM9"/>
    <mergeCell ref="DX138:EB138"/>
    <mergeCell ref="DT41:DW41"/>
    <mergeCell ref="CZ20:DC20"/>
    <mergeCell ref="DJ11:DM11"/>
    <mergeCell ref="DX26:EB26"/>
    <mergeCell ref="DD5:DH5"/>
    <mergeCell ref="DJ133:DM133"/>
    <mergeCell ref="F17:F18"/>
    <mergeCell ref="DN118:DR118"/>
    <mergeCell ref="DX140:EB140"/>
    <mergeCell ref="CZ22:DC22"/>
    <mergeCell ref="T4:V7"/>
    <mergeCell ref="B56:D59"/>
    <mergeCell ref="CZ2:DH3"/>
    <mergeCell ref="DT36:DW36"/>
    <mergeCell ref="DT72:DW72"/>
    <mergeCell ref="CJ6:CN6"/>
    <mergeCell ref="K78:M78"/>
    <mergeCell ref="DN45:DR45"/>
    <mergeCell ref="DX42:EB42"/>
    <mergeCell ref="CZ46:DC46"/>
    <mergeCell ref="DN134:DR134"/>
    <mergeCell ref="DJ37:DM37"/>
    <mergeCell ref="CP16:CS16"/>
    <mergeCell ref="DN53:DR53"/>
    <mergeCell ref="DN47:DR47"/>
    <mergeCell ref="K79:M79"/>
    <mergeCell ref="CZ48:DC48"/>
    <mergeCell ref="CF27:CI27"/>
    <mergeCell ref="DD139:DH139"/>
    <mergeCell ref="DN46:DR46"/>
    <mergeCell ref="CP18:CS18"/>
    <mergeCell ref="L116:L117"/>
    <mergeCell ref="DX37:EB37"/>
    <mergeCell ref="H36:J36"/>
    <mergeCell ref="CP11:CS11"/>
    <mergeCell ref="DT54:DW54"/>
    <mergeCell ref="CZ33:DC33"/>
    <mergeCell ref="DN48:DR48"/>
    <mergeCell ref="CT27:CX27"/>
    <mergeCell ref="DJ93:DM93"/>
    <mergeCell ref="CZ43:DC43"/>
    <mergeCell ref="DJ65:DM65"/>
    <mergeCell ref="DT56:DW56"/>
    <mergeCell ref="Q16:S19"/>
    <mergeCell ref="CT58:CX58"/>
    <mergeCell ref="CF9:CI9"/>
    <mergeCell ref="DT85:DW85"/>
    <mergeCell ref="CJ19:CN19"/>
    <mergeCell ref="CF11:CI11"/>
    <mergeCell ref="CT26:CX26"/>
    <mergeCell ref="CZ59:DC59"/>
    <mergeCell ref="DX90:EB90"/>
    <mergeCell ref="BW138:BY138"/>
    <mergeCell ref="CJ50:CN50"/>
    <mergeCell ref="DX126:EB126"/>
    <mergeCell ref="DT82:DW82"/>
    <mergeCell ref="CZ61:DC61"/>
    <mergeCell ref="H91:J91"/>
    <mergeCell ref="DT109:DW109"/>
    <mergeCell ref="E55:G55"/>
    <mergeCell ref="BW140:BY140"/>
    <mergeCell ref="CP72:CS72"/>
    <mergeCell ref="DT111:DW111"/>
    <mergeCell ref="E48:G48"/>
    <mergeCell ref="CJ45:CN45"/>
    <mergeCell ref="DN61:DR61"/>
    <mergeCell ref="CT42:CX42"/>
    <mergeCell ref="DJ122:DM122"/>
  </mergeCells>
  <dataValidations count="7">
    <dataValidation sqref="Q4:S67 Q71:S134" showDropDown="0" showInputMessage="1" showErrorMessage="1" allowBlank="1" type="list">
      <formula1>$Q$137:$Q$141</formula1>
    </dataValidation>
    <dataValidation sqref="K4:M4" showDropDown="0" showInputMessage="1" showErrorMessage="1" allowBlank="1" type="custom">
      <formula1>AND(K4&gt;=$K$136,K4&lt;=$K$137)+AND(K4&gt;=$K$138,K4&lt;=$K$139)</formula1>
    </dataValidation>
    <dataValidation sqref="K7:M67 K71:M134" showDropDown="0" showInputMessage="1" showErrorMessage="1" allowBlank="1" error="時間外のみ記載してください。" type="custom">
      <formula1>AND(K7&gt;=$K$136,K7&lt;=$K$137)+AND(K7&gt;=$K$138,K7&lt;=$K$139)</formula1>
    </dataValidation>
    <dataValidation sqref="K5:M6" showDropDown="0" showInputMessage="1" showErrorMessage="1" allowBlank="1" type="custom">
      <formula1>AND(K1048514&gt;=$K$136,K1048514&lt;=$K$137)+AND(K1048514&gt;=$K$138,K1048514&lt;=$K$139)</formula1>
    </dataValidation>
    <dataValidation sqref="H4:J4 H8:J8 H12:J12 H16:J16 H20:J20 H24:J24 H28:J28 H32:J32 H36:J36 H40:J40 H44:J44 H48:J48 H52:J52 H56:J56 H60:J60 H64:J64 H71:J71 H75:J75 H79:J79 H83:J83 H87:J87 H91:J91 H95:J95 H99:J99 H103:J103 H107:J107 H111:J111 H115:J115 H119:J119 H123:J123 H127:J127 H131:J131" showDropDown="0" showInputMessage="1" showErrorMessage="1" allowBlank="1" error="8時以前は時間外に記入してください。" type="time">
      <formula1>0.333333333333333</formula1>
      <formula2>0.708333333333333</formula2>
    </dataValidation>
    <dataValidation sqref="H7:J7 H11:J11 H15:J15 H19:J19 H23:J23 H27:J27 H31:J31 H35:J35 H39:J39 H43:J43 H47:J47 H51:J51 H55:J55 H59:J59 H63:J63 H67:J68 H74:J74 H78:J78 H82:J82 H86:J86 H90:J90 H94:J94 H98:J98 H102:J102 H106:J106 H110:J110 H114:J114 H118:J118 H122:J122 H126:J126 H130:J130 H134:J135" showDropDown="0" showInputMessage="1" showErrorMessage="1" allowBlank="1" error="17時以降は時間外に記入してください。" type="time">
      <formula1>0.333333333333333</formula1>
      <formula2>0.708333333333333</formula2>
    </dataValidation>
    <dataValidation sqref="Q68:S68 Q135:S135" showDropDown="0" showInputMessage="1" showErrorMessage="1" allowBlank="1" type="list">
      <formula1>$Q$137:$Q$139</formula1>
    </dataValidation>
  </dataValidations>
  <pageMargins left="0.3149606299212598" right="0.1181102362204725" top="0.3149606299212598" bottom="0" header="0.1968503937007874" footer="0.1968503937007874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B141"/>
  <sheetViews>
    <sheetView showZeros="0" zoomScaleNormal="100" workbookViewId="0">
      <pane xSplit="1" ySplit="3" topLeftCell="B4" activePane="bottomRight" state="frozen"/>
      <selection activeCell="E35" sqref="E35:G35 E32:G32"/>
      <selection pane="topRight" activeCell="E35" sqref="E35:G35 E32:G32"/>
      <selection pane="bottomLeft" activeCell="E35" sqref="E35:G35 E32:G32"/>
      <selection pane="bottomRight" activeCell="B2" sqref="B2:CC3"/>
    </sheetView>
  </sheetViews>
  <sheetFormatPr baseColWidth="8" defaultRowHeight="18.75"/>
  <cols>
    <col width="1.625" customWidth="1" style="1" min="1" max="1"/>
    <col width="3.375" customWidth="1" style="1" min="2" max="2"/>
    <col width="1.625" customWidth="1" style="1" min="3" max="5"/>
    <col width="2.375" customWidth="1" style="1" min="6" max="6"/>
    <col width="2.125" customWidth="1" style="1" min="7" max="7"/>
    <col width="1.625" customWidth="1" style="1" min="8" max="8"/>
    <col width="2.375" customWidth="1" style="1" min="9" max="9"/>
    <col width="2.125" customWidth="1" style="1" min="10" max="10"/>
    <col width="1.625" customWidth="1" style="1" min="11" max="11"/>
    <col width="2.375" customWidth="1" style="1" min="12" max="12"/>
    <col width="2.125" customWidth="1" style="1" min="13" max="13"/>
    <col width="1.625" customWidth="1" style="1" min="14" max="14"/>
    <col width="2.375" customWidth="1" style="1" min="15" max="15"/>
    <col width="2.125" customWidth="1" style="1" min="16" max="16"/>
    <col width="1.875" customWidth="1" style="1" min="17" max="18"/>
    <col width="2.375" customWidth="1" style="1" min="19" max="19"/>
    <col width="1.875" customWidth="1" style="1" min="20" max="21"/>
    <col width="2.375" customWidth="1" style="1" min="22" max="22"/>
    <col width="1.625" customWidth="1" style="1" min="23" max="24"/>
    <col width="3.375" customWidth="1" style="1" min="25" max="25"/>
    <col width="1.125" customWidth="1" style="1" min="26" max="30"/>
    <col width="1.625" customWidth="1" style="1" min="31" max="49"/>
    <col width="3.375" customWidth="1" style="1" min="50" max="50"/>
    <col width="1.625" customWidth="1" style="1" min="51" max="64"/>
    <col width="3.375" customWidth="1" style="1" min="65" max="65"/>
    <col width="1.625" customWidth="1" style="1" min="66" max="75"/>
    <col width="3.375" customWidth="1" style="1" min="76" max="76"/>
    <col width="1.625" customWidth="1" style="1" min="77" max="78"/>
    <col width="1.75" customWidth="1" style="1" min="79" max="85"/>
    <col width="1.625" customWidth="1" style="1" min="86" max="132"/>
    <col width="4.125" customWidth="1" style="1" min="133" max="184"/>
    <col width="9" customWidth="1" style="1" min="185" max="16384"/>
  </cols>
  <sheetData>
    <row r="1" ht="9.949999999999999" customHeight="1" s="337"/>
    <row r="2" ht="14.1" customHeight="1" s="337">
      <c r="B2" s="355" t="inlineStr">
        <is>
          <t>月／日</t>
        </is>
      </c>
      <c r="C2" s="342" t="n"/>
      <c r="D2" s="356" t="n"/>
      <c r="E2" s="357" t="inlineStr">
        <is>
          <t>移 動</t>
        </is>
      </c>
      <c r="F2" s="342" t="n"/>
      <c r="G2" s="356" t="n"/>
      <c r="H2" s="358" t="inlineStr">
        <is>
          <t>作業内　(平日)</t>
        </is>
      </c>
      <c r="I2" s="342" t="n"/>
      <c r="J2" s="356" t="n"/>
      <c r="K2" s="358" t="inlineStr">
        <is>
          <t>作業外　(平日)</t>
        </is>
      </c>
      <c r="L2" s="342" t="n"/>
      <c r="M2" s="356" t="n"/>
      <c r="N2" s="357" t="inlineStr">
        <is>
          <t>休日</t>
        </is>
      </c>
      <c r="O2" s="342" t="n"/>
      <c r="P2" s="356" t="n"/>
      <c r="Q2" s="359" t="inlineStr">
        <is>
          <t>作業者</t>
        </is>
      </c>
      <c r="R2" s="342" t="n"/>
      <c r="S2" s="356" t="n"/>
      <c r="T2" s="359" t="inlineStr">
        <is>
          <t>場  所</t>
        </is>
      </c>
      <c r="U2" s="342" t="n"/>
      <c r="V2" s="356" t="n"/>
      <c r="W2" s="360" t="inlineStr">
        <is>
          <t xml:space="preserve">   作　　　　    　　業　　　    　 　内　　　  　  　　容　</t>
        </is>
      </c>
      <c r="X2" s="342" t="n"/>
      <c r="Y2" s="342" t="n"/>
      <c r="Z2" s="342" t="n"/>
      <c r="AA2" s="342" t="n"/>
      <c r="AB2" s="342" t="n"/>
      <c r="AC2" s="342" t="n"/>
      <c r="AD2" s="342" t="n"/>
      <c r="AE2" s="342" t="n"/>
      <c r="AF2" s="342" t="n"/>
      <c r="AG2" s="342" t="n"/>
      <c r="AH2" s="342" t="n"/>
      <c r="AI2" s="342" t="n"/>
      <c r="AJ2" s="342" t="n"/>
      <c r="AK2" s="342" t="n"/>
      <c r="AL2" s="342" t="n"/>
      <c r="AM2" s="342" t="n"/>
      <c r="AN2" s="342" t="n"/>
      <c r="AO2" s="342" t="n"/>
      <c r="AP2" s="342" t="n"/>
      <c r="AQ2" s="342" t="n"/>
      <c r="AR2" s="342" t="n"/>
      <c r="AS2" s="342" t="n"/>
      <c r="AT2" s="342" t="n"/>
      <c r="AU2" s="342" t="n"/>
      <c r="AV2" s="342" t="n"/>
      <c r="AW2" s="342" t="n"/>
      <c r="AX2" s="342" t="n"/>
      <c r="AY2" s="342" t="n"/>
      <c r="AZ2" s="342" t="n"/>
      <c r="BA2" s="342" t="n"/>
      <c r="BB2" s="342" t="n"/>
      <c r="BC2" s="342" t="n"/>
      <c r="BD2" s="342" t="n"/>
      <c r="BE2" s="342" t="n"/>
      <c r="BF2" s="342" t="n"/>
      <c r="BG2" s="342" t="n"/>
      <c r="BH2" s="342" t="n"/>
      <c r="BI2" s="342" t="n"/>
      <c r="BJ2" s="342" t="n"/>
      <c r="BK2" s="342" t="n"/>
      <c r="BL2" s="342" t="n"/>
      <c r="BM2" s="342" t="n"/>
      <c r="BN2" s="342" t="n"/>
      <c r="BO2" s="342" t="n"/>
      <c r="BP2" s="342" t="n"/>
      <c r="BQ2" s="342" t="n"/>
      <c r="BR2" s="342" t="n"/>
      <c r="BS2" s="342" t="n"/>
      <c r="BT2" s="342" t="n"/>
      <c r="BU2" s="342" t="n"/>
      <c r="BV2" s="342" t="n"/>
      <c r="BW2" s="342" t="n"/>
      <c r="BX2" s="342" t="n"/>
      <c r="BY2" s="342" t="n"/>
      <c r="BZ2" s="342" t="n"/>
      <c r="CA2" s="342" t="n"/>
      <c r="CB2" s="342" t="n"/>
      <c r="CC2" s="343" t="n"/>
      <c r="CF2" s="361" t="inlineStr">
        <is>
          <t>所要時間　作業者1</t>
        </is>
      </c>
      <c r="CG2" s="362" t="n"/>
      <c r="CH2" s="362" t="n"/>
      <c r="CI2" s="362" t="n"/>
      <c r="CJ2" s="362" t="n"/>
      <c r="CK2" s="362" t="n"/>
      <c r="CL2" s="362" t="n"/>
      <c r="CM2" s="362" t="n"/>
      <c r="CN2" s="363" t="n"/>
      <c r="CP2" s="361" t="inlineStr">
        <is>
          <t>所要時間　作業者2</t>
        </is>
      </c>
      <c r="CQ2" s="362" t="n"/>
      <c r="CR2" s="362" t="n"/>
      <c r="CS2" s="362" t="n"/>
      <c r="CT2" s="362" t="n"/>
      <c r="CU2" s="362" t="n"/>
      <c r="CV2" s="362" t="n"/>
      <c r="CW2" s="362" t="n"/>
      <c r="CX2" s="363" t="n"/>
      <c r="CZ2" s="361" t="inlineStr">
        <is>
          <t>所要時間　作業者3</t>
        </is>
      </c>
      <c r="DA2" s="362" t="n"/>
      <c r="DB2" s="362" t="n"/>
      <c r="DC2" s="362" t="n"/>
      <c r="DD2" s="362" t="n"/>
      <c r="DE2" s="362" t="n"/>
      <c r="DF2" s="362" t="n"/>
      <c r="DG2" s="362" t="n"/>
      <c r="DH2" s="363" t="n"/>
      <c r="DJ2" s="361" t="inlineStr">
        <is>
          <t>所要時間　作業者4</t>
        </is>
      </c>
      <c r="DK2" s="362" t="n"/>
      <c r="DL2" s="362" t="n"/>
      <c r="DM2" s="362" t="n"/>
      <c r="DN2" s="362" t="n"/>
      <c r="DO2" s="362" t="n"/>
      <c r="DP2" s="362" t="n"/>
      <c r="DQ2" s="362" t="n"/>
      <c r="DR2" s="363" t="n"/>
      <c r="DT2" s="361" t="inlineStr">
        <is>
          <t>所要時間　作業者5</t>
        </is>
      </c>
      <c r="DU2" s="362" t="n"/>
      <c r="DV2" s="362" t="n"/>
      <c r="DW2" s="362" t="n"/>
      <c r="DX2" s="362" t="n"/>
      <c r="DY2" s="362" t="n"/>
      <c r="DZ2" s="362" t="n"/>
      <c r="EA2" s="362" t="n"/>
      <c r="EB2" s="363" t="n"/>
    </row>
    <row r="3" ht="14.1" customHeight="1" s="337">
      <c r="B3" s="353" t="n"/>
      <c r="C3" s="339" t="n"/>
      <c r="D3" s="364" t="n"/>
      <c r="E3" s="365" t="n"/>
      <c r="F3" s="339" t="n"/>
      <c r="G3" s="364" t="n"/>
      <c r="H3" s="365" t="n"/>
      <c r="I3" s="339" t="n"/>
      <c r="J3" s="364" t="n"/>
      <c r="K3" s="365" t="n"/>
      <c r="L3" s="339" t="n"/>
      <c r="M3" s="364" t="n"/>
      <c r="N3" s="365" t="n"/>
      <c r="O3" s="339" t="n"/>
      <c r="P3" s="364" t="n"/>
      <c r="Q3" s="365" t="n"/>
      <c r="R3" s="339" t="n"/>
      <c r="S3" s="364" t="n"/>
      <c r="T3" s="365" t="n"/>
      <c r="U3" s="339" t="n"/>
      <c r="V3" s="364" t="n"/>
      <c r="W3" s="365" t="n"/>
      <c r="X3" s="339" t="n"/>
      <c r="Y3" s="339" t="n"/>
      <c r="Z3" s="339" t="n"/>
      <c r="AA3" s="339" t="n"/>
      <c r="AB3" s="339" t="n"/>
      <c r="AC3" s="339" t="n"/>
      <c r="AD3" s="339" t="n"/>
      <c r="AE3" s="339" t="n"/>
      <c r="AF3" s="339" t="n"/>
      <c r="AG3" s="339" t="n"/>
      <c r="AH3" s="339" t="n"/>
      <c r="AI3" s="339" t="n"/>
      <c r="AJ3" s="339" t="n"/>
      <c r="AK3" s="339" t="n"/>
      <c r="AL3" s="339" t="n"/>
      <c r="AM3" s="339" t="n"/>
      <c r="AN3" s="339" t="n"/>
      <c r="AO3" s="339" t="n"/>
      <c r="AP3" s="339" t="n"/>
      <c r="AQ3" s="339" t="n"/>
      <c r="AR3" s="339" t="n"/>
      <c r="AS3" s="339" t="n"/>
      <c r="AT3" s="339" t="n"/>
      <c r="AU3" s="339" t="n"/>
      <c r="AV3" s="339" t="n"/>
      <c r="AW3" s="339" t="n"/>
      <c r="AX3" s="339" t="n"/>
      <c r="AY3" s="339" t="n"/>
      <c r="AZ3" s="339" t="n"/>
      <c r="BA3" s="339" t="n"/>
      <c r="BB3" s="339" t="n"/>
      <c r="BC3" s="339" t="n"/>
      <c r="BD3" s="339" t="n"/>
      <c r="BE3" s="339" t="n"/>
      <c r="BF3" s="339" t="n"/>
      <c r="BG3" s="339" t="n"/>
      <c r="BH3" s="339" t="n"/>
      <c r="BI3" s="339" t="n"/>
      <c r="BJ3" s="339" t="n"/>
      <c r="BK3" s="339" t="n"/>
      <c r="BL3" s="339" t="n"/>
      <c r="BM3" s="339" t="n"/>
      <c r="BN3" s="339" t="n"/>
      <c r="BO3" s="339" t="n"/>
      <c r="BP3" s="339" t="n"/>
      <c r="BQ3" s="339" t="n"/>
      <c r="BR3" s="339" t="n"/>
      <c r="BS3" s="339" t="n"/>
      <c r="BT3" s="339" t="n"/>
      <c r="BU3" s="339" t="n"/>
      <c r="BV3" s="339" t="n"/>
      <c r="BW3" s="339" t="n"/>
      <c r="BX3" s="339" t="n"/>
      <c r="BY3" s="339" t="n"/>
      <c r="BZ3" s="339" t="n"/>
      <c r="CA3" s="339" t="n"/>
      <c r="CB3" s="339" t="n"/>
      <c r="CC3" s="354" t="n"/>
      <c r="CF3" s="366" t="n"/>
      <c r="CG3" s="367" t="n"/>
      <c r="CH3" s="367" t="n"/>
      <c r="CI3" s="367" t="n"/>
      <c r="CJ3" s="367" t="n"/>
      <c r="CK3" s="367" t="n"/>
      <c r="CL3" s="367" t="n"/>
      <c r="CM3" s="367" t="n"/>
      <c r="CN3" s="368" t="n"/>
      <c r="CP3" s="366" t="n"/>
      <c r="CQ3" s="367" t="n"/>
      <c r="CR3" s="367" t="n"/>
      <c r="CS3" s="367" t="n"/>
      <c r="CT3" s="367" t="n"/>
      <c r="CU3" s="367" t="n"/>
      <c r="CV3" s="367" t="n"/>
      <c r="CW3" s="367" t="n"/>
      <c r="CX3" s="368" t="n"/>
      <c r="CZ3" s="366" t="n"/>
      <c r="DA3" s="367" t="n"/>
      <c r="DB3" s="367" t="n"/>
      <c r="DC3" s="367" t="n"/>
      <c r="DD3" s="367" t="n"/>
      <c r="DE3" s="367" t="n"/>
      <c r="DF3" s="367" t="n"/>
      <c r="DG3" s="367" t="n"/>
      <c r="DH3" s="368" t="n"/>
      <c r="DJ3" s="366" t="n"/>
      <c r="DK3" s="367" t="n"/>
      <c r="DL3" s="367" t="n"/>
      <c r="DM3" s="367" t="n"/>
      <c r="DN3" s="367" t="n"/>
      <c r="DO3" s="367" t="n"/>
      <c r="DP3" s="367" t="n"/>
      <c r="DQ3" s="367" t="n"/>
      <c r="DR3" s="368" t="n"/>
      <c r="DT3" s="366" t="n"/>
      <c r="DU3" s="367" t="n"/>
      <c r="DV3" s="367" t="n"/>
      <c r="DW3" s="367" t="n"/>
      <c r="DX3" s="367" t="n"/>
      <c r="DY3" s="367" t="n"/>
      <c r="DZ3" s="367" t="n"/>
      <c r="EA3" s="367" t="n"/>
      <c r="EB3" s="368" t="n"/>
    </row>
    <row r="4" ht="9" customHeight="1" s="337">
      <c r="B4" s="440" t="n"/>
      <c r="C4" s="338" t="n"/>
      <c r="D4" s="380" t="n"/>
      <c r="E4" s="421" t="n"/>
      <c r="F4" s="338" t="n"/>
      <c r="G4" s="380" t="n"/>
      <c r="H4" s="421" t="n"/>
      <c r="I4" s="338" t="n"/>
      <c r="J4" s="380" t="n"/>
      <c r="K4" s="421" t="n"/>
      <c r="L4" s="338" t="n"/>
      <c r="M4" s="380" t="n"/>
      <c r="N4" s="421" t="n"/>
      <c r="O4" s="338" t="n"/>
      <c r="P4" s="380" t="n"/>
      <c r="Q4" s="441" t="n"/>
      <c r="R4" s="338" t="n"/>
      <c r="S4" s="380" t="n"/>
      <c r="T4" s="422" t="n"/>
      <c r="U4" s="338" t="n"/>
      <c r="V4" s="380" t="n"/>
      <c r="W4" s="442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83" t="n"/>
      <c r="CD4" s="30" t="n"/>
      <c r="CE4" s="31" t="n"/>
      <c r="CF4" s="248" t="inlineStr">
        <is>
          <t>移動</t>
        </is>
      </c>
      <c r="CG4" s="377" t="n"/>
      <c r="CH4" s="377" t="n"/>
      <c r="CI4" s="378" t="n"/>
      <c r="CJ4" s="379">
        <f>IF(Q4="作業者1",E7-E4,0)</f>
        <v/>
      </c>
      <c r="CK4" s="377" t="n"/>
      <c r="CL4" s="377" t="n"/>
      <c r="CM4" s="377" t="n"/>
      <c r="CN4" s="378" t="n"/>
      <c r="CP4" s="248" t="inlineStr">
        <is>
          <t>移動</t>
        </is>
      </c>
      <c r="CQ4" s="377" t="n"/>
      <c r="CR4" s="377" t="n"/>
      <c r="CS4" s="378" t="n"/>
      <c r="CT4" s="379">
        <f>IF(Q4="作業者2",E7-E4,0)</f>
        <v/>
      </c>
      <c r="CU4" s="377" t="n"/>
      <c r="CV4" s="377" t="n"/>
      <c r="CW4" s="377" t="n"/>
      <c r="CX4" s="378" t="n"/>
      <c r="CZ4" s="248" t="inlineStr">
        <is>
          <t>移動</t>
        </is>
      </c>
      <c r="DA4" s="377" t="n"/>
      <c r="DB4" s="377" t="n"/>
      <c r="DC4" s="378" t="n"/>
      <c r="DD4" s="379">
        <f>IF(Q4="作業者3",E7-E4,0)</f>
        <v/>
      </c>
      <c r="DE4" s="377" t="n"/>
      <c r="DF4" s="377" t="n"/>
      <c r="DG4" s="377" t="n"/>
      <c r="DH4" s="378" t="n"/>
      <c r="DJ4" s="248" t="inlineStr">
        <is>
          <t>移動</t>
        </is>
      </c>
      <c r="DK4" s="377" t="n"/>
      <c r="DL4" s="377" t="n"/>
      <c r="DM4" s="378" t="n"/>
      <c r="DN4" s="379">
        <f>IF(Q4="作業者4",E7-E4,0)</f>
        <v/>
      </c>
      <c r="DO4" s="377" t="n"/>
      <c r="DP4" s="377" t="n"/>
      <c r="DQ4" s="377" t="n"/>
      <c r="DR4" s="378" t="n"/>
      <c r="DT4" s="248" t="inlineStr">
        <is>
          <t>移動</t>
        </is>
      </c>
      <c r="DU4" s="377" t="n"/>
      <c r="DV4" s="377" t="n"/>
      <c r="DW4" s="378" t="n"/>
      <c r="DX4" s="379">
        <f>IF(Q4="作業者5",E7-E4,0)</f>
        <v/>
      </c>
      <c r="DY4" s="377" t="n"/>
      <c r="DZ4" s="377" t="n"/>
      <c r="EA4" s="377" t="n"/>
      <c r="EB4" s="378" t="n"/>
    </row>
    <row r="5" ht="9" customHeight="1" s="337">
      <c r="B5" s="350" t="n"/>
      <c r="C5" s="338" t="n"/>
      <c r="D5" s="380" t="n"/>
      <c r="E5" s="381" t="n"/>
      <c r="F5" s="122" t="inlineStr">
        <is>
          <t>～</t>
        </is>
      </c>
      <c r="G5" s="22" t="n"/>
      <c r="H5" s="381" t="n"/>
      <c r="I5" s="122" t="inlineStr">
        <is>
          <t>～</t>
        </is>
      </c>
      <c r="J5" s="22" t="n"/>
      <c r="K5" s="381" t="n"/>
      <c r="L5" s="122" t="inlineStr">
        <is>
          <t>～</t>
        </is>
      </c>
      <c r="M5" s="22" t="n"/>
      <c r="N5" s="381" t="n"/>
      <c r="O5" s="122" t="inlineStr">
        <is>
          <t>～</t>
        </is>
      </c>
      <c r="P5" s="22" t="n"/>
      <c r="Q5" s="382" t="n"/>
      <c r="R5" s="338" t="n"/>
      <c r="S5" s="380" t="n"/>
      <c r="T5" s="382" t="n"/>
      <c r="U5" s="338" t="n"/>
      <c r="V5" s="380" t="n"/>
      <c r="W5" s="382" t="n"/>
      <c r="X5" s="338" t="n"/>
      <c r="Y5" s="338" t="n"/>
      <c r="Z5" s="338" t="n"/>
      <c r="AA5" s="338" t="n"/>
      <c r="AB5" s="338" t="n"/>
      <c r="AC5" s="338" t="n"/>
      <c r="AD5" s="338" t="n"/>
      <c r="AE5" s="338" t="n"/>
      <c r="AF5" s="338" t="n"/>
      <c r="AG5" s="338" t="n"/>
      <c r="AH5" s="338" t="n"/>
      <c r="AI5" s="338" t="n"/>
      <c r="AJ5" s="338" t="n"/>
      <c r="AK5" s="338" t="n"/>
      <c r="AL5" s="338" t="n"/>
      <c r="AM5" s="338" t="n"/>
      <c r="AN5" s="338" t="n"/>
      <c r="AO5" s="338" t="n"/>
      <c r="AP5" s="338" t="n"/>
      <c r="AQ5" s="338" t="n"/>
      <c r="AR5" s="338" t="n"/>
      <c r="AS5" s="338" t="n"/>
      <c r="AT5" s="338" t="n"/>
      <c r="AU5" s="338" t="n"/>
      <c r="AV5" s="338" t="n"/>
      <c r="AW5" s="338" t="n"/>
      <c r="AX5" s="338" t="n"/>
      <c r="AY5" s="338" t="n"/>
      <c r="AZ5" s="338" t="n"/>
      <c r="BA5" s="338" t="n"/>
      <c r="BB5" s="338" t="n"/>
      <c r="BC5" s="338" t="n"/>
      <c r="BD5" s="338" t="n"/>
      <c r="BE5" s="338" t="n"/>
      <c r="BF5" s="338" t="n"/>
      <c r="BG5" s="338" t="n"/>
      <c r="BH5" s="338" t="n"/>
      <c r="BI5" s="338" t="n"/>
      <c r="BJ5" s="338" t="n"/>
      <c r="BK5" s="338" t="n"/>
      <c r="BL5" s="338" t="n"/>
      <c r="BM5" s="338" t="n"/>
      <c r="BN5" s="338" t="n"/>
      <c r="BO5" s="338" t="n"/>
      <c r="BP5" s="338" t="n"/>
      <c r="BQ5" s="338" t="n"/>
      <c r="BR5" s="338" t="n"/>
      <c r="BS5" s="338" t="n"/>
      <c r="BT5" s="338" t="n"/>
      <c r="BU5" s="338" t="n"/>
      <c r="BV5" s="338" t="n"/>
      <c r="BW5" s="338" t="n"/>
      <c r="BX5" s="338" t="n"/>
      <c r="BY5" s="338" t="n"/>
      <c r="BZ5" s="338" t="n"/>
      <c r="CA5" s="338" t="n"/>
      <c r="CB5" s="338" t="n"/>
      <c r="CC5" s="383" t="n"/>
      <c r="CD5" s="30" t="n"/>
      <c r="CE5" s="31" t="n"/>
      <c r="CF5" s="253" t="inlineStr">
        <is>
          <t>時間内</t>
        </is>
      </c>
      <c r="CG5" s="384" t="n"/>
      <c r="CH5" s="384" t="n"/>
      <c r="CI5" s="385" t="n"/>
      <c r="CJ5" s="386">
        <f>IF(Q4="作業者1",H7-H4,0)</f>
        <v/>
      </c>
      <c r="CK5" s="387" t="n"/>
      <c r="CL5" s="387" t="n"/>
      <c r="CM5" s="387" t="n"/>
      <c r="CN5" s="388" t="n"/>
      <c r="CP5" s="253" t="inlineStr">
        <is>
          <t>時間内</t>
        </is>
      </c>
      <c r="CQ5" s="384" t="n"/>
      <c r="CR5" s="384" t="n"/>
      <c r="CS5" s="385" t="n"/>
      <c r="CT5" s="386">
        <f>IF(Q4="作業者2",H7-H4,0)</f>
        <v/>
      </c>
      <c r="CU5" s="387" t="n"/>
      <c r="CV5" s="387" t="n"/>
      <c r="CW5" s="387" t="n"/>
      <c r="CX5" s="388" t="n"/>
      <c r="CZ5" s="253" t="inlineStr">
        <is>
          <t>時間内</t>
        </is>
      </c>
      <c r="DA5" s="384" t="n"/>
      <c r="DB5" s="384" t="n"/>
      <c r="DC5" s="385" t="n"/>
      <c r="DD5" s="386">
        <f>IF(Q4="作業者3",H7-H4,0)</f>
        <v/>
      </c>
      <c r="DE5" s="387" t="n"/>
      <c r="DF5" s="387" t="n"/>
      <c r="DG5" s="387" t="n"/>
      <c r="DH5" s="388" t="n"/>
      <c r="DJ5" s="253" t="inlineStr">
        <is>
          <t>時間内</t>
        </is>
      </c>
      <c r="DK5" s="384" t="n"/>
      <c r="DL5" s="384" t="n"/>
      <c r="DM5" s="385" t="n"/>
      <c r="DN5" s="386">
        <f>IF(Q4="作業者4",H7-H4,0)</f>
        <v/>
      </c>
      <c r="DO5" s="387" t="n"/>
      <c r="DP5" s="387" t="n"/>
      <c r="DQ5" s="387" t="n"/>
      <c r="DR5" s="388" t="n"/>
      <c r="DT5" s="253" t="inlineStr">
        <is>
          <t>時間内</t>
        </is>
      </c>
      <c r="DU5" s="384" t="n"/>
      <c r="DV5" s="384" t="n"/>
      <c r="DW5" s="385" t="n"/>
      <c r="DX5" s="386">
        <f>IF(Q4="作業者5",H7-H4,0)</f>
        <v/>
      </c>
      <c r="DY5" s="387" t="n"/>
      <c r="DZ5" s="387" t="n"/>
      <c r="EA5" s="387" t="n"/>
      <c r="EB5" s="388" t="n"/>
    </row>
    <row r="6" ht="9" customHeight="1" s="337">
      <c r="B6" s="350" t="n"/>
      <c r="C6" s="338" t="n"/>
      <c r="D6" s="380" t="n"/>
      <c r="E6" s="23" t="n"/>
      <c r="F6" s="338" t="n"/>
      <c r="G6" s="24" t="n"/>
      <c r="H6" s="23" t="n"/>
      <c r="I6" s="338" t="n"/>
      <c r="J6" s="24" t="n"/>
      <c r="K6" s="23" t="n"/>
      <c r="L6" s="338" t="n"/>
      <c r="M6" s="24" t="n"/>
      <c r="N6" s="23" t="n"/>
      <c r="O6" s="338" t="n"/>
      <c r="P6" s="24" t="n"/>
      <c r="Q6" s="382" t="n"/>
      <c r="R6" s="338" t="n"/>
      <c r="S6" s="380" t="n"/>
      <c r="T6" s="382" t="n"/>
      <c r="U6" s="338" t="n"/>
      <c r="V6" s="380" t="n"/>
      <c r="W6" s="382" t="n"/>
      <c r="X6" s="338" t="n"/>
      <c r="Y6" s="338" t="n"/>
      <c r="Z6" s="338" t="n"/>
      <c r="AA6" s="338" t="n"/>
      <c r="AB6" s="338" t="n"/>
      <c r="AC6" s="338" t="n"/>
      <c r="AD6" s="338" t="n"/>
      <c r="AE6" s="338" t="n"/>
      <c r="AF6" s="338" t="n"/>
      <c r="AG6" s="338" t="n"/>
      <c r="AH6" s="338" t="n"/>
      <c r="AI6" s="338" t="n"/>
      <c r="AJ6" s="338" t="n"/>
      <c r="AK6" s="338" t="n"/>
      <c r="AL6" s="338" t="n"/>
      <c r="AM6" s="338" t="n"/>
      <c r="AN6" s="338" t="n"/>
      <c r="AO6" s="338" t="n"/>
      <c r="AP6" s="338" t="n"/>
      <c r="AQ6" s="338" t="n"/>
      <c r="AR6" s="338" t="n"/>
      <c r="AS6" s="338" t="n"/>
      <c r="AT6" s="338" t="n"/>
      <c r="AU6" s="338" t="n"/>
      <c r="AV6" s="338" t="n"/>
      <c r="AW6" s="338" t="n"/>
      <c r="AX6" s="338" t="n"/>
      <c r="AY6" s="338" t="n"/>
      <c r="AZ6" s="338" t="n"/>
      <c r="BA6" s="338" t="n"/>
      <c r="BB6" s="338" t="n"/>
      <c r="BC6" s="338" t="n"/>
      <c r="BD6" s="338" t="n"/>
      <c r="BE6" s="338" t="n"/>
      <c r="BF6" s="338" t="n"/>
      <c r="BG6" s="338" t="n"/>
      <c r="BH6" s="338" t="n"/>
      <c r="BI6" s="338" t="n"/>
      <c r="BJ6" s="338" t="n"/>
      <c r="BK6" s="338" t="n"/>
      <c r="BL6" s="338" t="n"/>
      <c r="BM6" s="338" t="n"/>
      <c r="BN6" s="338" t="n"/>
      <c r="BO6" s="338" t="n"/>
      <c r="BP6" s="338" t="n"/>
      <c r="BQ6" s="338" t="n"/>
      <c r="BR6" s="338" t="n"/>
      <c r="BS6" s="338" t="n"/>
      <c r="BT6" s="338" t="n"/>
      <c r="BU6" s="338" t="n"/>
      <c r="BV6" s="338" t="n"/>
      <c r="BW6" s="338" t="n"/>
      <c r="BX6" s="338" t="n"/>
      <c r="BY6" s="338" t="n"/>
      <c r="BZ6" s="338" t="n"/>
      <c r="CA6" s="338" t="n"/>
      <c r="CB6" s="338" t="n"/>
      <c r="CC6" s="383" t="n"/>
      <c r="CD6" s="30" t="n"/>
      <c r="CE6" s="31" t="n"/>
      <c r="CF6" s="253" t="inlineStr">
        <is>
          <t>時間外</t>
        </is>
      </c>
      <c r="CG6" s="384" t="n"/>
      <c r="CH6" s="384" t="n"/>
      <c r="CI6" s="385" t="n"/>
      <c r="CJ6" s="386">
        <f>IF(Q4="作業者1",K7-K4,0)</f>
        <v/>
      </c>
      <c r="CK6" s="387" t="n"/>
      <c r="CL6" s="387" t="n"/>
      <c r="CM6" s="387" t="n"/>
      <c r="CN6" s="388" t="n"/>
      <c r="CP6" s="253" t="inlineStr">
        <is>
          <t>時間外</t>
        </is>
      </c>
      <c r="CQ6" s="384" t="n"/>
      <c r="CR6" s="384" t="n"/>
      <c r="CS6" s="385" t="n"/>
      <c r="CT6" s="386">
        <f>IF(Q4="作業者2",K7-K4,0)</f>
        <v/>
      </c>
      <c r="CU6" s="387" t="n"/>
      <c r="CV6" s="387" t="n"/>
      <c r="CW6" s="387" t="n"/>
      <c r="CX6" s="388" t="n"/>
      <c r="CZ6" s="253" t="inlineStr">
        <is>
          <t>時間外</t>
        </is>
      </c>
      <c r="DA6" s="384" t="n"/>
      <c r="DB6" s="384" t="n"/>
      <c r="DC6" s="385" t="n"/>
      <c r="DD6" s="386">
        <f>IF(Q4="作業者3",K7-K4,0)</f>
        <v/>
      </c>
      <c r="DE6" s="387" t="n"/>
      <c r="DF6" s="387" t="n"/>
      <c r="DG6" s="387" t="n"/>
      <c r="DH6" s="388" t="n"/>
      <c r="DJ6" s="253" t="inlineStr">
        <is>
          <t>時間外</t>
        </is>
      </c>
      <c r="DK6" s="384" t="n"/>
      <c r="DL6" s="384" t="n"/>
      <c r="DM6" s="385" t="n"/>
      <c r="DN6" s="386">
        <f>IF(Q4="作業者4",K7-K4,0)</f>
        <v/>
      </c>
      <c r="DO6" s="387" t="n"/>
      <c r="DP6" s="387" t="n"/>
      <c r="DQ6" s="387" t="n"/>
      <c r="DR6" s="388" t="n"/>
      <c r="DT6" s="253" t="inlineStr">
        <is>
          <t>時間外</t>
        </is>
      </c>
      <c r="DU6" s="384" t="n"/>
      <c r="DV6" s="384" t="n"/>
      <c r="DW6" s="385" t="n"/>
      <c r="DX6" s="386">
        <f>IF(Q4="作業者5",K7-K4,0)</f>
        <v/>
      </c>
      <c r="DY6" s="387" t="n"/>
      <c r="DZ6" s="387" t="n"/>
      <c r="EA6" s="387" t="n"/>
      <c r="EB6" s="388" t="n"/>
    </row>
    <row r="7" ht="9" customHeight="1" s="337">
      <c r="B7" s="389" t="n"/>
      <c r="C7" s="390" t="n"/>
      <c r="D7" s="391" t="n"/>
      <c r="E7" s="392" t="n"/>
      <c r="F7" s="390" t="n"/>
      <c r="G7" s="391" t="n"/>
      <c r="H7" s="392" t="n"/>
      <c r="I7" s="390" t="n"/>
      <c r="J7" s="391" t="n"/>
      <c r="K7" s="392" t="n"/>
      <c r="L7" s="390" t="n"/>
      <c r="M7" s="391" t="n"/>
      <c r="N7" s="392" t="n"/>
      <c r="O7" s="390" t="n"/>
      <c r="P7" s="391" t="n"/>
      <c r="Q7" s="382" t="n"/>
      <c r="R7" s="338" t="n"/>
      <c r="S7" s="380" t="n"/>
      <c r="T7" s="393" t="n"/>
      <c r="U7" s="390" t="n"/>
      <c r="V7" s="391" t="n"/>
      <c r="W7" s="393" t="n"/>
      <c r="X7" s="390" t="n"/>
      <c r="Y7" s="390" t="n"/>
      <c r="Z7" s="390" t="n"/>
      <c r="AA7" s="390" t="n"/>
      <c r="AB7" s="390" t="n"/>
      <c r="AC7" s="390" t="n"/>
      <c r="AD7" s="390" t="n"/>
      <c r="AE7" s="390" t="n"/>
      <c r="AF7" s="390" t="n"/>
      <c r="AG7" s="390" t="n"/>
      <c r="AH7" s="390" t="n"/>
      <c r="AI7" s="390" t="n"/>
      <c r="AJ7" s="390" t="n"/>
      <c r="AK7" s="390" t="n"/>
      <c r="AL7" s="390" t="n"/>
      <c r="AM7" s="390" t="n"/>
      <c r="AN7" s="390" t="n"/>
      <c r="AO7" s="390" t="n"/>
      <c r="AP7" s="390" t="n"/>
      <c r="AQ7" s="390" t="n"/>
      <c r="AR7" s="390" t="n"/>
      <c r="AS7" s="390" t="n"/>
      <c r="AT7" s="390" t="n"/>
      <c r="AU7" s="390" t="n"/>
      <c r="AV7" s="390" t="n"/>
      <c r="AW7" s="390" t="n"/>
      <c r="AX7" s="390" t="n"/>
      <c r="AY7" s="390" t="n"/>
      <c r="AZ7" s="390" t="n"/>
      <c r="BA7" s="390" t="n"/>
      <c r="BB7" s="390" t="n"/>
      <c r="BC7" s="390" t="n"/>
      <c r="BD7" s="390" t="n"/>
      <c r="BE7" s="390" t="n"/>
      <c r="BF7" s="390" t="n"/>
      <c r="BG7" s="390" t="n"/>
      <c r="BH7" s="390" t="n"/>
      <c r="BI7" s="390" t="n"/>
      <c r="BJ7" s="390" t="n"/>
      <c r="BK7" s="390" t="n"/>
      <c r="BL7" s="390" t="n"/>
      <c r="BM7" s="390" t="n"/>
      <c r="BN7" s="390" t="n"/>
      <c r="BO7" s="390" t="n"/>
      <c r="BP7" s="390" t="n"/>
      <c r="BQ7" s="390" t="n"/>
      <c r="BR7" s="390" t="n"/>
      <c r="BS7" s="390" t="n"/>
      <c r="BT7" s="390" t="n"/>
      <c r="BU7" s="390" t="n"/>
      <c r="BV7" s="390" t="n"/>
      <c r="BW7" s="390" t="n"/>
      <c r="BX7" s="390" t="n"/>
      <c r="BY7" s="390" t="n"/>
      <c r="BZ7" s="390" t="n"/>
      <c r="CA7" s="390" t="n"/>
      <c r="CB7" s="390" t="n"/>
      <c r="CC7" s="394" t="n"/>
      <c r="CD7" s="30" t="n"/>
      <c r="CE7" s="31" t="n"/>
      <c r="CF7" s="254" t="inlineStr">
        <is>
          <t>休日</t>
        </is>
      </c>
      <c r="CG7" s="395" t="n"/>
      <c r="CH7" s="395" t="n"/>
      <c r="CI7" s="396" t="n"/>
      <c r="CJ7" s="386">
        <f>IF(Q4="作業者1",N7-N4,0)</f>
        <v/>
      </c>
      <c r="CK7" s="387" t="n"/>
      <c r="CL7" s="387" t="n"/>
      <c r="CM7" s="387" t="n"/>
      <c r="CN7" s="388" t="n"/>
      <c r="CP7" s="253" t="inlineStr">
        <is>
          <t>休日</t>
        </is>
      </c>
      <c r="CQ7" s="384" t="n"/>
      <c r="CR7" s="384" t="n"/>
      <c r="CS7" s="385" t="n"/>
      <c r="CT7" s="386">
        <f>IF(Q4="作業者2",N7-N4,0)</f>
        <v/>
      </c>
      <c r="CU7" s="387" t="n"/>
      <c r="CV7" s="387" t="n"/>
      <c r="CW7" s="387" t="n"/>
      <c r="CX7" s="388" t="n"/>
      <c r="CZ7" s="254" t="inlineStr">
        <is>
          <t>休日</t>
        </is>
      </c>
      <c r="DA7" s="395" t="n"/>
      <c r="DB7" s="395" t="n"/>
      <c r="DC7" s="396" t="n"/>
      <c r="DD7" s="397">
        <f>IF(Q4="作業者3",N7-N4,0)</f>
        <v/>
      </c>
      <c r="DE7" s="395" t="n"/>
      <c r="DF7" s="395" t="n"/>
      <c r="DG7" s="395" t="n"/>
      <c r="DH7" s="396" t="n"/>
      <c r="DJ7" s="254" t="inlineStr">
        <is>
          <t>休日</t>
        </is>
      </c>
      <c r="DK7" s="395" t="n"/>
      <c r="DL7" s="395" t="n"/>
      <c r="DM7" s="396" t="n"/>
      <c r="DN7" s="397">
        <f>IF(Q4="作業者4",N7-N4,0)</f>
        <v/>
      </c>
      <c r="DO7" s="395" t="n"/>
      <c r="DP7" s="395" t="n"/>
      <c r="DQ7" s="395" t="n"/>
      <c r="DR7" s="396" t="n"/>
      <c r="DT7" s="254" t="inlineStr">
        <is>
          <t>休日</t>
        </is>
      </c>
      <c r="DU7" s="395" t="n"/>
      <c r="DV7" s="395" t="n"/>
      <c r="DW7" s="396" t="n"/>
      <c r="DX7" s="397">
        <f>IF(Q4="作業者5",N7-N4,0)</f>
        <v/>
      </c>
      <c r="DY7" s="395" t="n"/>
      <c r="DZ7" s="395" t="n"/>
      <c r="EA7" s="395" t="n"/>
      <c r="EB7" s="396" t="n"/>
    </row>
    <row r="8" ht="9" customHeight="1" s="337">
      <c r="B8" s="398" t="n"/>
      <c r="C8" s="372" t="n"/>
      <c r="D8" s="373" t="n"/>
      <c r="E8" s="399" t="n"/>
      <c r="F8" s="372" t="n"/>
      <c r="G8" s="373" t="n"/>
      <c r="H8" s="399" t="n"/>
      <c r="I8" s="372" t="n"/>
      <c r="J8" s="373" t="n"/>
      <c r="K8" s="399" t="n"/>
      <c r="L8" s="372" t="n"/>
      <c r="M8" s="373" t="n"/>
      <c r="N8" s="399" t="n"/>
      <c r="O8" s="372" t="n"/>
      <c r="P8" s="373" t="n"/>
      <c r="Q8" s="371" t="n"/>
      <c r="R8" s="372" t="n"/>
      <c r="S8" s="373" t="n"/>
      <c r="T8" s="400" t="n"/>
      <c r="U8" s="372" t="n"/>
      <c r="V8" s="373" t="n"/>
      <c r="W8" s="443" t="n"/>
      <c r="X8" s="372" t="n"/>
      <c r="Y8" s="372" t="n"/>
      <c r="Z8" s="372" t="n"/>
      <c r="AA8" s="372" t="n"/>
      <c r="AB8" s="372" t="n"/>
      <c r="AC8" s="372" t="n"/>
      <c r="AD8" s="372" t="n"/>
      <c r="AE8" s="372" t="n"/>
      <c r="AF8" s="372" t="n"/>
      <c r="AG8" s="372" t="n"/>
      <c r="AH8" s="372" t="n"/>
      <c r="AI8" s="372" t="n"/>
      <c r="AJ8" s="372" t="n"/>
      <c r="AK8" s="372" t="n"/>
      <c r="AL8" s="372" t="n"/>
      <c r="AM8" s="372" t="n"/>
      <c r="AN8" s="372" t="n"/>
      <c r="AO8" s="372" t="n"/>
      <c r="AP8" s="372" t="n"/>
      <c r="AQ8" s="372" t="n"/>
      <c r="AR8" s="372" t="n"/>
      <c r="AS8" s="372" t="n"/>
      <c r="AT8" s="372" t="n"/>
      <c r="AU8" s="372" t="n"/>
      <c r="AV8" s="372" t="n"/>
      <c r="AW8" s="372" t="n"/>
      <c r="AX8" s="372" t="n"/>
      <c r="AY8" s="372" t="n"/>
      <c r="AZ8" s="372" t="n"/>
      <c r="BA8" s="372" t="n"/>
      <c r="BB8" s="372" t="n"/>
      <c r="BC8" s="372" t="n"/>
      <c r="BD8" s="372" t="n"/>
      <c r="BE8" s="372" t="n"/>
      <c r="BF8" s="372" t="n"/>
      <c r="BG8" s="372" t="n"/>
      <c r="BH8" s="372" t="n"/>
      <c r="BI8" s="372" t="n"/>
      <c r="BJ8" s="372" t="n"/>
      <c r="BK8" s="372" t="n"/>
      <c r="BL8" s="372" t="n"/>
      <c r="BM8" s="372" t="n"/>
      <c r="BN8" s="372" t="n"/>
      <c r="BO8" s="372" t="n"/>
      <c r="BP8" s="372" t="n"/>
      <c r="BQ8" s="372" t="n"/>
      <c r="BR8" s="372" t="n"/>
      <c r="BS8" s="372" t="n"/>
      <c r="BT8" s="372" t="n"/>
      <c r="BU8" s="372" t="n"/>
      <c r="BV8" s="372" t="n"/>
      <c r="BW8" s="372" t="n"/>
      <c r="BX8" s="372" t="n"/>
      <c r="BY8" s="372" t="n"/>
      <c r="BZ8" s="372" t="n"/>
      <c r="CA8" s="372" t="n"/>
      <c r="CB8" s="372" t="n"/>
      <c r="CC8" s="402" t="n"/>
      <c r="CD8" s="30" t="n"/>
      <c r="CE8" s="31" t="n"/>
      <c r="CF8" s="259" t="inlineStr">
        <is>
          <t>移動</t>
        </is>
      </c>
      <c r="CG8" s="403" t="n"/>
      <c r="CH8" s="403" t="n"/>
      <c r="CI8" s="404" t="n"/>
      <c r="CJ8" s="379">
        <f>IF(Q8="作業者1",E11-E8,0)</f>
        <v/>
      </c>
      <c r="CK8" s="377" t="n"/>
      <c r="CL8" s="377" t="n"/>
      <c r="CM8" s="377" t="n"/>
      <c r="CN8" s="378" t="n"/>
      <c r="CP8" s="248" t="inlineStr">
        <is>
          <t>移動</t>
        </is>
      </c>
      <c r="CQ8" s="377" t="n"/>
      <c r="CR8" s="377" t="n"/>
      <c r="CS8" s="378" t="n"/>
      <c r="CT8" s="379">
        <f>IF(Q8="作業者2",E11-E8,0)</f>
        <v/>
      </c>
      <c r="CU8" s="377" t="n"/>
      <c r="CV8" s="377" t="n"/>
      <c r="CW8" s="377" t="n"/>
      <c r="CX8" s="378" t="n"/>
      <c r="CZ8" s="259" t="inlineStr">
        <is>
          <t>移動</t>
        </is>
      </c>
      <c r="DA8" s="403" t="n"/>
      <c r="DB8" s="403" t="n"/>
      <c r="DC8" s="404" t="n"/>
      <c r="DD8" s="405">
        <f>IF(Q8="作業者3",E11-E8,0)</f>
        <v/>
      </c>
      <c r="DE8" s="406" t="n"/>
      <c r="DF8" s="406" t="n"/>
      <c r="DG8" s="406" t="n"/>
      <c r="DH8" s="407" t="n"/>
      <c r="DJ8" s="259" t="inlineStr">
        <is>
          <t>移動</t>
        </is>
      </c>
      <c r="DK8" s="403" t="n"/>
      <c r="DL8" s="403" t="n"/>
      <c r="DM8" s="404" t="n"/>
      <c r="DN8" s="379">
        <f>IF(Q8="作業者4",E11-E8,0)</f>
        <v/>
      </c>
      <c r="DO8" s="377" t="n"/>
      <c r="DP8" s="377" t="n"/>
      <c r="DQ8" s="377" t="n"/>
      <c r="DR8" s="378" t="n"/>
      <c r="DT8" s="259" t="inlineStr">
        <is>
          <t>移動</t>
        </is>
      </c>
      <c r="DU8" s="403" t="n"/>
      <c r="DV8" s="403" t="n"/>
      <c r="DW8" s="404" t="n"/>
      <c r="DX8" s="379">
        <f>IF(Q8="作業者5",E11-E8,0)</f>
        <v/>
      </c>
      <c r="DY8" s="377" t="n"/>
      <c r="DZ8" s="377" t="n"/>
      <c r="EA8" s="377" t="n"/>
      <c r="EB8" s="378" t="n"/>
    </row>
    <row r="9" ht="9" customHeight="1" s="337">
      <c r="B9" s="350" t="n"/>
      <c r="C9" s="338" t="n"/>
      <c r="D9" s="380" t="n"/>
      <c r="E9" s="381" t="n"/>
      <c r="F9" s="122" t="inlineStr">
        <is>
          <t>～</t>
        </is>
      </c>
      <c r="G9" s="22" t="n"/>
      <c r="H9" s="381" t="n"/>
      <c r="I9" s="122" t="inlineStr">
        <is>
          <t>～</t>
        </is>
      </c>
      <c r="J9" s="22" t="n"/>
      <c r="K9" s="381" t="n"/>
      <c r="L9" s="122" t="inlineStr">
        <is>
          <t>～</t>
        </is>
      </c>
      <c r="M9" s="22" t="n"/>
      <c r="N9" s="381" t="n"/>
      <c r="O9" s="122" t="inlineStr">
        <is>
          <t>～</t>
        </is>
      </c>
      <c r="P9" s="22" t="n"/>
      <c r="Q9" s="382" t="n"/>
      <c r="R9" s="338" t="n"/>
      <c r="S9" s="380" t="n"/>
      <c r="T9" s="382" t="n"/>
      <c r="U9" s="338" t="n"/>
      <c r="V9" s="380" t="n"/>
      <c r="W9" s="382" t="n"/>
      <c r="X9" s="338" t="n"/>
      <c r="Y9" s="338" t="n"/>
      <c r="Z9" s="338" t="n"/>
      <c r="AA9" s="338" t="n"/>
      <c r="AB9" s="338" t="n"/>
      <c r="AC9" s="338" t="n"/>
      <c r="AD9" s="338" t="n"/>
      <c r="AE9" s="338" t="n"/>
      <c r="AF9" s="338" t="n"/>
      <c r="AG9" s="338" t="n"/>
      <c r="AH9" s="338" t="n"/>
      <c r="AI9" s="338" t="n"/>
      <c r="AJ9" s="338" t="n"/>
      <c r="AK9" s="338" t="n"/>
      <c r="AL9" s="338" t="n"/>
      <c r="AM9" s="338" t="n"/>
      <c r="AN9" s="338" t="n"/>
      <c r="AO9" s="338" t="n"/>
      <c r="AP9" s="338" t="n"/>
      <c r="AQ9" s="338" t="n"/>
      <c r="AR9" s="338" t="n"/>
      <c r="AS9" s="338" t="n"/>
      <c r="AT9" s="338" t="n"/>
      <c r="AU9" s="338" t="n"/>
      <c r="AV9" s="338" t="n"/>
      <c r="AW9" s="338" t="n"/>
      <c r="AX9" s="338" t="n"/>
      <c r="AY9" s="338" t="n"/>
      <c r="AZ9" s="338" t="n"/>
      <c r="BA9" s="338" t="n"/>
      <c r="BB9" s="338" t="n"/>
      <c r="BC9" s="338" t="n"/>
      <c r="BD9" s="338" t="n"/>
      <c r="BE9" s="338" t="n"/>
      <c r="BF9" s="338" t="n"/>
      <c r="BG9" s="338" t="n"/>
      <c r="BH9" s="338" t="n"/>
      <c r="BI9" s="338" t="n"/>
      <c r="BJ9" s="338" t="n"/>
      <c r="BK9" s="338" t="n"/>
      <c r="BL9" s="338" t="n"/>
      <c r="BM9" s="338" t="n"/>
      <c r="BN9" s="338" t="n"/>
      <c r="BO9" s="338" t="n"/>
      <c r="BP9" s="338" t="n"/>
      <c r="BQ9" s="338" t="n"/>
      <c r="BR9" s="338" t="n"/>
      <c r="BS9" s="338" t="n"/>
      <c r="BT9" s="338" t="n"/>
      <c r="BU9" s="338" t="n"/>
      <c r="BV9" s="338" t="n"/>
      <c r="BW9" s="338" t="n"/>
      <c r="BX9" s="338" t="n"/>
      <c r="BY9" s="338" t="n"/>
      <c r="BZ9" s="338" t="n"/>
      <c r="CA9" s="338" t="n"/>
      <c r="CB9" s="338" t="n"/>
      <c r="CC9" s="383" t="n"/>
      <c r="CD9" s="30" t="n"/>
      <c r="CE9" s="31" t="n"/>
      <c r="CF9" s="253" t="inlineStr">
        <is>
          <t>時間内</t>
        </is>
      </c>
      <c r="CG9" s="384" t="n"/>
      <c r="CH9" s="384" t="n"/>
      <c r="CI9" s="385" t="n"/>
      <c r="CJ9" s="386">
        <f>IF(Q8="作業者1",H11-H8,0)</f>
        <v/>
      </c>
      <c r="CK9" s="387" t="n"/>
      <c r="CL9" s="387" t="n"/>
      <c r="CM9" s="387" t="n"/>
      <c r="CN9" s="388" t="n"/>
      <c r="CP9" s="253" t="inlineStr">
        <is>
          <t>時間内</t>
        </is>
      </c>
      <c r="CQ9" s="384" t="n"/>
      <c r="CR9" s="384" t="n"/>
      <c r="CS9" s="385" t="n"/>
      <c r="CT9" s="386">
        <f>IF(Q8="作業者2",H11-H8,0)</f>
        <v/>
      </c>
      <c r="CU9" s="387" t="n"/>
      <c r="CV9" s="387" t="n"/>
      <c r="CW9" s="387" t="n"/>
      <c r="CX9" s="388" t="n"/>
      <c r="CZ9" s="253" t="inlineStr">
        <is>
          <t>時間内</t>
        </is>
      </c>
      <c r="DA9" s="384" t="n"/>
      <c r="DB9" s="384" t="n"/>
      <c r="DC9" s="385" t="n"/>
      <c r="DD9" s="386">
        <f>IF(Q8="作業者3",H11-H8,0)</f>
        <v/>
      </c>
      <c r="DE9" s="387" t="n"/>
      <c r="DF9" s="387" t="n"/>
      <c r="DG9" s="387" t="n"/>
      <c r="DH9" s="388" t="n"/>
      <c r="DJ9" s="253" t="inlineStr">
        <is>
          <t>時間内</t>
        </is>
      </c>
      <c r="DK9" s="384" t="n"/>
      <c r="DL9" s="384" t="n"/>
      <c r="DM9" s="385" t="n"/>
      <c r="DN9" s="386">
        <f>IF(Q8="作業者4",H11-H8,0)</f>
        <v/>
      </c>
      <c r="DO9" s="387" t="n"/>
      <c r="DP9" s="387" t="n"/>
      <c r="DQ9" s="387" t="n"/>
      <c r="DR9" s="388" t="n"/>
      <c r="DT9" s="253" t="inlineStr">
        <is>
          <t>時間内</t>
        </is>
      </c>
      <c r="DU9" s="384" t="n"/>
      <c r="DV9" s="384" t="n"/>
      <c r="DW9" s="385" t="n"/>
      <c r="DX9" s="386">
        <f>IF(Q8="作業者5",H11-H8,0)</f>
        <v/>
      </c>
      <c r="DY9" s="387" t="n"/>
      <c r="DZ9" s="387" t="n"/>
      <c r="EA9" s="387" t="n"/>
      <c r="EB9" s="388" t="n"/>
    </row>
    <row r="10" ht="9" customHeight="1" s="337">
      <c r="B10" s="350" t="n"/>
      <c r="C10" s="338" t="n"/>
      <c r="D10" s="380" t="n"/>
      <c r="E10" s="23" t="n"/>
      <c r="F10" s="338" t="n"/>
      <c r="G10" s="24" t="n"/>
      <c r="H10" s="23" t="n"/>
      <c r="I10" s="338" t="n"/>
      <c r="J10" s="24" t="n"/>
      <c r="K10" s="23" t="n"/>
      <c r="L10" s="338" t="n"/>
      <c r="M10" s="24" t="n"/>
      <c r="N10" s="23" t="n"/>
      <c r="O10" s="338" t="n"/>
      <c r="P10" s="24" t="n"/>
      <c r="Q10" s="382" t="n"/>
      <c r="R10" s="338" t="n"/>
      <c r="S10" s="380" t="n"/>
      <c r="T10" s="382" t="n"/>
      <c r="U10" s="338" t="n"/>
      <c r="V10" s="380" t="n"/>
      <c r="W10" s="382" t="n"/>
      <c r="X10" s="338" t="n"/>
      <c r="Y10" s="338" t="n"/>
      <c r="Z10" s="338" t="n"/>
      <c r="AA10" s="338" t="n"/>
      <c r="AB10" s="338" t="n"/>
      <c r="AC10" s="338" t="n"/>
      <c r="AD10" s="338" t="n"/>
      <c r="AE10" s="338" t="n"/>
      <c r="AF10" s="338" t="n"/>
      <c r="AG10" s="338" t="n"/>
      <c r="AH10" s="338" t="n"/>
      <c r="AI10" s="338" t="n"/>
      <c r="AJ10" s="338" t="n"/>
      <c r="AK10" s="338" t="n"/>
      <c r="AL10" s="338" t="n"/>
      <c r="AM10" s="338" t="n"/>
      <c r="AN10" s="338" t="n"/>
      <c r="AO10" s="338" t="n"/>
      <c r="AP10" s="338" t="n"/>
      <c r="AQ10" s="338" t="n"/>
      <c r="AR10" s="338" t="n"/>
      <c r="AS10" s="338" t="n"/>
      <c r="AT10" s="338" t="n"/>
      <c r="AU10" s="338" t="n"/>
      <c r="AV10" s="338" t="n"/>
      <c r="AW10" s="338" t="n"/>
      <c r="AX10" s="338" t="n"/>
      <c r="AY10" s="338" t="n"/>
      <c r="AZ10" s="338" t="n"/>
      <c r="BA10" s="338" t="n"/>
      <c r="BB10" s="338" t="n"/>
      <c r="BC10" s="338" t="n"/>
      <c r="BD10" s="338" t="n"/>
      <c r="BE10" s="338" t="n"/>
      <c r="BF10" s="338" t="n"/>
      <c r="BG10" s="338" t="n"/>
      <c r="BH10" s="338" t="n"/>
      <c r="BI10" s="338" t="n"/>
      <c r="BJ10" s="338" t="n"/>
      <c r="BK10" s="338" t="n"/>
      <c r="BL10" s="338" t="n"/>
      <c r="BM10" s="338" t="n"/>
      <c r="BN10" s="338" t="n"/>
      <c r="BO10" s="338" t="n"/>
      <c r="BP10" s="338" t="n"/>
      <c r="BQ10" s="338" t="n"/>
      <c r="BR10" s="338" t="n"/>
      <c r="BS10" s="338" t="n"/>
      <c r="BT10" s="338" t="n"/>
      <c r="BU10" s="338" t="n"/>
      <c r="BV10" s="338" t="n"/>
      <c r="BW10" s="338" t="n"/>
      <c r="BX10" s="338" t="n"/>
      <c r="BY10" s="338" t="n"/>
      <c r="BZ10" s="338" t="n"/>
      <c r="CA10" s="338" t="n"/>
      <c r="CB10" s="338" t="n"/>
      <c r="CC10" s="383" t="n"/>
      <c r="CD10" s="30" t="n"/>
      <c r="CE10" s="31" t="n"/>
      <c r="CF10" s="253" t="inlineStr">
        <is>
          <t>時間外</t>
        </is>
      </c>
      <c r="CG10" s="384" t="n"/>
      <c r="CH10" s="384" t="n"/>
      <c r="CI10" s="385" t="n"/>
      <c r="CJ10" s="386">
        <f>IF(Q8="作業者1",K11-K8,0)</f>
        <v/>
      </c>
      <c r="CK10" s="387" t="n"/>
      <c r="CL10" s="387" t="n"/>
      <c r="CM10" s="387" t="n"/>
      <c r="CN10" s="388" t="n"/>
      <c r="CP10" s="253" t="inlineStr">
        <is>
          <t>時間外</t>
        </is>
      </c>
      <c r="CQ10" s="384" t="n"/>
      <c r="CR10" s="384" t="n"/>
      <c r="CS10" s="385" t="n"/>
      <c r="CT10" s="386">
        <f>IF(Q8="作業者2",K11-K8,0)</f>
        <v/>
      </c>
      <c r="CU10" s="387" t="n"/>
      <c r="CV10" s="387" t="n"/>
      <c r="CW10" s="387" t="n"/>
      <c r="CX10" s="388" t="n"/>
      <c r="CZ10" s="253" t="inlineStr">
        <is>
          <t>時間外</t>
        </is>
      </c>
      <c r="DA10" s="384" t="n"/>
      <c r="DB10" s="384" t="n"/>
      <c r="DC10" s="385" t="n"/>
      <c r="DD10" s="386">
        <f>IF(Q8="作業者3",K11-K8,0)</f>
        <v/>
      </c>
      <c r="DE10" s="387" t="n"/>
      <c r="DF10" s="387" t="n"/>
      <c r="DG10" s="387" t="n"/>
      <c r="DH10" s="388" t="n"/>
      <c r="DJ10" s="253" t="inlineStr">
        <is>
          <t>時間外</t>
        </is>
      </c>
      <c r="DK10" s="384" t="n"/>
      <c r="DL10" s="384" t="n"/>
      <c r="DM10" s="385" t="n"/>
      <c r="DN10" s="386">
        <f>IF(Q8="作業者4",K11-K8,0)</f>
        <v/>
      </c>
      <c r="DO10" s="387" t="n"/>
      <c r="DP10" s="387" t="n"/>
      <c r="DQ10" s="387" t="n"/>
      <c r="DR10" s="388" t="n"/>
      <c r="DT10" s="253" t="inlineStr">
        <is>
          <t>時間外</t>
        </is>
      </c>
      <c r="DU10" s="384" t="n"/>
      <c r="DV10" s="384" t="n"/>
      <c r="DW10" s="385" t="n"/>
      <c r="DX10" s="386">
        <f>IF(Q8="作業者5",K11-K8,0)</f>
        <v/>
      </c>
      <c r="DY10" s="387" t="n"/>
      <c r="DZ10" s="387" t="n"/>
      <c r="EA10" s="387" t="n"/>
      <c r="EB10" s="388" t="n"/>
    </row>
    <row r="11" ht="9" customHeight="1" s="337">
      <c r="B11" s="389" t="n"/>
      <c r="C11" s="390" t="n"/>
      <c r="D11" s="391" t="n"/>
      <c r="E11" s="392" t="n"/>
      <c r="F11" s="390" t="n"/>
      <c r="G11" s="391" t="n"/>
      <c r="H11" s="392" t="n"/>
      <c r="I11" s="390" t="n"/>
      <c r="J11" s="391" t="n"/>
      <c r="K11" s="392" t="n"/>
      <c r="L11" s="390" t="n"/>
      <c r="M11" s="391" t="n"/>
      <c r="N11" s="392" t="n"/>
      <c r="O11" s="390" t="n"/>
      <c r="P11" s="391" t="n"/>
      <c r="Q11" s="393" t="n"/>
      <c r="R11" s="390" t="n"/>
      <c r="S11" s="391" t="n"/>
      <c r="T11" s="393" t="n"/>
      <c r="U11" s="390" t="n"/>
      <c r="V11" s="391" t="n"/>
      <c r="W11" s="393" t="n"/>
      <c r="X11" s="390" t="n"/>
      <c r="Y11" s="390" t="n"/>
      <c r="Z11" s="390" t="n"/>
      <c r="AA11" s="390" t="n"/>
      <c r="AB11" s="390" t="n"/>
      <c r="AC11" s="390" t="n"/>
      <c r="AD11" s="390" t="n"/>
      <c r="AE11" s="390" t="n"/>
      <c r="AF11" s="390" t="n"/>
      <c r="AG11" s="390" t="n"/>
      <c r="AH11" s="390" t="n"/>
      <c r="AI11" s="390" t="n"/>
      <c r="AJ11" s="390" t="n"/>
      <c r="AK11" s="390" t="n"/>
      <c r="AL11" s="390" t="n"/>
      <c r="AM11" s="390" t="n"/>
      <c r="AN11" s="390" t="n"/>
      <c r="AO11" s="390" t="n"/>
      <c r="AP11" s="390" t="n"/>
      <c r="AQ11" s="390" t="n"/>
      <c r="AR11" s="390" t="n"/>
      <c r="AS11" s="390" t="n"/>
      <c r="AT11" s="390" t="n"/>
      <c r="AU11" s="390" t="n"/>
      <c r="AV11" s="390" t="n"/>
      <c r="AW11" s="390" t="n"/>
      <c r="AX11" s="390" t="n"/>
      <c r="AY11" s="390" t="n"/>
      <c r="AZ11" s="390" t="n"/>
      <c r="BA11" s="390" t="n"/>
      <c r="BB11" s="390" t="n"/>
      <c r="BC11" s="390" t="n"/>
      <c r="BD11" s="390" t="n"/>
      <c r="BE11" s="390" t="n"/>
      <c r="BF11" s="390" t="n"/>
      <c r="BG11" s="390" t="n"/>
      <c r="BH11" s="390" t="n"/>
      <c r="BI11" s="390" t="n"/>
      <c r="BJ11" s="390" t="n"/>
      <c r="BK11" s="390" t="n"/>
      <c r="BL11" s="390" t="n"/>
      <c r="BM11" s="390" t="n"/>
      <c r="BN11" s="390" t="n"/>
      <c r="BO11" s="390" t="n"/>
      <c r="BP11" s="390" t="n"/>
      <c r="BQ11" s="390" t="n"/>
      <c r="BR11" s="390" t="n"/>
      <c r="BS11" s="390" t="n"/>
      <c r="BT11" s="390" t="n"/>
      <c r="BU11" s="390" t="n"/>
      <c r="BV11" s="390" t="n"/>
      <c r="BW11" s="390" t="n"/>
      <c r="BX11" s="390" t="n"/>
      <c r="BY11" s="390" t="n"/>
      <c r="BZ11" s="390" t="n"/>
      <c r="CA11" s="390" t="n"/>
      <c r="CB11" s="390" t="n"/>
      <c r="CC11" s="394" t="n"/>
      <c r="CD11" s="30" t="n"/>
      <c r="CE11" s="31" t="n"/>
      <c r="CF11" s="249" t="inlineStr">
        <is>
          <t>休日</t>
        </is>
      </c>
      <c r="CG11" s="408" t="n"/>
      <c r="CH11" s="408" t="n"/>
      <c r="CI11" s="409" t="n"/>
      <c r="CJ11" s="386">
        <f>IF(Q8="作業者1",N11-N8,0)</f>
        <v/>
      </c>
      <c r="CK11" s="387" t="n"/>
      <c r="CL11" s="387" t="n"/>
      <c r="CM11" s="387" t="n"/>
      <c r="CN11" s="388" t="n"/>
      <c r="CP11" s="253" t="inlineStr">
        <is>
          <t>休日</t>
        </is>
      </c>
      <c r="CQ11" s="384" t="n"/>
      <c r="CR11" s="384" t="n"/>
      <c r="CS11" s="385" t="n"/>
      <c r="CT11" s="386">
        <f>IF(Q8="作業者2",N11-N8,0)</f>
        <v/>
      </c>
      <c r="CU11" s="387" t="n"/>
      <c r="CV11" s="387" t="n"/>
      <c r="CW11" s="387" t="n"/>
      <c r="CX11" s="388" t="n"/>
      <c r="CZ11" s="254" t="inlineStr">
        <is>
          <t>休日</t>
        </is>
      </c>
      <c r="DA11" s="395" t="n"/>
      <c r="DB11" s="395" t="n"/>
      <c r="DC11" s="396" t="n"/>
      <c r="DD11" s="397">
        <f>IF(Q8="作業者3",N11-N8,0)</f>
        <v/>
      </c>
      <c r="DE11" s="395" t="n"/>
      <c r="DF11" s="395" t="n"/>
      <c r="DG11" s="395" t="n"/>
      <c r="DH11" s="396" t="n"/>
      <c r="DJ11" s="254" t="inlineStr">
        <is>
          <t>休日</t>
        </is>
      </c>
      <c r="DK11" s="395" t="n"/>
      <c r="DL11" s="395" t="n"/>
      <c r="DM11" s="396" t="n"/>
      <c r="DN11" s="397">
        <f>IF(Q8="作業者4",N11-N8,0)</f>
        <v/>
      </c>
      <c r="DO11" s="395" t="n"/>
      <c r="DP11" s="395" t="n"/>
      <c r="DQ11" s="395" t="n"/>
      <c r="DR11" s="396" t="n"/>
      <c r="DT11" s="254" t="inlineStr">
        <is>
          <t>休日</t>
        </is>
      </c>
      <c r="DU11" s="395" t="n"/>
      <c r="DV11" s="395" t="n"/>
      <c r="DW11" s="396" t="n"/>
      <c r="DX11" s="397">
        <f>IF(Q8="作業者5",N11-N8,0)</f>
        <v/>
      </c>
      <c r="DY11" s="395" t="n"/>
      <c r="DZ11" s="395" t="n"/>
      <c r="EA11" s="395" t="n"/>
      <c r="EB11" s="396" t="n"/>
    </row>
    <row r="12" ht="9" customHeight="1" s="337">
      <c r="B12" s="398" t="n"/>
      <c r="C12" s="372" t="n"/>
      <c r="D12" s="373" t="n"/>
      <c r="E12" s="399" t="n"/>
      <c r="F12" s="372" t="n"/>
      <c r="G12" s="373" t="n"/>
      <c r="H12" s="399" t="n"/>
      <c r="I12" s="372" t="n"/>
      <c r="J12" s="373" t="n"/>
      <c r="K12" s="399" t="n"/>
      <c r="L12" s="372" t="n"/>
      <c r="M12" s="373" t="n"/>
      <c r="N12" s="399" t="n"/>
      <c r="O12" s="372" t="n"/>
      <c r="P12" s="373" t="n"/>
      <c r="Q12" s="371" t="n"/>
      <c r="R12" s="372" t="n"/>
      <c r="S12" s="373" t="n"/>
      <c r="T12" s="371" t="n"/>
      <c r="U12" s="372" t="n"/>
      <c r="V12" s="373" t="n"/>
      <c r="W12" s="443" t="n"/>
      <c r="X12" s="372" t="n"/>
      <c r="Y12" s="372" t="n"/>
      <c r="Z12" s="372" t="n"/>
      <c r="AA12" s="372" t="n"/>
      <c r="AB12" s="372" t="n"/>
      <c r="AC12" s="372" t="n"/>
      <c r="AD12" s="372" t="n"/>
      <c r="AE12" s="372" t="n"/>
      <c r="AF12" s="372" t="n"/>
      <c r="AG12" s="372" t="n"/>
      <c r="AH12" s="372" t="n"/>
      <c r="AI12" s="372" t="n"/>
      <c r="AJ12" s="372" t="n"/>
      <c r="AK12" s="372" t="n"/>
      <c r="AL12" s="372" t="n"/>
      <c r="AM12" s="372" t="n"/>
      <c r="AN12" s="372" t="n"/>
      <c r="AO12" s="372" t="n"/>
      <c r="AP12" s="372" t="n"/>
      <c r="AQ12" s="372" t="n"/>
      <c r="AR12" s="372" t="n"/>
      <c r="AS12" s="372" t="n"/>
      <c r="AT12" s="372" t="n"/>
      <c r="AU12" s="372" t="n"/>
      <c r="AV12" s="372" t="n"/>
      <c r="AW12" s="372" t="n"/>
      <c r="AX12" s="372" t="n"/>
      <c r="AY12" s="372" t="n"/>
      <c r="AZ12" s="372" t="n"/>
      <c r="BA12" s="372" t="n"/>
      <c r="BB12" s="372" t="n"/>
      <c r="BC12" s="372" t="n"/>
      <c r="BD12" s="372" t="n"/>
      <c r="BE12" s="372" t="n"/>
      <c r="BF12" s="372" t="n"/>
      <c r="BG12" s="372" t="n"/>
      <c r="BH12" s="372" t="n"/>
      <c r="BI12" s="372" t="n"/>
      <c r="BJ12" s="372" t="n"/>
      <c r="BK12" s="372" t="n"/>
      <c r="BL12" s="372" t="n"/>
      <c r="BM12" s="372" t="n"/>
      <c r="BN12" s="372" t="n"/>
      <c r="BO12" s="372" t="n"/>
      <c r="BP12" s="372" t="n"/>
      <c r="BQ12" s="372" t="n"/>
      <c r="BR12" s="372" t="n"/>
      <c r="BS12" s="372" t="n"/>
      <c r="BT12" s="372" t="n"/>
      <c r="BU12" s="372" t="n"/>
      <c r="BV12" s="372" t="n"/>
      <c r="BW12" s="372" t="n"/>
      <c r="BX12" s="372" t="n"/>
      <c r="BY12" s="372" t="n"/>
      <c r="BZ12" s="372" t="n"/>
      <c r="CA12" s="372" t="n"/>
      <c r="CB12" s="372" t="n"/>
      <c r="CC12" s="402" t="n"/>
      <c r="CF12" s="248" t="inlineStr">
        <is>
          <t>移動</t>
        </is>
      </c>
      <c r="CG12" s="377" t="n"/>
      <c r="CH12" s="377" t="n"/>
      <c r="CI12" s="378" t="n"/>
      <c r="CJ12" s="379">
        <f>IF(Q12="作業者1",E15-E12,0)</f>
        <v/>
      </c>
      <c r="CK12" s="377" t="n"/>
      <c r="CL12" s="377" t="n"/>
      <c r="CM12" s="377" t="n"/>
      <c r="CN12" s="378" t="n"/>
      <c r="CP12" s="248" t="inlineStr">
        <is>
          <t>移動</t>
        </is>
      </c>
      <c r="CQ12" s="377" t="n"/>
      <c r="CR12" s="377" t="n"/>
      <c r="CS12" s="378" t="n"/>
      <c r="CT12" s="379">
        <f>IF(Q12="作業者2",E15-E12,0)</f>
        <v/>
      </c>
      <c r="CU12" s="377" t="n"/>
      <c r="CV12" s="377" t="n"/>
      <c r="CW12" s="377" t="n"/>
      <c r="CX12" s="378" t="n"/>
      <c r="CZ12" s="259" t="inlineStr">
        <is>
          <t>移動</t>
        </is>
      </c>
      <c r="DA12" s="403" t="n"/>
      <c r="DB12" s="403" t="n"/>
      <c r="DC12" s="404" t="n"/>
      <c r="DD12" s="405">
        <f>IF(Q12="作業者3",E15-E12,0)</f>
        <v/>
      </c>
      <c r="DE12" s="406" t="n"/>
      <c r="DF12" s="406" t="n"/>
      <c r="DG12" s="406" t="n"/>
      <c r="DH12" s="407" t="n"/>
      <c r="DJ12" s="259" t="inlineStr">
        <is>
          <t>移動</t>
        </is>
      </c>
      <c r="DK12" s="403" t="n"/>
      <c r="DL12" s="403" t="n"/>
      <c r="DM12" s="404" t="n"/>
      <c r="DN12" s="379">
        <f>IF(Q12="作業者4",E15-E12,0)</f>
        <v/>
      </c>
      <c r="DO12" s="377" t="n"/>
      <c r="DP12" s="377" t="n"/>
      <c r="DQ12" s="377" t="n"/>
      <c r="DR12" s="378" t="n"/>
      <c r="DT12" s="259" t="inlineStr">
        <is>
          <t>移動</t>
        </is>
      </c>
      <c r="DU12" s="403" t="n"/>
      <c r="DV12" s="403" t="n"/>
      <c r="DW12" s="404" t="n"/>
      <c r="DX12" s="379">
        <f>IF(Q12="作業者5",E15-E12,0)</f>
        <v/>
      </c>
      <c r="DY12" s="377" t="n"/>
      <c r="DZ12" s="377" t="n"/>
      <c r="EA12" s="377" t="n"/>
      <c r="EB12" s="378" t="n"/>
    </row>
    <row r="13" ht="9" customHeight="1" s="337">
      <c r="B13" s="350" t="n"/>
      <c r="C13" s="338" t="n"/>
      <c r="D13" s="380" t="n"/>
      <c r="E13" s="381" t="n"/>
      <c r="F13" s="122" t="inlineStr">
        <is>
          <t>～</t>
        </is>
      </c>
      <c r="G13" s="22" t="n"/>
      <c r="H13" s="381" t="n"/>
      <c r="I13" s="122" t="inlineStr">
        <is>
          <t>～</t>
        </is>
      </c>
      <c r="J13" s="22" t="n"/>
      <c r="K13" s="381" t="n"/>
      <c r="L13" s="122" t="inlineStr">
        <is>
          <t>～</t>
        </is>
      </c>
      <c r="M13" s="22" t="n"/>
      <c r="N13" s="381" t="n"/>
      <c r="O13" s="122" t="inlineStr">
        <is>
          <t>～</t>
        </is>
      </c>
      <c r="P13" s="22" t="n"/>
      <c r="Q13" s="382" t="n"/>
      <c r="R13" s="338" t="n"/>
      <c r="S13" s="380" t="n"/>
      <c r="T13" s="382" t="n"/>
      <c r="U13" s="338" t="n"/>
      <c r="V13" s="380" t="n"/>
      <c r="W13" s="382" t="n"/>
      <c r="X13" s="338" t="n"/>
      <c r="Y13" s="338" t="n"/>
      <c r="Z13" s="338" t="n"/>
      <c r="AA13" s="338" t="n"/>
      <c r="AB13" s="338" t="n"/>
      <c r="AC13" s="338" t="n"/>
      <c r="AD13" s="338" t="n"/>
      <c r="AE13" s="338" t="n"/>
      <c r="AF13" s="338" t="n"/>
      <c r="AG13" s="338" t="n"/>
      <c r="AH13" s="338" t="n"/>
      <c r="AI13" s="338" t="n"/>
      <c r="AJ13" s="338" t="n"/>
      <c r="AK13" s="338" t="n"/>
      <c r="AL13" s="338" t="n"/>
      <c r="AM13" s="338" t="n"/>
      <c r="AN13" s="338" t="n"/>
      <c r="AO13" s="338" t="n"/>
      <c r="AP13" s="338" t="n"/>
      <c r="AQ13" s="338" t="n"/>
      <c r="AR13" s="338" t="n"/>
      <c r="AS13" s="338" t="n"/>
      <c r="AT13" s="338" t="n"/>
      <c r="AU13" s="338" t="n"/>
      <c r="AV13" s="338" t="n"/>
      <c r="AW13" s="338" t="n"/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8" t="n"/>
      <c r="BH13" s="338" t="n"/>
      <c r="BI13" s="338" t="n"/>
      <c r="BJ13" s="338" t="n"/>
      <c r="BK13" s="338" t="n"/>
      <c r="BL13" s="338" t="n"/>
      <c r="BM13" s="338" t="n"/>
      <c r="BN13" s="338" t="n"/>
      <c r="BO13" s="338" t="n"/>
      <c r="BP13" s="338" t="n"/>
      <c r="BQ13" s="338" t="n"/>
      <c r="BR13" s="338" t="n"/>
      <c r="BS13" s="338" t="n"/>
      <c r="BT13" s="338" t="n"/>
      <c r="BU13" s="338" t="n"/>
      <c r="BV13" s="338" t="n"/>
      <c r="BW13" s="338" t="n"/>
      <c r="BX13" s="338" t="n"/>
      <c r="BY13" s="338" t="n"/>
      <c r="BZ13" s="338" t="n"/>
      <c r="CA13" s="338" t="n"/>
      <c r="CB13" s="338" t="n"/>
      <c r="CC13" s="383" t="n"/>
      <c r="CF13" s="253" t="inlineStr">
        <is>
          <t>時間内</t>
        </is>
      </c>
      <c r="CG13" s="384" t="n"/>
      <c r="CH13" s="384" t="n"/>
      <c r="CI13" s="385" t="n"/>
      <c r="CJ13" s="386">
        <f>IF(Q12="作業者1",H15-H12,0)</f>
        <v/>
      </c>
      <c r="CK13" s="387" t="n"/>
      <c r="CL13" s="387" t="n"/>
      <c r="CM13" s="387" t="n"/>
      <c r="CN13" s="388" t="n"/>
      <c r="CP13" s="253" t="inlineStr">
        <is>
          <t>時間内</t>
        </is>
      </c>
      <c r="CQ13" s="384" t="n"/>
      <c r="CR13" s="384" t="n"/>
      <c r="CS13" s="385" t="n"/>
      <c r="CT13" s="386">
        <f>IF(Q12="作業者2",H15-H12,0)</f>
        <v/>
      </c>
      <c r="CU13" s="387" t="n"/>
      <c r="CV13" s="387" t="n"/>
      <c r="CW13" s="387" t="n"/>
      <c r="CX13" s="388" t="n"/>
      <c r="CZ13" s="253" t="inlineStr">
        <is>
          <t>時間内</t>
        </is>
      </c>
      <c r="DA13" s="384" t="n"/>
      <c r="DB13" s="384" t="n"/>
      <c r="DC13" s="385" t="n"/>
      <c r="DD13" s="386">
        <f>IF(Q12="作業者3",H15-H12,0)</f>
        <v/>
      </c>
      <c r="DE13" s="387" t="n"/>
      <c r="DF13" s="387" t="n"/>
      <c r="DG13" s="387" t="n"/>
      <c r="DH13" s="388" t="n"/>
      <c r="DJ13" s="253" t="inlineStr">
        <is>
          <t>時間内</t>
        </is>
      </c>
      <c r="DK13" s="384" t="n"/>
      <c r="DL13" s="384" t="n"/>
      <c r="DM13" s="385" t="n"/>
      <c r="DN13" s="386">
        <f>IF(Q12="作業者4",H15-H12,0)</f>
        <v/>
      </c>
      <c r="DO13" s="387" t="n"/>
      <c r="DP13" s="387" t="n"/>
      <c r="DQ13" s="387" t="n"/>
      <c r="DR13" s="388" t="n"/>
      <c r="DT13" s="253" t="inlineStr">
        <is>
          <t>時間内</t>
        </is>
      </c>
      <c r="DU13" s="384" t="n"/>
      <c r="DV13" s="384" t="n"/>
      <c r="DW13" s="385" t="n"/>
      <c r="DX13" s="386">
        <f>IF(Q12="作業者5",H15-H12,0)</f>
        <v/>
      </c>
      <c r="DY13" s="387" t="n"/>
      <c r="DZ13" s="387" t="n"/>
      <c r="EA13" s="387" t="n"/>
      <c r="EB13" s="388" t="n"/>
    </row>
    <row r="14" ht="9" customHeight="1" s="337">
      <c r="B14" s="350" t="n"/>
      <c r="C14" s="338" t="n"/>
      <c r="D14" s="380" t="n"/>
      <c r="E14" s="44" t="n"/>
      <c r="F14" s="338" t="n"/>
      <c r="G14" s="24" t="n"/>
      <c r="H14" s="44" t="n"/>
      <c r="I14" s="338" t="n"/>
      <c r="J14" s="24" t="n"/>
      <c r="K14" s="44" t="n"/>
      <c r="L14" s="338" t="n"/>
      <c r="M14" s="24" t="n"/>
      <c r="N14" s="44" t="n"/>
      <c r="O14" s="338" t="n"/>
      <c r="P14" s="24" t="n"/>
      <c r="Q14" s="382" t="n"/>
      <c r="R14" s="338" t="n"/>
      <c r="S14" s="380" t="n"/>
      <c r="T14" s="382" t="n"/>
      <c r="U14" s="338" t="n"/>
      <c r="V14" s="380" t="n"/>
      <c r="W14" s="382" t="n"/>
      <c r="X14" s="338" t="n"/>
      <c r="Y14" s="338" t="n"/>
      <c r="Z14" s="338" t="n"/>
      <c r="AA14" s="338" t="n"/>
      <c r="AB14" s="338" t="n"/>
      <c r="AC14" s="338" t="n"/>
      <c r="AD14" s="338" t="n"/>
      <c r="AE14" s="338" t="n"/>
      <c r="AF14" s="338" t="n"/>
      <c r="AG14" s="338" t="n"/>
      <c r="AH14" s="338" t="n"/>
      <c r="AI14" s="338" t="n"/>
      <c r="AJ14" s="338" t="n"/>
      <c r="AK14" s="338" t="n"/>
      <c r="AL14" s="338" t="n"/>
      <c r="AM14" s="338" t="n"/>
      <c r="AN14" s="338" t="n"/>
      <c r="AO14" s="338" t="n"/>
      <c r="AP14" s="338" t="n"/>
      <c r="AQ14" s="338" t="n"/>
      <c r="AR14" s="338" t="n"/>
      <c r="AS14" s="338" t="n"/>
      <c r="AT14" s="338" t="n"/>
      <c r="AU14" s="338" t="n"/>
      <c r="AV14" s="338" t="n"/>
      <c r="AW14" s="338" t="n"/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8" t="n"/>
      <c r="BH14" s="338" t="n"/>
      <c r="BI14" s="338" t="n"/>
      <c r="BJ14" s="338" t="n"/>
      <c r="BK14" s="338" t="n"/>
      <c r="BL14" s="338" t="n"/>
      <c r="BM14" s="338" t="n"/>
      <c r="BN14" s="338" t="n"/>
      <c r="BO14" s="338" t="n"/>
      <c r="BP14" s="338" t="n"/>
      <c r="BQ14" s="338" t="n"/>
      <c r="BR14" s="338" t="n"/>
      <c r="BS14" s="338" t="n"/>
      <c r="BT14" s="338" t="n"/>
      <c r="BU14" s="338" t="n"/>
      <c r="BV14" s="338" t="n"/>
      <c r="BW14" s="338" t="n"/>
      <c r="BX14" s="338" t="n"/>
      <c r="BY14" s="338" t="n"/>
      <c r="BZ14" s="338" t="n"/>
      <c r="CA14" s="338" t="n"/>
      <c r="CB14" s="338" t="n"/>
      <c r="CC14" s="383" t="n"/>
      <c r="CF14" s="253" t="inlineStr">
        <is>
          <t>時間外</t>
        </is>
      </c>
      <c r="CG14" s="384" t="n"/>
      <c r="CH14" s="384" t="n"/>
      <c r="CI14" s="385" t="n"/>
      <c r="CJ14" s="386">
        <f>IF(Q12="作業者1",K15-K12,0)</f>
        <v/>
      </c>
      <c r="CK14" s="387" t="n"/>
      <c r="CL14" s="387" t="n"/>
      <c r="CM14" s="387" t="n"/>
      <c r="CN14" s="388" t="n"/>
      <c r="CP14" s="253" t="inlineStr">
        <is>
          <t>時間外</t>
        </is>
      </c>
      <c r="CQ14" s="384" t="n"/>
      <c r="CR14" s="384" t="n"/>
      <c r="CS14" s="385" t="n"/>
      <c r="CT14" s="386">
        <f>IF(Q12="作業者2",K15-K12,0)</f>
        <v/>
      </c>
      <c r="CU14" s="387" t="n"/>
      <c r="CV14" s="387" t="n"/>
      <c r="CW14" s="387" t="n"/>
      <c r="CX14" s="388" t="n"/>
      <c r="CZ14" s="253" t="inlineStr">
        <is>
          <t>時間外</t>
        </is>
      </c>
      <c r="DA14" s="384" t="n"/>
      <c r="DB14" s="384" t="n"/>
      <c r="DC14" s="385" t="n"/>
      <c r="DD14" s="386">
        <f>IF(Q12="作業者3",K15-K12,0)</f>
        <v/>
      </c>
      <c r="DE14" s="387" t="n"/>
      <c r="DF14" s="387" t="n"/>
      <c r="DG14" s="387" t="n"/>
      <c r="DH14" s="388" t="n"/>
      <c r="DJ14" s="253" t="inlineStr">
        <is>
          <t>時間外</t>
        </is>
      </c>
      <c r="DK14" s="384" t="n"/>
      <c r="DL14" s="384" t="n"/>
      <c r="DM14" s="385" t="n"/>
      <c r="DN14" s="386">
        <f>IF(Q12="作業者4",K15-K12,0)</f>
        <v/>
      </c>
      <c r="DO14" s="387" t="n"/>
      <c r="DP14" s="387" t="n"/>
      <c r="DQ14" s="387" t="n"/>
      <c r="DR14" s="388" t="n"/>
      <c r="DT14" s="253" t="inlineStr">
        <is>
          <t>時間外</t>
        </is>
      </c>
      <c r="DU14" s="384" t="n"/>
      <c r="DV14" s="384" t="n"/>
      <c r="DW14" s="385" t="n"/>
      <c r="DX14" s="386">
        <f>IF(Q12="作業者5",K15-K12,0)</f>
        <v/>
      </c>
      <c r="DY14" s="387" t="n"/>
      <c r="DZ14" s="387" t="n"/>
      <c r="EA14" s="387" t="n"/>
      <c r="EB14" s="388" t="n"/>
    </row>
    <row r="15" ht="9" customHeight="1" s="337">
      <c r="B15" s="389" t="n"/>
      <c r="C15" s="390" t="n"/>
      <c r="D15" s="391" t="n"/>
      <c r="E15" s="392" t="n"/>
      <c r="F15" s="390" t="n"/>
      <c r="G15" s="391" t="n"/>
      <c r="H15" s="392" t="n"/>
      <c r="I15" s="390" t="n"/>
      <c r="J15" s="391" t="n"/>
      <c r="K15" s="392" t="n"/>
      <c r="L15" s="390" t="n"/>
      <c r="M15" s="391" t="n"/>
      <c r="N15" s="392" t="n"/>
      <c r="O15" s="390" t="n"/>
      <c r="P15" s="391" t="n"/>
      <c r="Q15" s="393" t="n"/>
      <c r="R15" s="390" t="n"/>
      <c r="S15" s="391" t="n"/>
      <c r="T15" s="393" t="n"/>
      <c r="U15" s="390" t="n"/>
      <c r="V15" s="391" t="n"/>
      <c r="W15" s="393" t="n"/>
      <c r="X15" s="390" t="n"/>
      <c r="Y15" s="390" t="n"/>
      <c r="Z15" s="390" t="n"/>
      <c r="AA15" s="390" t="n"/>
      <c r="AB15" s="390" t="n"/>
      <c r="AC15" s="390" t="n"/>
      <c r="AD15" s="390" t="n"/>
      <c r="AE15" s="390" t="n"/>
      <c r="AF15" s="390" t="n"/>
      <c r="AG15" s="390" t="n"/>
      <c r="AH15" s="390" t="n"/>
      <c r="AI15" s="390" t="n"/>
      <c r="AJ15" s="390" t="n"/>
      <c r="AK15" s="390" t="n"/>
      <c r="AL15" s="390" t="n"/>
      <c r="AM15" s="390" t="n"/>
      <c r="AN15" s="390" t="n"/>
      <c r="AO15" s="390" t="n"/>
      <c r="AP15" s="390" t="n"/>
      <c r="AQ15" s="390" t="n"/>
      <c r="AR15" s="390" t="n"/>
      <c r="AS15" s="390" t="n"/>
      <c r="AT15" s="390" t="n"/>
      <c r="AU15" s="390" t="n"/>
      <c r="AV15" s="390" t="n"/>
      <c r="AW15" s="390" t="n"/>
      <c r="AX15" s="390" t="n"/>
      <c r="AY15" s="390" t="n"/>
      <c r="AZ15" s="390" t="n"/>
      <c r="BA15" s="390" t="n"/>
      <c r="BB15" s="390" t="n"/>
      <c r="BC15" s="390" t="n"/>
      <c r="BD15" s="390" t="n"/>
      <c r="BE15" s="390" t="n"/>
      <c r="BF15" s="390" t="n"/>
      <c r="BG15" s="390" t="n"/>
      <c r="BH15" s="390" t="n"/>
      <c r="BI15" s="390" t="n"/>
      <c r="BJ15" s="390" t="n"/>
      <c r="BK15" s="390" t="n"/>
      <c r="BL15" s="390" t="n"/>
      <c r="BM15" s="390" t="n"/>
      <c r="BN15" s="390" t="n"/>
      <c r="BO15" s="390" t="n"/>
      <c r="BP15" s="390" t="n"/>
      <c r="BQ15" s="390" t="n"/>
      <c r="BR15" s="390" t="n"/>
      <c r="BS15" s="390" t="n"/>
      <c r="BT15" s="390" t="n"/>
      <c r="BU15" s="390" t="n"/>
      <c r="BV15" s="390" t="n"/>
      <c r="BW15" s="390" t="n"/>
      <c r="BX15" s="390" t="n"/>
      <c r="BY15" s="390" t="n"/>
      <c r="BZ15" s="390" t="n"/>
      <c r="CA15" s="390" t="n"/>
      <c r="CB15" s="390" t="n"/>
      <c r="CC15" s="394" t="n"/>
      <c r="CF15" s="254" t="inlineStr">
        <is>
          <t>休日</t>
        </is>
      </c>
      <c r="CG15" s="395" t="n"/>
      <c r="CH15" s="395" t="n"/>
      <c r="CI15" s="396" t="n"/>
      <c r="CJ15" s="397">
        <f>IF(Q12="作業者1",N15-N12,0)</f>
        <v/>
      </c>
      <c r="CK15" s="395" t="n"/>
      <c r="CL15" s="395" t="n"/>
      <c r="CM15" s="395" t="n"/>
      <c r="CN15" s="396" t="n"/>
      <c r="CP15" s="254" t="inlineStr">
        <is>
          <t>休日</t>
        </is>
      </c>
      <c r="CQ15" s="395" t="n"/>
      <c r="CR15" s="395" t="n"/>
      <c r="CS15" s="396" t="n"/>
      <c r="CT15" s="397">
        <f>IF(Q12="作業者2",N15-N12,0)</f>
        <v/>
      </c>
      <c r="CU15" s="395" t="n"/>
      <c r="CV15" s="395" t="n"/>
      <c r="CW15" s="395" t="n"/>
      <c r="CX15" s="396" t="n"/>
      <c r="CZ15" s="254" t="inlineStr">
        <is>
          <t>休日</t>
        </is>
      </c>
      <c r="DA15" s="395" t="n"/>
      <c r="DB15" s="395" t="n"/>
      <c r="DC15" s="396" t="n"/>
      <c r="DD15" s="397">
        <f>IF(Q12="作業者3",N15-N12,0)</f>
        <v/>
      </c>
      <c r="DE15" s="395" t="n"/>
      <c r="DF15" s="395" t="n"/>
      <c r="DG15" s="395" t="n"/>
      <c r="DH15" s="396" t="n"/>
      <c r="DJ15" s="254" t="inlineStr">
        <is>
          <t>休日</t>
        </is>
      </c>
      <c r="DK15" s="395" t="n"/>
      <c r="DL15" s="395" t="n"/>
      <c r="DM15" s="396" t="n"/>
      <c r="DN15" s="397">
        <f>IF(Q12="作業者4",N15-N12,0)</f>
        <v/>
      </c>
      <c r="DO15" s="395" t="n"/>
      <c r="DP15" s="395" t="n"/>
      <c r="DQ15" s="395" t="n"/>
      <c r="DR15" s="396" t="n"/>
      <c r="DT15" s="254" t="inlineStr">
        <is>
          <t>休日</t>
        </is>
      </c>
      <c r="DU15" s="395" t="n"/>
      <c r="DV15" s="395" t="n"/>
      <c r="DW15" s="396" t="n"/>
      <c r="DX15" s="397">
        <f>IF(Q12="作業者5",N15-N12,0)</f>
        <v/>
      </c>
      <c r="DY15" s="395" t="n"/>
      <c r="DZ15" s="395" t="n"/>
      <c r="EA15" s="395" t="n"/>
      <c r="EB15" s="396" t="n"/>
    </row>
    <row r="16" ht="9" customHeight="1" s="337">
      <c r="B16" s="398" t="n"/>
      <c r="C16" s="372" t="n"/>
      <c r="D16" s="373" t="n"/>
      <c r="E16" s="399" t="n"/>
      <c r="F16" s="372" t="n"/>
      <c r="G16" s="373" t="n"/>
      <c r="H16" s="399" t="n"/>
      <c r="I16" s="372" t="n"/>
      <c r="J16" s="373" t="n"/>
      <c r="K16" s="399" t="n"/>
      <c r="L16" s="372" t="n"/>
      <c r="M16" s="373" t="n"/>
      <c r="N16" s="399" t="n"/>
      <c r="O16" s="372" t="n"/>
      <c r="P16" s="373" t="n"/>
      <c r="Q16" s="371" t="n"/>
      <c r="R16" s="372" t="n"/>
      <c r="S16" s="373" t="n"/>
      <c r="T16" s="400" t="n"/>
      <c r="U16" s="372" t="n"/>
      <c r="V16" s="373" t="n"/>
      <c r="W16" s="443" t="n"/>
      <c r="X16" s="372" t="n"/>
      <c r="Y16" s="372" t="n"/>
      <c r="Z16" s="372" t="n"/>
      <c r="AA16" s="372" t="n"/>
      <c r="AB16" s="372" t="n"/>
      <c r="AC16" s="372" t="n"/>
      <c r="AD16" s="372" t="n"/>
      <c r="AE16" s="372" t="n"/>
      <c r="AF16" s="372" t="n"/>
      <c r="AG16" s="372" t="n"/>
      <c r="AH16" s="372" t="n"/>
      <c r="AI16" s="372" t="n"/>
      <c r="AJ16" s="372" t="n"/>
      <c r="AK16" s="372" t="n"/>
      <c r="AL16" s="372" t="n"/>
      <c r="AM16" s="372" t="n"/>
      <c r="AN16" s="372" t="n"/>
      <c r="AO16" s="372" t="n"/>
      <c r="AP16" s="372" t="n"/>
      <c r="AQ16" s="372" t="n"/>
      <c r="AR16" s="372" t="n"/>
      <c r="AS16" s="372" t="n"/>
      <c r="AT16" s="372" t="n"/>
      <c r="AU16" s="372" t="n"/>
      <c r="AV16" s="372" t="n"/>
      <c r="AW16" s="372" t="n"/>
      <c r="AX16" s="372" t="n"/>
      <c r="AY16" s="372" t="n"/>
      <c r="AZ16" s="372" t="n"/>
      <c r="BA16" s="372" t="n"/>
      <c r="BB16" s="372" t="n"/>
      <c r="BC16" s="372" t="n"/>
      <c r="BD16" s="372" t="n"/>
      <c r="BE16" s="372" t="n"/>
      <c r="BF16" s="372" t="n"/>
      <c r="BG16" s="372" t="n"/>
      <c r="BH16" s="372" t="n"/>
      <c r="BI16" s="372" t="n"/>
      <c r="BJ16" s="372" t="n"/>
      <c r="BK16" s="372" t="n"/>
      <c r="BL16" s="372" t="n"/>
      <c r="BM16" s="372" t="n"/>
      <c r="BN16" s="372" t="n"/>
      <c r="BO16" s="372" t="n"/>
      <c r="BP16" s="372" t="n"/>
      <c r="BQ16" s="372" t="n"/>
      <c r="BR16" s="372" t="n"/>
      <c r="BS16" s="372" t="n"/>
      <c r="BT16" s="372" t="n"/>
      <c r="BU16" s="372" t="n"/>
      <c r="BV16" s="372" t="n"/>
      <c r="BW16" s="372" t="n"/>
      <c r="BX16" s="372" t="n"/>
      <c r="BY16" s="372" t="n"/>
      <c r="BZ16" s="372" t="n"/>
      <c r="CA16" s="372" t="n"/>
      <c r="CB16" s="372" t="n"/>
      <c r="CC16" s="402" t="n"/>
      <c r="CD16" s="30" t="n"/>
      <c r="CE16" s="31" t="n"/>
      <c r="CF16" s="259" t="inlineStr">
        <is>
          <t>移動</t>
        </is>
      </c>
      <c r="CG16" s="403" t="n"/>
      <c r="CH16" s="403" t="n"/>
      <c r="CI16" s="404" t="n"/>
      <c r="CJ16" s="379">
        <f>IF(Q16="作業者1",E19-E16,0)</f>
        <v/>
      </c>
      <c r="CK16" s="377" t="n"/>
      <c r="CL16" s="377" t="n"/>
      <c r="CM16" s="377" t="n"/>
      <c r="CN16" s="378" t="n"/>
      <c r="CP16" s="248" t="inlineStr">
        <is>
          <t>移動</t>
        </is>
      </c>
      <c r="CQ16" s="377" t="n"/>
      <c r="CR16" s="377" t="n"/>
      <c r="CS16" s="378" t="n"/>
      <c r="CT16" s="379">
        <f>IF(Q16="作業者2",E19-E16,0)</f>
        <v/>
      </c>
      <c r="CU16" s="377" t="n"/>
      <c r="CV16" s="377" t="n"/>
      <c r="CW16" s="377" t="n"/>
      <c r="CX16" s="378" t="n"/>
      <c r="CZ16" s="259" t="inlineStr">
        <is>
          <t>移動</t>
        </is>
      </c>
      <c r="DA16" s="403" t="n"/>
      <c r="DB16" s="403" t="n"/>
      <c r="DC16" s="404" t="n"/>
      <c r="DD16" s="405">
        <f>IF(Q16="作業者3",E19-E16,0)</f>
        <v/>
      </c>
      <c r="DE16" s="406" t="n"/>
      <c r="DF16" s="406" t="n"/>
      <c r="DG16" s="406" t="n"/>
      <c r="DH16" s="407" t="n"/>
      <c r="DJ16" s="259" t="inlineStr">
        <is>
          <t>移動</t>
        </is>
      </c>
      <c r="DK16" s="403" t="n"/>
      <c r="DL16" s="403" t="n"/>
      <c r="DM16" s="404" t="n"/>
      <c r="DN16" s="379">
        <f>IF(Q16="作業者4",E19-E16,0)</f>
        <v/>
      </c>
      <c r="DO16" s="377" t="n"/>
      <c r="DP16" s="377" t="n"/>
      <c r="DQ16" s="377" t="n"/>
      <c r="DR16" s="378" t="n"/>
      <c r="DT16" s="259" t="inlineStr">
        <is>
          <t>移動</t>
        </is>
      </c>
      <c r="DU16" s="403" t="n"/>
      <c r="DV16" s="403" t="n"/>
      <c r="DW16" s="404" t="n"/>
      <c r="DX16" s="379">
        <f>IF(Q16="作業者5",E19-E16,0)</f>
        <v/>
      </c>
      <c r="DY16" s="377" t="n"/>
      <c r="DZ16" s="377" t="n"/>
      <c r="EA16" s="377" t="n"/>
      <c r="EB16" s="378" t="n"/>
    </row>
    <row r="17" ht="9" customHeight="1" s="337">
      <c r="B17" s="350" t="n"/>
      <c r="C17" s="338" t="n"/>
      <c r="D17" s="380" t="n"/>
      <c r="E17" s="381" t="n"/>
      <c r="F17" s="122" t="inlineStr">
        <is>
          <t>～</t>
        </is>
      </c>
      <c r="G17" s="22" t="n"/>
      <c r="H17" s="381" t="n"/>
      <c r="I17" s="122" t="inlineStr">
        <is>
          <t>～</t>
        </is>
      </c>
      <c r="J17" s="22" t="n"/>
      <c r="K17" s="381" t="n"/>
      <c r="L17" s="122" t="inlineStr">
        <is>
          <t>～</t>
        </is>
      </c>
      <c r="M17" s="22" t="n"/>
      <c r="N17" s="381" t="n"/>
      <c r="O17" s="122" t="inlineStr">
        <is>
          <t>～</t>
        </is>
      </c>
      <c r="P17" s="22" t="n"/>
      <c r="Q17" s="382" t="n"/>
      <c r="R17" s="338" t="n"/>
      <c r="S17" s="380" t="n"/>
      <c r="T17" s="382" t="n"/>
      <c r="U17" s="338" t="n"/>
      <c r="V17" s="380" t="n"/>
      <c r="W17" s="382" t="n"/>
      <c r="X17" s="338" t="n"/>
      <c r="Y17" s="338" t="n"/>
      <c r="Z17" s="338" t="n"/>
      <c r="AA17" s="338" t="n"/>
      <c r="AB17" s="338" t="n"/>
      <c r="AC17" s="338" t="n"/>
      <c r="AD17" s="338" t="n"/>
      <c r="AE17" s="338" t="n"/>
      <c r="AF17" s="338" t="n"/>
      <c r="AG17" s="338" t="n"/>
      <c r="AH17" s="338" t="n"/>
      <c r="AI17" s="338" t="n"/>
      <c r="AJ17" s="338" t="n"/>
      <c r="AK17" s="338" t="n"/>
      <c r="AL17" s="338" t="n"/>
      <c r="AM17" s="338" t="n"/>
      <c r="AN17" s="338" t="n"/>
      <c r="AO17" s="338" t="n"/>
      <c r="AP17" s="338" t="n"/>
      <c r="AQ17" s="338" t="n"/>
      <c r="AR17" s="338" t="n"/>
      <c r="AS17" s="338" t="n"/>
      <c r="AT17" s="338" t="n"/>
      <c r="AU17" s="338" t="n"/>
      <c r="AV17" s="338" t="n"/>
      <c r="AW17" s="338" t="n"/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8" t="n"/>
      <c r="BH17" s="338" t="n"/>
      <c r="BI17" s="338" t="n"/>
      <c r="BJ17" s="338" t="n"/>
      <c r="BK17" s="338" t="n"/>
      <c r="BL17" s="338" t="n"/>
      <c r="BM17" s="338" t="n"/>
      <c r="BN17" s="338" t="n"/>
      <c r="BO17" s="338" t="n"/>
      <c r="BP17" s="338" t="n"/>
      <c r="BQ17" s="338" t="n"/>
      <c r="BR17" s="338" t="n"/>
      <c r="BS17" s="338" t="n"/>
      <c r="BT17" s="338" t="n"/>
      <c r="BU17" s="338" t="n"/>
      <c r="BV17" s="338" t="n"/>
      <c r="BW17" s="338" t="n"/>
      <c r="BX17" s="338" t="n"/>
      <c r="BY17" s="338" t="n"/>
      <c r="BZ17" s="338" t="n"/>
      <c r="CA17" s="338" t="n"/>
      <c r="CB17" s="338" t="n"/>
      <c r="CC17" s="383" t="n"/>
      <c r="CD17" s="30" t="n"/>
      <c r="CE17" s="31" t="n"/>
      <c r="CF17" s="253" t="inlineStr">
        <is>
          <t>時間内</t>
        </is>
      </c>
      <c r="CG17" s="384" t="n"/>
      <c r="CH17" s="384" t="n"/>
      <c r="CI17" s="385" t="n"/>
      <c r="CJ17" s="386">
        <f>IF(Q16="作業者1",H19-H16,0)</f>
        <v/>
      </c>
      <c r="CK17" s="387" t="n"/>
      <c r="CL17" s="387" t="n"/>
      <c r="CM17" s="387" t="n"/>
      <c r="CN17" s="388" t="n"/>
      <c r="CP17" s="253" t="inlineStr">
        <is>
          <t>時間内</t>
        </is>
      </c>
      <c r="CQ17" s="384" t="n"/>
      <c r="CR17" s="384" t="n"/>
      <c r="CS17" s="385" t="n"/>
      <c r="CT17" s="386">
        <f>IF(Q16="作業者2",H19-H16,0)</f>
        <v/>
      </c>
      <c r="CU17" s="387" t="n"/>
      <c r="CV17" s="387" t="n"/>
      <c r="CW17" s="387" t="n"/>
      <c r="CX17" s="388" t="n"/>
      <c r="CZ17" s="253" t="inlineStr">
        <is>
          <t>時間内</t>
        </is>
      </c>
      <c r="DA17" s="384" t="n"/>
      <c r="DB17" s="384" t="n"/>
      <c r="DC17" s="385" t="n"/>
      <c r="DD17" s="386">
        <f>IF(Q16="作業者3",H19-H16,0)</f>
        <v/>
      </c>
      <c r="DE17" s="387" t="n"/>
      <c r="DF17" s="387" t="n"/>
      <c r="DG17" s="387" t="n"/>
      <c r="DH17" s="388" t="n"/>
      <c r="DJ17" s="253" t="inlineStr">
        <is>
          <t>時間内</t>
        </is>
      </c>
      <c r="DK17" s="384" t="n"/>
      <c r="DL17" s="384" t="n"/>
      <c r="DM17" s="385" t="n"/>
      <c r="DN17" s="386">
        <f>IF(Q16="作業者4",H19-H16,0)</f>
        <v/>
      </c>
      <c r="DO17" s="387" t="n"/>
      <c r="DP17" s="387" t="n"/>
      <c r="DQ17" s="387" t="n"/>
      <c r="DR17" s="388" t="n"/>
      <c r="DT17" s="253" t="inlineStr">
        <is>
          <t>時間内</t>
        </is>
      </c>
      <c r="DU17" s="384" t="n"/>
      <c r="DV17" s="384" t="n"/>
      <c r="DW17" s="385" t="n"/>
      <c r="DX17" s="386">
        <f>IF(Q16="作業者5",H19-H16,0)</f>
        <v/>
      </c>
      <c r="DY17" s="387" t="n"/>
      <c r="DZ17" s="387" t="n"/>
      <c r="EA17" s="387" t="n"/>
      <c r="EB17" s="388" t="n"/>
    </row>
    <row r="18" ht="9" customHeight="1" s="337">
      <c r="B18" s="350" t="n"/>
      <c r="C18" s="338" t="n"/>
      <c r="D18" s="380" t="n"/>
      <c r="E18" s="23" t="n"/>
      <c r="F18" s="338" t="n"/>
      <c r="G18" s="24" t="n"/>
      <c r="H18" s="23" t="n"/>
      <c r="I18" s="338" t="n"/>
      <c r="J18" s="24" t="n"/>
      <c r="K18" s="23" t="n"/>
      <c r="L18" s="338" t="n"/>
      <c r="M18" s="24" t="n"/>
      <c r="N18" s="23" t="n"/>
      <c r="O18" s="338" t="n"/>
      <c r="P18" s="24" t="n"/>
      <c r="Q18" s="382" t="n"/>
      <c r="R18" s="338" t="n"/>
      <c r="S18" s="380" t="n"/>
      <c r="T18" s="382" t="n"/>
      <c r="U18" s="338" t="n"/>
      <c r="V18" s="380" t="n"/>
      <c r="W18" s="382" t="n"/>
      <c r="X18" s="338" t="n"/>
      <c r="Y18" s="338" t="n"/>
      <c r="Z18" s="338" t="n"/>
      <c r="AA18" s="338" t="n"/>
      <c r="AB18" s="338" t="n"/>
      <c r="AC18" s="338" t="n"/>
      <c r="AD18" s="338" t="n"/>
      <c r="AE18" s="338" t="n"/>
      <c r="AF18" s="338" t="n"/>
      <c r="AG18" s="338" t="n"/>
      <c r="AH18" s="338" t="n"/>
      <c r="AI18" s="338" t="n"/>
      <c r="AJ18" s="338" t="n"/>
      <c r="AK18" s="338" t="n"/>
      <c r="AL18" s="338" t="n"/>
      <c r="AM18" s="338" t="n"/>
      <c r="AN18" s="338" t="n"/>
      <c r="AO18" s="338" t="n"/>
      <c r="AP18" s="338" t="n"/>
      <c r="AQ18" s="338" t="n"/>
      <c r="AR18" s="338" t="n"/>
      <c r="AS18" s="338" t="n"/>
      <c r="AT18" s="338" t="n"/>
      <c r="AU18" s="338" t="n"/>
      <c r="AV18" s="338" t="n"/>
      <c r="AW18" s="338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8" t="n"/>
      <c r="BH18" s="338" t="n"/>
      <c r="BI18" s="338" t="n"/>
      <c r="BJ18" s="338" t="n"/>
      <c r="BK18" s="338" t="n"/>
      <c r="BL18" s="338" t="n"/>
      <c r="BM18" s="338" t="n"/>
      <c r="BN18" s="338" t="n"/>
      <c r="BO18" s="338" t="n"/>
      <c r="BP18" s="338" t="n"/>
      <c r="BQ18" s="338" t="n"/>
      <c r="BR18" s="338" t="n"/>
      <c r="BS18" s="338" t="n"/>
      <c r="BT18" s="338" t="n"/>
      <c r="BU18" s="338" t="n"/>
      <c r="BV18" s="338" t="n"/>
      <c r="BW18" s="338" t="n"/>
      <c r="BX18" s="338" t="n"/>
      <c r="BY18" s="338" t="n"/>
      <c r="BZ18" s="338" t="n"/>
      <c r="CA18" s="338" t="n"/>
      <c r="CB18" s="338" t="n"/>
      <c r="CC18" s="383" t="n"/>
      <c r="CD18" s="30" t="n"/>
      <c r="CE18" s="31" t="n"/>
      <c r="CF18" s="253" t="inlineStr">
        <is>
          <t>時間外</t>
        </is>
      </c>
      <c r="CG18" s="384" t="n"/>
      <c r="CH18" s="384" t="n"/>
      <c r="CI18" s="385" t="n"/>
      <c r="CJ18" s="386">
        <f>IF(Q16="作業者1",K19-K16,0)</f>
        <v/>
      </c>
      <c r="CK18" s="387" t="n"/>
      <c r="CL18" s="387" t="n"/>
      <c r="CM18" s="387" t="n"/>
      <c r="CN18" s="388" t="n"/>
      <c r="CP18" s="253" t="inlineStr">
        <is>
          <t>時間外</t>
        </is>
      </c>
      <c r="CQ18" s="384" t="n"/>
      <c r="CR18" s="384" t="n"/>
      <c r="CS18" s="385" t="n"/>
      <c r="CT18" s="386">
        <f>IF(Q16="作業者2",K19-K16,0)</f>
        <v/>
      </c>
      <c r="CU18" s="387" t="n"/>
      <c r="CV18" s="387" t="n"/>
      <c r="CW18" s="387" t="n"/>
      <c r="CX18" s="388" t="n"/>
      <c r="CZ18" s="253" t="inlineStr">
        <is>
          <t>時間外</t>
        </is>
      </c>
      <c r="DA18" s="384" t="n"/>
      <c r="DB18" s="384" t="n"/>
      <c r="DC18" s="385" t="n"/>
      <c r="DD18" s="386">
        <f>IF(Q16="作業者3",K19-K16,0)</f>
        <v/>
      </c>
      <c r="DE18" s="387" t="n"/>
      <c r="DF18" s="387" t="n"/>
      <c r="DG18" s="387" t="n"/>
      <c r="DH18" s="388" t="n"/>
      <c r="DJ18" s="253" t="inlineStr">
        <is>
          <t>時間外</t>
        </is>
      </c>
      <c r="DK18" s="384" t="n"/>
      <c r="DL18" s="384" t="n"/>
      <c r="DM18" s="385" t="n"/>
      <c r="DN18" s="386">
        <f>IF(Q16="作業者4",K19-K16,0)</f>
        <v/>
      </c>
      <c r="DO18" s="387" t="n"/>
      <c r="DP18" s="387" t="n"/>
      <c r="DQ18" s="387" t="n"/>
      <c r="DR18" s="388" t="n"/>
      <c r="DT18" s="253" t="inlineStr">
        <is>
          <t>時間外</t>
        </is>
      </c>
      <c r="DU18" s="384" t="n"/>
      <c r="DV18" s="384" t="n"/>
      <c r="DW18" s="385" t="n"/>
      <c r="DX18" s="386">
        <f>IF(Q16="作業者5",K19-K16,0)</f>
        <v/>
      </c>
      <c r="DY18" s="387" t="n"/>
      <c r="DZ18" s="387" t="n"/>
      <c r="EA18" s="387" t="n"/>
      <c r="EB18" s="388" t="n"/>
    </row>
    <row r="19" ht="9" customHeight="1" s="337">
      <c r="B19" s="389" t="n"/>
      <c r="C19" s="390" t="n"/>
      <c r="D19" s="391" t="n"/>
      <c r="E19" s="392" t="n"/>
      <c r="F19" s="390" t="n"/>
      <c r="G19" s="391" t="n"/>
      <c r="H19" s="392" t="n"/>
      <c r="I19" s="390" t="n"/>
      <c r="J19" s="391" t="n"/>
      <c r="K19" s="392" t="n"/>
      <c r="L19" s="390" t="n"/>
      <c r="M19" s="391" t="n"/>
      <c r="N19" s="392" t="n"/>
      <c r="O19" s="390" t="n"/>
      <c r="P19" s="391" t="n"/>
      <c r="Q19" s="393" t="n"/>
      <c r="R19" s="390" t="n"/>
      <c r="S19" s="391" t="n"/>
      <c r="T19" s="393" t="n"/>
      <c r="U19" s="390" t="n"/>
      <c r="V19" s="391" t="n"/>
      <c r="W19" s="393" t="n"/>
      <c r="X19" s="390" t="n"/>
      <c r="Y19" s="390" t="n"/>
      <c r="Z19" s="390" t="n"/>
      <c r="AA19" s="390" t="n"/>
      <c r="AB19" s="390" t="n"/>
      <c r="AC19" s="390" t="n"/>
      <c r="AD19" s="390" t="n"/>
      <c r="AE19" s="390" t="n"/>
      <c r="AF19" s="390" t="n"/>
      <c r="AG19" s="390" t="n"/>
      <c r="AH19" s="390" t="n"/>
      <c r="AI19" s="390" t="n"/>
      <c r="AJ19" s="390" t="n"/>
      <c r="AK19" s="390" t="n"/>
      <c r="AL19" s="390" t="n"/>
      <c r="AM19" s="390" t="n"/>
      <c r="AN19" s="390" t="n"/>
      <c r="AO19" s="390" t="n"/>
      <c r="AP19" s="390" t="n"/>
      <c r="AQ19" s="390" t="n"/>
      <c r="AR19" s="390" t="n"/>
      <c r="AS19" s="390" t="n"/>
      <c r="AT19" s="390" t="n"/>
      <c r="AU19" s="390" t="n"/>
      <c r="AV19" s="390" t="n"/>
      <c r="AW19" s="390" t="n"/>
      <c r="AX19" s="390" t="n"/>
      <c r="AY19" s="390" t="n"/>
      <c r="AZ19" s="390" t="n"/>
      <c r="BA19" s="390" t="n"/>
      <c r="BB19" s="390" t="n"/>
      <c r="BC19" s="390" t="n"/>
      <c r="BD19" s="390" t="n"/>
      <c r="BE19" s="390" t="n"/>
      <c r="BF19" s="390" t="n"/>
      <c r="BG19" s="390" t="n"/>
      <c r="BH19" s="390" t="n"/>
      <c r="BI19" s="390" t="n"/>
      <c r="BJ19" s="390" t="n"/>
      <c r="BK19" s="390" t="n"/>
      <c r="BL19" s="390" t="n"/>
      <c r="BM19" s="390" t="n"/>
      <c r="BN19" s="390" t="n"/>
      <c r="BO19" s="390" t="n"/>
      <c r="BP19" s="390" t="n"/>
      <c r="BQ19" s="390" t="n"/>
      <c r="BR19" s="390" t="n"/>
      <c r="BS19" s="390" t="n"/>
      <c r="BT19" s="390" t="n"/>
      <c r="BU19" s="390" t="n"/>
      <c r="BV19" s="390" t="n"/>
      <c r="BW19" s="390" t="n"/>
      <c r="BX19" s="390" t="n"/>
      <c r="BY19" s="390" t="n"/>
      <c r="BZ19" s="390" t="n"/>
      <c r="CA19" s="390" t="n"/>
      <c r="CB19" s="390" t="n"/>
      <c r="CC19" s="394" t="n"/>
      <c r="CD19" s="30" t="n"/>
      <c r="CE19" s="31" t="n"/>
      <c r="CF19" s="249" t="inlineStr">
        <is>
          <t>休日</t>
        </is>
      </c>
      <c r="CG19" s="408" t="n"/>
      <c r="CH19" s="408" t="n"/>
      <c r="CI19" s="409" t="n"/>
      <c r="CJ19" s="386">
        <f>IF(Q16="作業者1",N19-N16,0)</f>
        <v/>
      </c>
      <c r="CK19" s="387" t="n"/>
      <c r="CL19" s="387" t="n"/>
      <c r="CM19" s="387" t="n"/>
      <c r="CN19" s="388" t="n"/>
      <c r="CP19" s="253" t="inlineStr">
        <is>
          <t>休日</t>
        </is>
      </c>
      <c r="CQ19" s="384" t="n"/>
      <c r="CR19" s="384" t="n"/>
      <c r="CS19" s="385" t="n"/>
      <c r="CT19" s="386">
        <f>IF(Q16="作業者2",N19-N16,0)</f>
        <v/>
      </c>
      <c r="CU19" s="387" t="n"/>
      <c r="CV19" s="387" t="n"/>
      <c r="CW19" s="387" t="n"/>
      <c r="CX19" s="388" t="n"/>
      <c r="CZ19" s="254" t="inlineStr">
        <is>
          <t>休日</t>
        </is>
      </c>
      <c r="DA19" s="395" t="n"/>
      <c r="DB19" s="395" t="n"/>
      <c r="DC19" s="396" t="n"/>
      <c r="DD19" s="397">
        <f>IF(Q16="作業者3",N19-N16,0)</f>
        <v/>
      </c>
      <c r="DE19" s="395" t="n"/>
      <c r="DF19" s="395" t="n"/>
      <c r="DG19" s="395" t="n"/>
      <c r="DH19" s="396" t="n"/>
      <c r="DJ19" s="254" t="inlineStr">
        <is>
          <t>休日</t>
        </is>
      </c>
      <c r="DK19" s="395" t="n"/>
      <c r="DL19" s="395" t="n"/>
      <c r="DM19" s="396" t="n"/>
      <c r="DN19" s="397">
        <f>IF(Q16="作業者4",N19-N16,0)</f>
        <v/>
      </c>
      <c r="DO19" s="395" t="n"/>
      <c r="DP19" s="395" t="n"/>
      <c r="DQ19" s="395" t="n"/>
      <c r="DR19" s="396" t="n"/>
      <c r="DT19" s="254" t="inlineStr">
        <is>
          <t>休日</t>
        </is>
      </c>
      <c r="DU19" s="395" t="n"/>
      <c r="DV19" s="395" t="n"/>
      <c r="DW19" s="396" t="n"/>
      <c r="DX19" s="397">
        <f>IF(Q16="作業者5",N19-N16,0)</f>
        <v/>
      </c>
      <c r="DY19" s="395" t="n"/>
      <c r="DZ19" s="395" t="n"/>
      <c r="EA19" s="395" t="n"/>
      <c r="EB19" s="396" t="n"/>
    </row>
    <row r="20" ht="9" customHeight="1" s="337">
      <c r="B20" s="398" t="n"/>
      <c r="C20" s="372" t="n"/>
      <c r="D20" s="373" t="n"/>
      <c r="E20" s="399" t="n"/>
      <c r="F20" s="372" t="n"/>
      <c r="G20" s="373" t="n"/>
      <c r="H20" s="399" t="n"/>
      <c r="I20" s="372" t="n"/>
      <c r="J20" s="373" t="n"/>
      <c r="K20" s="399" t="n"/>
      <c r="L20" s="372" t="n"/>
      <c r="M20" s="373" t="n"/>
      <c r="N20" s="399" t="n"/>
      <c r="O20" s="372" t="n"/>
      <c r="P20" s="373" t="n"/>
      <c r="Q20" s="371" t="n"/>
      <c r="R20" s="372" t="n"/>
      <c r="S20" s="373" t="n"/>
      <c r="T20" s="371" t="n"/>
      <c r="U20" s="372" t="n"/>
      <c r="V20" s="373" t="n"/>
      <c r="W20" s="443" t="n"/>
      <c r="X20" s="372" t="n"/>
      <c r="Y20" s="372" t="n"/>
      <c r="Z20" s="372" t="n"/>
      <c r="AA20" s="372" t="n"/>
      <c r="AB20" s="372" t="n"/>
      <c r="AC20" s="372" t="n"/>
      <c r="AD20" s="372" t="n"/>
      <c r="AE20" s="372" t="n"/>
      <c r="AF20" s="372" t="n"/>
      <c r="AG20" s="372" t="n"/>
      <c r="AH20" s="372" t="n"/>
      <c r="AI20" s="372" t="n"/>
      <c r="AJ20" s="372" t="n"/>
      <c r="AK20" s="372" t="n"/>
      <c r="AL20" s="372" t="n"/>
      <c r="AM20" s="372" t="n"/>
      <c r="AN20" s="372" t="n"/>
      <c r="AO20" s="372" t="n"/>
      <c r="AP20" s="372" t="n"/>
      <c r="AQ20" s="372" t="n"/>
      <c r="AR20" s="372" t="n"/>
      <c r="AS20" s="372" t="n"/>
      <c r="AT20" s="372" t="n"/>
      <c r="AU20" s="372" t="n"/>
      <c r="AV20" s="372" t="n"/>
      <c r="AW20" s="372" t="n"/>
      <c r="AX20" s="372" t="n"/>
      <c r="AY20" s="372" t="n"/>
      <c r="AZ20" s="372" t="n"/>
      <c r="BA20" s="372" t="n"/>
      <c r="BB20" s="372" t="n"/>
      <c r="BC20" s="372" t="n"/>
      <c r="BD20" s="372" t="n"/>
      <c r="BE20" s="372" t="n"/>
      <c r="BF20" s="372" t="n"/>
      <c r="BG20" s="372" t="n"/>
      <c r="BH20" s="372" t="n"/>
      <c r="BI20" s="372" t="n"/>
      <c r="BJ20" s="372" t="n"/>
      <c r="BK20" s="372" t="n"/>
      <c r="BL20" s="372" t="n"/>
      <c r="BM20" s="372" t="n"/>
      <c r="BN20" s="372" t="n"/>
      <c r="BO20" s="372" t="n"/>
      <c r="BP20" s="372" t="n"/>
      <c r="BQ20" s="372" t="n"/>
      <c r="BR20" s="372" t="n"/>
      <c r="BS20" s="372" t="n"/>
      <c r="BT20" s="372" t="n"/>
      <c r="BU20" s="372" t="n"/>
      <c r="BV20" s="372" t="n"/>
      <c r="BW20" s="372" t="n"/>
      <c r="BX20" s="372" t="n"/>
      <c r="BY20" s="372" t="n"/>
      <c r="BZ20" s="372" t="n"/>
      <c r="CA20" s="372" t="n"/>
      <c r="CB20" s="372" t="n"/>
      <c r="CC20" s="402" t="n"/>
      <c r="CF20" s="248" t="inlineStr">
        <is>
          <t>移動</t>
        </is>
      </c>
      <c r="CG20" s="377" t="n"/>
      <c r="CH20" s="377" t="n"/>
      <c r="CI20" s="378" t="n"/>
      <c r="CJ20" s="379">
        <f>IF(Q20="作業者1",E23-E20,0)</f>
        <v/>
      </c>
      <c r="CK20" s="377" t="n"/>
      <c r="CL20" s="377" t="n"/>
      <c r="CM20" s="377" t="n"/>
      <c r="CN20" s="378" t="n"/>
      <c r="CP20" s="248" t="inlineStr">
        <is>
          <t>移動</t>
        </is>
      </c>
      <c r="CQ20" s="377" t="n"/>
      <c r="CR20" s="377" t="n"/>
      <c r="CS20" s="378" t="n"/>
      <c r="CT20" s="379">
        <f>IF(Q20="作業者2",E23-E20,0)</f>
        <v/>
      </c>
      <c r="CU20" s="377" t="n"/>
      <c r="CV20" s="377" t="n"/>
      <c r="CW20" s="377" t="n"/>
      <c r="CX20" s="378" t="n"/>
      <c r="CZ20" s="259" t="inlineStr">
        <is>
          <t>移動</t>
        </is>
      </c>
      <c r="DA20" s="403" t="n"/>
      <c r="DB20" s="403" t="n"/>
      <c r="DC20" s="404" t="n"/>
      <c r="DD20" s="405">
        <f>IF(Q20="作業者3",E23-E20,0)</f>
        <v/>
      </c>
      <c r="DE20" s="406" t="n"/>
      <c r="DF20" s="406" t="n"/>
      <c r="DG20" s="406" t="n"/>
      <c r="DH20" s="407" t="n"/>
      <c r="DJ20" s="259" t="inlineStr">
        <is>
          <t>移動</t>
        </is>
      </c>
      <c r="DK20" s="403" t="n"/>
      <c r="DL20" s="403" t="n"/>
      <c r="DM20" s="404" t="n"/>
      <c r="DN20" s="379">
        <f>IF(Q20="作業者4",E23-E20,0)</f>
        <v/>
      </c>
      <c r="DO20" s="377" t="n"/>
      <c r="DP20" s="377" t="n"/>
      <c r="DQ20" s="377" t="n"/>
      <c r="DR20" s="378" t="n"/>
      <c r="DT20" s="259" t="inlineStr">
        <is>
          <t>移動</t>
        </is>
      </c>
      <c r="DU20" s="403" t="n"/>
      <c r="DV20" s="403" t="n"/>
      <c r="DW20" s="404" t="n"/>
      <c r="DX20" s="379">
        <f>IF(Q20="作業者5",E23-E20,0)</f>
        <v/>
      </c>
      <c r="DY20" s="377" t="n"/>
      <c r="DZ20" s="377" t="n"/>
      <c r="EA20" s="377" t="n"/>
      <c r="EB20" s="378" t="n"/>
    </row>
    <row r="21" ht="9" customHeight="1" s="337">
      <c r="B21" s="350" t="n"/>
      <c r="C21" s="338" t="n"/>
      <c r="D21" s="380" t="n"/>
      <c r="E21" s="381" t="n"/>
      <c r="F21" s="122" t="inlineStr">
        <is>
          <t>～</t>
        </is>
      </c>
      <c r="G21" s="22" t="n"/>
      <c r="H21" s="381" t="n"/>
      <c r="I21" s="122" t="inlineStr">
        <is>
          <t>～</t>
        </is>
      </c>
      <c r="J21" s="22" t="n"/>
      <c r="K21" s="381" t="n"/>
      <c r="L21" s="122" t="inlineStr">
        <is>
          <t>～</t>
        </is>
      </c>
      <c r="M21" s="22" t="n"/>
      <c r="N21" s="381" t="n"/>
      <c r="O21" s="122" t="inlineStr">
        <is>
          <t>～</t>
        </is>
      </c>
      <c r="P21" s="22" t="n"/>
      <c r="Q21" s="382" t="n"/>
      <c r="R21" s="338" t="n"/>
      <c r="S21" s="380" t="n"/>
      <c r="T21" s="382" t="n"/>
      <c r="U21" s="338" t="n"/>
      <c r="V21" s="380" t="n"/>
      <c r="W21" s="382" t="n"/>
      <c r="X21" s="338" t="n"/>
      <c r="Y21" s="338" t="n"/>
      <c r="Z21" s="338" t="n"/>
      <c r="AA21" s="338" t="n"/>
      <c r="AB21" s="338" t="n"/>
      <c r="AC21" s="338" t="n"/>
      <c r="AD21" s="338" t="n"/>
      <c r="AE21" s="338" t="n"/>
      <c r="AF21" s="338" t="n"/>
      <c r="AG21" s="338" t="n"/>
      <c r="AH21" s="338" t="n"/>
      <c r="AI21" s="338" t="n"/>
      <c r="AJ21" s="338" t="n"/>
      <c r="AK21" s="338" t="n"/>
      <c r="AL21" s="338" t="n"/>
      <c r="AM21" s="338" t="n"/>
      <c r="AN21" s="338" t="n"/>
      <c r="AO21" s="338" t="n"/>
      <c r="AP21" s="338" t="n"/>
      <c r="AQ21" s="338" t="n"/>
      <c r="AR21" s="338" t="n"/>
      <c r="AS21" s="338" t="n"/>
      <c r="AT21" s="338" t="n"/>
      <c r="AU21" s="338" t="n"/>
      <c r="AV21" s="338" t="n"/>
      <c r="AW21" s="338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8" t="n"/>
      <c r="BH21" s="338" t="n"/>
      <c r="BI21" s="338" t="n"/>
      <c r="BJ21" s="338" t="n"/>
      <c r="BK21" s="338" t="n"/>
      <c r="BL21" s="338" t="n"/>
      <c r="BM21" s="338" t="n"/>
      <c r="BN21" s="338" t="n"/>
      <c r="BO21" s="338" t="n"/>
      <c r="BP21" s="338" t="n"/>
      <c r="BQ21" s="338" t="n"/>
      <c r="BR21" s="338" t="n"/>
      <c r="BS21" s="338" t="n"/>
      <c r="BT21" s="338" t="n"/>
      <c r="BU21" s="338" t="n"/>
      <c r="BV21" s="338" t="n"/>
      <c r="BW21" s="338" t="n"/>
      <c r="BX21" s="338" t="n"/>
      <c r="BY21" s="338" t="n"/>
      <c r="BZ21" s="338" t="n"/>
      <c r="CA21" s="338" t="n"/>
      <c r="CB21" s="338" t="n"/>
      <c r="CC21" s="383" t="n"/>
      <c r="CF21" s="253" t="inlineStr">
        <is>
          <t>時間内</t>
        </is>
      </c>
      <c r="CG21" s="384" t="n"/>
      <c r="CH21" s="384" t="n"/>
      <c r="CI21" s="385" t="n"/>
      <c r="CJ21" s="386">
        <f>IF(Q20="作業者1",H23-H20,0)</f>
        <v/>
      </c>
      <c r="CK21" s="387" t="n"/>
      <c r="CL21" s="387" t="n"/>
      <c r="CM21" s="387" t="n"/>
      <c r="CN21" s="388" t="n"/>
      <c r="CP21" s="253" t="inlineStr">
        <is>
          <t>時間内</t>
        </is>
      </c>
      <c r="CQ21" s="384" t="n"/>
      <c r="CR21" s="384" t="n"/>
      <c r="CS21" s="385" t="n"/>
      <c r="CT21" s="386">
        <f>IF(Q20="作業者2",H23-H20,0)</f>
        <v/>
      </c>
      <c r="CU21" s="387" t="n"/>
      <c r="CV21" s="387" t="n"/>
      <c r="CW21" s="387" t="n"/>
      <c r="CX21" s="388" t="n"/>
      <c r="CZ21" s="253" t="inlineStr">
        <is>
          <t>時間内</t>
        </is>
      </c>
      <c r="DA21" s="384" t="n"/>
      <c r="DB21" s="384" t="n"/>
      <c r="DC21" s="385" t="n"/>
      <c r="DD21" s="386">
        <f>IF(Q20="作業者3",H23-H20,0)</f>
        <v/>
      </c>
      <c r="DE21" s="387" t="n"/>
      <c r="DF21" s="387" t="n"/>
      <c r="DG21" s="387" t="n"/>
      <c r="DH21" s="388" t="n"/>
      <c r="DJ21" s="253" t="inlineStr">
        <is>
          <t>時間内</t>
        </is>
      </c>
      <c r="DK21" s="384" t="n"/>
      <c r="DL21" s="384" t="n"/>
      <c r="DM21" s="385" t="n"/>
      <c r="DN21" s="386">
        <f>IF(Q20="作業者4",H23-H20,0)</f>
        <v/>
      </c>
      <c r="DO21" s="387" t="n"/>
      <c r="DP21" s="387" t="n"/>
      <c r="DQ21" s="387" t="n"/>
      <c r="DR21" s="388" t="n"/>
      <c r="DT21" s="253" t="inlineStr">
        <is>
          <t>時間内</t>
        </is>
      </c>
      <c r="DU21" s="384" t="n"/>
      <c r="DV21" s="384" t="n"/>
      <c r="DW21" s="385" t="n"/>
      <c r="DX21" s="386">
        <f>IF(Q20="作業者5",H23-H20,0)</f>
        <v/>
      </c>
      <c r="DY21" s="387" t="n"/>
      <c r="DZ21" s="387" t="n"/>
      <c r="EA21" s="387" t="n"/>
      <c r="EB21" s="388" t="n"/>
    </row>
    <row r="22" ht="9" customHeight="1" s="337">
      <c r="B22" s="350" t="n"/>
      <c r="C22" s="338" t="n"/>
      <c r="D22" s="380" t="n"/>
      <c r="E22" s="23" t="n"/>
      <c r="F22" s="338" t="n"/>
      <c r="G22" s="24" t="n"/>
      <c r="H22" s="23" t="n"/>
      <c r="I22" s="338" t="n"/>
      <c r="J22" s="24" t="n"/>
      <c r="K22" s="23" t="n"/>
      <c r="L22" s="338" t="n"/>
      <c r="M22" s="24" t="n"/>
      <c r="N22" s="23" t="n"/>
      <c r="O22" s="338" t="n"/>
      <c r="P22" s="24" t="n"/>
      <c r="Q22" s="382" t="n"/>
      <c r="R22" s="338" t="n"/>
      <c r="S22" s="380" t="n"/>
      <c r="T22" s="382" t="n"/>
      <c r="U22" s="338" t="n"/>
      <c r="V22" s="380" t="n"/>
      <c r="W22" s="382" t="n"/>
      <c r="X22" s="338" t="n"/>
      <c r="Y22" s="338" t="n"/>
      <c r="Z22" s="338" t="n"/>
      <c r="AA22" s="338" t="n"/>
      <c r="AB22" s="338" t="n"/>
      <c r="AC22" s="338" t="n"/>
      <c r="AD22" s="338" t="n"/>
      <c r="AE22" s="338" t="n"/>
      <c r="AF22" s="338" t="n"/>
      <c r="AG22" s="338" t="n"/>
      <c r="AH22" s="338" t="n"/>
      <c r="AI22" s="338" t="n"/>
      <c r="AJ22" s="338" t="n"/>
      <c r="AK22" s="338" t="n"/>
      <c r="AL22" s="338" t="n"/>
      <c r="AM22" s="338" t="n"/>
      <c r="AN22" s="338" t="n"/>
      <c r="AO22" s="338" t="n"/>
      <c r="AP22" s="338" t="n"/>
      <c r="AQ22" s="338" t="n"/>
      <c r="AR22" s="338" t="n"/>
      <c r="AS22" s="338" t="n"/>
      <c r="AT22" s="338" t="n"/>
      <c r="AU22" s="338" t="n"/>
      <c r="AV22" s="338" t="n"/>
      <c r="AW22" s="338" t="n"/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8" t="n"/>
      <c r="BH22" s="338" t="n"/>
      <c r="BI22" s="338" t="n"/>
      <c r="BJ22" s="338" t="n"/>
      <c r="BK22" s="338" t="n"/>
      <c r="BL22" s="338" t="n"/>
      <c r="BM22" s="338" t="n"/>
      <c r="BN22" s="338" t="n"/>
      <c r="BO22" s="338" t="n"/>
      <c r="BP22" s="338" t="n"/>
      <c r="BQ22" s="338" t="n"/>
      <c r="BR22" s="338" t="n"/>
      <c r="BS22" s="338" t="n"/>
      <c r="BT22" s="338" t="n"/>
      <c r="BU22" s="338" t="n"/>
      <c r="BV22" s="338" t="n"/>
      <c r="BW22" s="338" t="n"/>
      <c r="BX22" s="338" t="n"/>
      <c r="BY22" s="338" t="n"/>
      <c r="BZ22" s="338" t="n"/>
      <c r="CA22" s="338" t="n"/>
      <c r="CB22" s="338" t="n"/>
      <c r="CC22" s="383" t="n"/>
      <c r="CF22" s="253" t="inlineStr">
        <is>
          <t>時間外</t>
        </is>
      </c>
      <c r="CG22" s="384" t="n"/>
      <c r="CH22" s="384" t="n"/>
      <c r="CI22" s="385" t="n"/>
      <c r="CJ22" s="386">
        <f>IF(Q20="作業者1",K23-K20,0)</f>
        <v/>
      </c>
      <c r="CK22" s="387" t="n"/>
      <c r="CL22" s="387" t="n"/>
      <c r="CM22" s="387" t="n"/>
      <c r="CN22" s="388" t="n"/>
      <c r="CP22" s="253" t="inlineStr">
        <is>
          <t>時間外</t>
        </is>
      </c>
      <c r="CQ22" s="384" t="n"/>
      <c r="CR22" s="384" t="n"/>
      <c r="CS22" s="385" t="n"/>
      <c r="CT22" s="386">
        <f>IF(Q20="作業者2",K23-K20,0)</f>
        <v/>
      </c>
      <c r="CU22" s="387" t="n"/>
      <c r="CV22" s="387" t="n"/>
      <c r="CW22" s="387" t="n"/>
      <c r="CX22" s="388" t="n"/>
      <c r="CZ22" s="253" t="inlineStr">
        <is>
          <t>時間外</t>
        </is>
      </c>
      <c r="DA22" s="384" t="n"/>
      <c r="DB22" s="384" t="n"/>
      <c r="DC22" s="385" t="n"/>
      <c r="DD22" s="386">
        <f>IF(Q20="作業者3",K23-K20,0)</f>
        <v/>
      </c>
      <c r="DE22" s="387" t="n"/>
      <c r="DF22" s="387" t="n"/>
      <c r="DG22" s="387" t="n"/>
      <c r="DH22" s="388" t="n"/>
      <c r="DJ22" s="253" t="inlineStr">
        <is>
          <t>時間外</t>
        </is>
      </c>
      <c r="DK22" s="384" t="n"/>
      <c r="DL22" s="384" t="n"/>
      <c r="DM22" s="385" t="n"/>
      <c r="DN22" s="386">
        <f>IF(Q20="作業者4",K23-K20,0)</f>
        <v/>
      </c>
      <c r="DO22" s="387" t="n"/>
      <c r="DP22" s="387" t="n"/>
      <c r="DQ22" s="387" t="n"/>
      <c r="DR22" s="388" t="n"/>
      <c r="DT22" s="253" t="inlineStr">
        <is>
          <t>時間外</t>
        </is>
      </c>
      <c r="DU22" s="384" t="n"/>
      <c r="DV22" s="384" t="n"/>
      <c r="DW22" s="385" t="n"/>
      <c r="DX22" s="386">
        <f>IF(Q20="作業者5",K23-K20,0)</f>
        <v/>
      </c>
      <c r="DY22" s="387" t="n"/>
      <c r="DZ22" s="387" t="n"/>
      <c r="EA22" s="387" t="n"/>
      <c r="EB22" s="388" t="n"/>
    </row>
    <row r="23" ht="9" customHeight="1" s="337">
      <c r="B23" s="389" t="n"/>
      <c r="C23" s="390" t="n"/>
      <c r="D23" s="391" t="n"/>
      <c r="E23" s="392" t="n"/>
      <c r="F23" s="390" t="n"/>
      <c r="G23" s="391" t="n"/>
      <c r="H23" s="392" t="n"/>
      <c r="I23" s="390" t="n"/>
      <c r="J23" s="391" t="n"/>
      <c r="K23" s="392" t="n"/>
      <c r="L23" s="390" t="n"/>
      <c r="M23" s="391" t="n"/>
      <c r="N23" s="392" t="n"/>
      <c r="O23" s="390" t="n"/>
      <c r="P23" s="391" t="n"/>
      <c r="Q23" s="393" t="n"/>
      <c r="R23" s="390" t="n"/>
      <c r="S23" s="391" t="n"/>
      <c r="T23" s="393" t="n"/>
      <c r="U23" s="390" t="n"/>
      <c r="V23" s="391" t="n"/>
      <c r="W23" s="393" t="n"/>
      <c r="X23" s="390" t="n"/>
      <c r="Y23" s="390" t="n"/>
      <c r="Z23" s="390" t="n"/>
      <c r="AA23" s="390" t="n"/>
      <c r="AB23" s="390" t="n"/>
      <c r="AC23" s="390" t="n"/>
      <c r="AD23" s="390" t="n"/>
      <c r="AE23" s="390" t="n"/>
      <c r="AF23" s="390" t="n"/>
      <c r="AG23" s="390" t="n"/>
      <c r="AH23" s="390" t="n"/>
      <c r="AI23" s="390" t="n"/>
      <c r="AJ23" s="390" t="n"/>
      <c r="AK23" s="390" t="n"/>
      <c r="AL23" s="390" t="n"/>
      <c r="AM23" s="390" t="n"/>
      <c r="AN23" s="390" t="n"/>
      <c r="AO23" s="390" t="n"/>
      <c r="AP23" s="390" t="n"/>
      <c r="AQ23" s="390" t="n"/>
      <c r="AR23" s="390" t="n"/>
      <c r="AS23" s="390" t="n"/>
      <c r="AT23" s="390" t="n"/>
      <c r="AU23" s="390" t="n"/>
      <c r="AV23" s="390" t="n"/>
      <c r="AW23" s="390" t="n"/>
      <c r="AX23" s="390" t="n"/>
      <c r="AY23" s="390" t="n"/>
      <c r="AZ23" s="390" t="n"/>
      <c r="BA23" s="390" t="n"/>
      <c r="BB23" s="390" t="n"/>
      <c r="BC23" s="390" t="n"/>
      <c r="BD23" s="390" t="n"/>
      <c r="BE23" s="390" t="n"/>
      <c r="BF23" s="390" t="n"/>
      <c r="BG23" s="390" t="n"/>
      <c r="BH23" s="390" t="n"/>
      <c r="BI23" s="390" t="n"/>
      <c r="BJ23" s="390" t="n"/>
      <c r="BK23" s="390" t="n"/>
      <c r="BL23" s="390" t="n"/>
      <c r="BM23" s="390" t="n"/>
      <c r="BN23" s="390" t="n"/>
      <c r="BO23" s="390" t="n"/>
      <c r="BP23" s="390" t="n"/>
      <c r="BQ23" s="390" t="n"/>
      <c r="BR23" s="390" t="n"/>
      <c r="BS23" s="390" t="n"/>
      <c r="BT23" s="390" t="n"/>
      <c r="BU23" s="390" t="n"/>
      <c r="BV23" s="390" t="n"/>
      <c r="BW23" s="390" t="n"/>
      <c r="BX23" s="390" t="n"/>
      <c r="BY23" s="390" t="n"/>
      <c r="BZ23" s="390" t="n"/>
      <c r="CA23" s="390" t="n"/>
      <c r="CB23" s="390" t="n"/>
      <c r="CC23" s="394" t="n"/>
      <c r="CF23" s="254" t="inlineStr">
        <is>
          <t>休日</t>
        </is>
      </c>
      <c r="CG23" s="395" t="n"/>
      <c r="CH23" s="395" t="n"/>
      <c r="CI23" s="396" t="n"/>
      <c r="CJ23" s="397">
        <f>IF(Q20="作業者1",N23-N20,0)</f>
        <v/>
      </c>
      <c r="CK23" s="395" t="n"/>
      <c r="CL23" s="395" t="n"/>
      <c r="CM23" s="395" t="n"/>
      <c r="CN23" s="396" t="n"/>
      <c r="CP23" s="254" t="inlineStr">
        <is>
          <t>休日</t>
        </is>
      </c>
      <c r="CQ23" s="395" t="n"/>
      <c r="CR23" s="395" t="n"/>
      <c r="CS23" s="396" t="n"/>
      <c r="CT23" s="397">
        <f>IF(Q20="作業者2",N23-N20,0)</f>
        <v/>
      </c>
      <c r="CU23" s="395" t="n"/>
      <c r="CV23" s="395" t="n"/>
      <c r="CW23" s="395" t="n"/>
      <c r="CX23" s="396" t="n"/>
      <c r="CZ23" s="254" t="inlineStr">
        <is>
          <t>休日</t>
        </is>
      </c>
      <c r="DA23" s="395" t="n"/>
      <c r="DB23" s="395" t="n"/>
      <c r="DC23" s="396" t="n"/>
      <c r="DD23" s="397">
        <f>IF(Q20="作業者3",N23-N20,0)</f>
        <v/>
      </c>
      <c r="DE23" s="395" t="n"/>
      <c r="DF23" s="395" t="n"/>
      <c r="DG23" s="395" t="n"/>
      <c r="DH23" s="396" t="n"/>
      <c r="DJ23" s="254" t="inlineStr">
        <is>
          <t>休日</t>
        </is>
      </c>
      <c r="DK23" s="395" t="n"/>
      <c r="DL23" s="395" t="n"/>
      <c r="DM23" s="396" t="n"/>
      <c r="DN23" s="397">
        <f>IF(Q20="作業者4",N23-N20,0)</f>
        <v/>
      </c>
      <c r="DO23" s="395" t="n"/>
      <c r="DP23" s="395" t="n"/>
      <c r="DQ23" s="395" t="n"/>
      <c r="DR23" s="396" t="n"/>
      <c r="DT23" s="254" t="inlineStr">
        <is>
          <t>休日</t>
        </is>
      </c>
      <c r="DU23" s="395" t="n"/>
      <c r="DV23" s="395" t="n"/>
      <c r="DW23" s="396" t="n"/>
      <c r="DX23" s="397">
        <f>IF(Q20="作業者5",N23-N20,0)</f>
        <v/>
      </c>
      <c r="DY23" s="395" t="n"/>
      <c r="DZ23" s="395" t="n"/>
      <c r="EA23" s="395" t="n"/>
      <c r="EB23" s="396" t="n"/>
    </row>
    <row r="24" ht="9" customHeight="1" s="337">
      <c r="B24" s="398" t="n"/>
      <c r="C24" s="372" t="n"/>
      <c r="D24" s="373" t="n"/>
      <c r="E24" s="399" t="n"/>
      <c r="F24" s="372" t="n"/>
      <c r="G24" s="373" t="n"/>
      <c r="H24" s="399" t="n"/>
      <c r="I24" s="372" t="n"/>
      <c r="J24" s="373" t="n"/>
      <c r="K24" s="399" t="n"/>
      <c r="L24" s="372" t="n"/>
      <c r="M24" s="373" t="n"/>
      <c r="N24" s="399" t="n"/>
      <c r="O24" s="372" t="n"/>
      <c r="P24" s="373" t="n"/>
      <c r="Q24" s="371" t="n"/>
      <c r="R24" s="372" t="n"/>
      <c r="S24" s="373" t="n"/>
      <c r="T24" s="371" t="n"/>
      <c r="U24" s="372" t="n"/>
      <c r="V24" s="373" t="n"/>
      <c r="W24" s="443" t="n"/>
      <c r="X24" s="372" t="n"/>
      <c r="Y24" s="372" t="n"/>
      <c r="Z24" s="372" t="n"/>
      <c r="AA24" s="372" t="n"/>
      <c r="AB24" s="372" t="n"/>
      <c r="AC24" s="372" t="n"/>
      <c r="AD24" s="372" t="n"/>
      <c r="AE24" s="372" t="n"/>
      <c r="AF24" s="372" t="n"/>
      <c r="AG24" s="372" t="n"/>
      <c r="AH24" s="372" t="n"/>
      <c r="AI24" s="372" t="n"/>
      <c r="AJ24" s="372" t="n"/>
      <c r="AK24" s="372" t="n"/>
      <c r="AL24" s="372" t="n"/>
      <c r="AM24" s="372" t="n"/>
      <c r="AN24" s="372" t="n"/>
      <c r="AO24" s="372" t="n"/>
      <c r="AP24" s="372" t="n"/>
      <c r="AQ24" s="372" t="n"/>
      <c r="AR24" s="372" t="n"/>
      <c r="AS24" s="372" t="n"/>
      <c r="AT24" s="372" t="n"/>
      <c r="AU24" s="372" t="n"/>
      <c r="AV24" s="372" t="n"/>
      <c r="AW24" s="372" t="n"/>
      <c r="AX24" s="372" t="n"/>
      <c r="AY24" s="372" t="n"/>
      <c r="AZ24" s="372" t="n"/>
      <c r="BA24" s="372" t="n"/>
      <c r="BB24" s="372" t="n"/>
      <c r="BC24" s="372" t="n"/>
      <c r="BD24" s="372" t="n"/>
      <c r="BE24" s="372" t="n"/>
      <c r="BF24" s="372" t="n"/>
      <c r="BG24" s="372" t="n"/>
      <c r="BH24" s="372" t="n"/>
      <c r="BI24" s="372" t="n"/>
      <c r="BJ24" s="372" t="n"/>
      <c r="BK24" s="372" t="n"/>
      <c r="BL24" s="372" t="n"/>
      <c r="BM24" s="372" t="n"/>
      <c r="BN24" s="372" t="n"/>
      <c r="BO24" s="372" t="n"/>
      <c r="BP24" s="372" t="n"/>
      <c r="BQ24" s="372" t="n"/>
      <c r="BR24" s="372" t="n"/>
      <c r="BS24" s="372" t="n"/>
      <c r="BT24" s="372" t="n"/>
      <c r="BU24" s="372" t="n"/>
      <c r="BV24" s="372" t="n"/>
      <c r="BW24" s="372" t="n"/>
      <c r="BX24" s="372" t="n"/>
      <c r="BY24" s="372" t="n"/>
      <c r="BZ24" s="372" t="n"/>
      <c r="CA24" s="372" t="n"/>
      <c r="CB24" s="372" t="n"/>
      <c r="CC24" s="402" t="n"/>
      <c r="CF24" s="248" t="inlineStr">
        <is>
          <t>移動</t>
        </is>
      </c>
      <c r="CG24" s="377" t="n"/>
      <c r="CH24" s="377" t="n"/>
      <c r="CI24" s="378" t="n"/>
      <c r="CJ24" s="379">
        <f>IF(Q24="作業者1",E27-E24,0)</f>
        <v/>
      </c>
      <c r="CK24" s="377" t="n"/>
      <c r="CL24" s="377" t="n"/>
      <c r="CM24" s="377" t="n"/>
      <c r="CN24" s="378" t="n"/>
      <c r="CP24" s="248" t="inlineStr">
        <is>
          <t>移動</t>
        </is>
      </c>
      <c r="CQ24" s="377" t="n"/>
      <c r="CR24" s="377" t="n"/>
      <c r="CS24" s="378" t="n"/>
      <c r="CT24" s="379">
        <f>IF(Q24="作業者2",E27-E24,0)</f>
        <v/>
      </c>
      <c r="CU24" s="377" t="n"/>
      <c r="CV24" s="377" t="n"/>
      <c r="CW24" s="377" t="n"/>
      <c r="CX24" s="378" t="n"/>
      <c r="CZ24" s="259" t="inlineStr">
        <is>
          <t>移動</t>
        </is>
      </c>
      <c r="DA24" s="403" t="n"/>
      <c r="DB24" s="403" t="n"/>
      <c r="DC24" s="404" t="n"/>
      <c r="DD24" s="405">
        <f>IF(Q24="作業者3",E27-E24,0)</f>
        <v/>
      </c>
      <c r="DE24" s="406" t="n"/>
      <c r="DF24" s="406" t="n"/>
      <c r="DG24" s="406" t="n"/>
      <c r="DH24" s="407" t="n"/>
      <c r="DJ24" s="259" t="inlineStr">
        <is>
          <t>移動</t>
        </is>
      </c>
      <c r="DK24" s="403" t="n"/>
      <c r="DL24" s="403" t="n"/>
      <c r="DM24" s="404" t="n"/>
      <c r="DN24" s="379">
        <f>IF(Q24="作業者4",E27-E24,0)</f>
        <v/>
      </c>
      <c r="DO24" s="377" t="n"/>
      <c r="DP24" s="377" t="n"/>
      <c r="DQ24" s="377" t="n"/>
      <c r="DR24" s="378" t="n"/>
      <c r="DT24" s="259" t="inlineStr">
        <is>
          <t>移動</t>
        </is>
      </c>
      <c r="DU24" s="403" t="n"/>
      <c r="DV24" s="403" t="n"/>
      <c r="DW24" s="404" t="n"/>
      <c r="DX24" s="379">
        <f>IF(Q24="作業者5",E27-E24,0)</f>
        <v/>
      </c>
      <c r="DY24" s="377" t="n"/>
      <c r="DZ24" s="377" t="n"/>
      <c r="EA24" s="377" t="n"/>
      <c r="EB24" s="378" t="n"/>
    </row>
    <row r="25" ht="9" customHeight="1" s="337">
      <c r="B25" s="350" t="n"/>
      <c r="C25" s="338" t="n"/>
      <c r="D25" s="380" t="n"/>
      <c r="E25" s="381" t="n"/>
      <c r="F25" s="122" t="inlineStr">
        <is>
          <t>～</t>
        </is>
      </c>
      <c r="G25" s="22" t="n"/>
      <c r="H25" s="381" t="n"/>
      <c r="I25" s="122" t="inlineStr">
        <is>
          <t>～</t>
        </is>
      </c>
      <c r="J25" s="22" t="n"/>
      <c r="K25" s="381" t="n"/>
      <c r="L25" s="122" t="inlineStr">
        <is>
          <t>～</t>
        </is>
      </c>
      <c r="M25" s="22" t="n"/>
      <c r="N25" s="381" t="n"/>
      <c r="O25" s="122" t="inlineStr">
        <is>
          <t>～</t>
        </is>
      </c>
      <c r="P25" s="22" t="n"/>
      <c r="Q25" s="382" t="n"/>
      <c r="R25" s="338" t="n"/>
      <c r="S25" s="380" t="n"/>
      <c r="T25" s="382" t="n"/>
      <c r="U25" s="338" t="n"/>
      <c r="V25" s="380" t="n"/>
      <c r="W25" s="382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8" t="n"/>
      <c r="BH25" s="338" t="n"/>
      <c r="BI25" s="338" t="n"/>
      <c r="BJ25" s="338" t="n"/>
      <c r="BK25" s="338" t="n"/>
      <c r="BL25" s="338" t="n"/>
      <c r="BM25" s="338" t="n"/>
      <c r="BN25" s="338" t="n"/>
      <c r="BO25" s="338" t="n"/>
      <c r="BP25" s="338" t="n"/>
      <c r="BQ25" s="338" t="n"/>
      <c r="BR25" s="338" t="n"/>
      <c r="BS25" s="338" t="n"/>
      <c r="BT25" s="338" t="n"/>
      <c r="BU25" s="338" t="n"/>
      <c r="BV25" s="338" t="n"/>
      <c r="BW25" s="338" t="n"/>
      <c r="BX25" s="338" t="n"/>
      <c r="BY25" s="338" t="n"/>
      <c r="BZ25" s="338" t="n"/>
      <c r="CA25" s="338" t="n"/>
      <c r="CB25" s="338" t="n"/>
      <c r="CC25" s="383" t="n"/>
      <c r="CF25" s="253" t="inlineStr">
        <is>
          <t>時間内</t>
        </is>
      </c>
      <c r="CG25" s="384" t="n"/>
      <c r="CH25" s="384" t="n"/>
      <c r="CI25" s="385" t="n"/>
      <c r="CJ25" s="386">
        <f>IF(Q24="作業者1",H27-H24,0)</f>
        <v/>
      </c>
      <c r="CK25" s="387" t="n"/>
      <c r="CL25" s="387" t="n"/>
      <c r="CM25" s="387" t="n"/>
      <c r="CN25" s="388" t="n"/>
      <c r="CP25" s="253" t="inlineStr">
        <is>
          <t>時間内</t>
        </is>
      </c>
      <c r="CQ25" s="384" t="n"/>
      <c r="CR25" s="384" t="n"/>
      <c r="CS25" s="385" t="n"/>
      <c r="CT25" s="386">
        <f>IF(Q24="作業者2",H27-H24,0)</f>
        <v/>
      </c>
      <c r="CU25" s="387" t="n"/>
      <c r="CV25" s="387" t="n"/>
      <c r="CW25" s="387" t="n"/>
      <c r="CX25" s="388" t="n"/>
      <c r="CZ25" s="253" t="inlineStr">
        <is>
          <t>時間内</t>
        </is>
      </c>
      <c r="DA25" s="384" t="n"/>
      <c r="DB25" s="384" t="n"/>
      <c r="DC25" s="385" t="n"/>
      <c r="DD25" s="386">
        <f>IF(Q24="作業者3",H27-H24,0)</f>
        <v/>
      </c>
      <c r="DE25" s="387" t="n"/>
      <c r="DF25" s="387" t="n"/>
      <c r="DG25" s="387" t="n"/>
      <c r="DH25" s="388" t="n"/>
      <c r="DJ25" s="253" t="inlineStr">
        <is>
          <t>時間内</t>
        </is>
      </c>
      <c r="DK25" s="384" t="n"/>
      <c r="DL25" s="384" t="n"/>
      <c r="DM25" s="385" t="n"/>
      <c r="DN25" s="386">
        <f>IF(Q24="作業者4",H27-H24,0)</f>
        <v/>
      </c>
      <c r="DO25" s="387" t="n"/>
      <c r="DP25" s="387" t="n"/>
      <c r="DQ25" s="387" t="n"/>
      <c r="DR25" s="388" t="n"/>
      <c r="DT25" s="253" t="inlineStr">
        <is>
          <t>時間内</t>
        </is>
      </c>
      <c r="DU25" s="384" t="n"/>
      <c r="DV25" s="384" t="n"/>
      <c r="DW25" s="385" t="n"/>
      <c r="DX25" s="386">
        <f>IF(Q24="作業者5",H27-H24,0)</f>
        <v/>
      </c>
      <c r="DY25" s="387" t="n"/>
      <c r="DZ25" s="387" t="n"/>
      <c r="EA25" s="387" t="n"/>
      <c r="EB25" s="388" t="n"/>
    </row>
    <row r="26" ht="9" customHeight="1" s="337">
      <c r="B26" s="350" t="n"/>
      <c r="C26" s="338" t="n"/>
      <c r="D26" s="380" t="n"/>
      <c r="E26" s="23" t="n"/>
      <c r="F26" s="338" t="n"/>
      <c r="G26" s="24" t="n"/>
      <c r="H26" s="23" t="n"/>
      <c r="I26" s="338" t="n"/>
      <c r="J26" s="24" t="n"/>
      <c r="K26" s="23" t="n"/>
      <c r="L26" s="338" t="n"/>
      <c r="M26" s="24" t="n"/>
      <c r="N26" s="23" t="n"/>
      <c r="O26" s="338" t="n"/>
      <c r="P26" s="24" t="n"/>
      <c r="Q26" s="382" t="n"/>
      <c r="R26" s="338" t="n"/>
      <c r="S26" s="380" t="n"/>
      <c r="T26" s="382" t="n"/>
      <c r="U26" s="338" t="n"/>
      <c r="V26" s="380" t="n"/>
      <c r="W26" s="382" t="n"/>
      <c r="X26" s="338" t="n"/>
      <c r="Y26" s="338" t="n"/>
      <c r="Z26" s="338" t="n"/>
      <c r="AA26" s="338" t="n"/>
      <c r="AB26" s="338" t="n"/>
      <c r="AC26" s="338" t="n"/>
      <c r="AD26" s="338" t="n"/>
      <c r="AE26" s="338" t="n"/>
      <c r="AF26" s="338" t="n"/>
      <c r="AG26" s="338" t="n"/>
      <c r="AH26" s="338" t="n"/>
      <c r="AI26" s="338" t="n"/>
      <c r="AJ26" s="338" t="n"/>
      <c r="AK26" s="338" t="n"/>
      <c r="AL26" s="338" t="n"/>
      <c r="AM26" s="338" t="n"/>
      <c r="AN26" s="338" t="n"/>
      <c r="AO26" s="338" t="n"/>
      <c r="AP26" s="338" t="n"/>
      <c r="AQ26" s="338" t="n"/>
      <c r="AR26" s="338" t="n"/>
      <c r="AS26" s="338" t="n"/>
      <c r="AT26" s="338" t="n"/>
      <c r="AU26" s="338" t="n"/>
      <c r="AV26" s="338" t="n"/>
      <c r="AW26" s="338" t="n"/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8" t="n"/>
      <c r="BH26" s="338" t="n"/>
      <c r="BI26" s="338" t="n"/>
      <c r="BJ26" s="338" t="n"/>
      <c r="BK26" s="338" t="n"/>
      <c r="BL26" s="338" t="n"/>
      <c r="BM26" s="338" t="n"/>
      <c r="BN26" s="338" t="n"/>
      <c r="BO26" s="338" t="n"/>
      <c r="BP26" s="338" t="n"/>
      <c r="BQ26" s="338" t="n"/>
      <c r="BR26" s="338" t="n"/>
      <c r="BS26" s="338" t="n"/>
      <c r="BT26" s="338" t="n"/>
      <c r="BU26" s="338" t="n"/>
      <c r="BV26" s="338" t="n"/>
      <c r="BW26" s="338" t="n"/>
      <c r="BX26" s="338" t="n"/>
      <c r="BY26" s="338" t="n"/>
      <c r="BZ26" s="338" t="n"/>
      <c r="CA26" s="338" t="n"/>
      <c r="CB26" s="338" t="n"/>
      <c r="CC26" s="383" t="n"/>
      <c r="CF26" s="253" t="inlineStr">
        <is>
          <t>時間外</t>
        </is>
      </c>
      <c r="CG26" s="384" t="n"/>
      <c r="CH26" s="384" t="n"/>
      <c r="CI26" s="385" t="n"/>
      <c r="CJ26" s="386">
        <f>IF(Q24="作業者1",K27-K24,0)</f>
        <v/>
      </c>
      <c r="CK26" s="387" t="n"/>
      <c r="CL26" s="387" t="n"/>
      <c r="CM26" s="387" t="n"/>
      <c r="CN26" s="388" t="n"/>
      <c r="CP26" s="253" t="inlineStr">
        <is>
          <t>時間外</t>
        </is>
      </c>
      <c r="CQ26" s="384" t="n"/>
      <c r="CR26" s="384" t="n"/>
      <c r="CS26" s="385" t="n"/>
      <c r="CT26" s="386">
        <f>IF(Q24="作業者2",K27-K24,0)</f>
        <v/>
      </c>
      <c r="CU26" s="387" t="n"/>
      <c r="CV26" s="387" t="n"/>
      <c r="CW26" s="387" t="n"/>
      <c r="CX26" s="388" t="n"/>
      <c r="CZ26" s="253" t="inlineStr">
        <is>
          <t>時間外</t>
        </is>
      </c>
      <c r="DA26" s="384" t="n"/>
      <c r="DB26" s="384" t="n"/>
      <c r="DC26" s="385" t="n"/>
      <c r="DD26" s="386">
        <f>IF(Q24="作業者3",K27-K24,0)</f>
        <v/>
      </c>
      <c r="DE26" s="387" t="n"/>
      <c r="DF26" s="387" t="n"/>
      <c r="DG26" s="387" t="n"/>
      <c r="DH26" s="388" t="n"/>
      <c r="DJ26" s="253" t="inlineStr">
        <is>
          <t>時間外</t>
        </is>
      </c>
      <c r="DK26" s="384" t="n"/>
      <c r="DL26" s="384" t="n"/>
      <c r="DM26" s="385" t="n"/>
      <c r="DN26" s="386">
        <f>IF(Q24="作業者4",K27-K24,0)</f>
        <v/>
      </c>
      <c r="DO26" s="387" t="n"/>
      <c r="DP26" s="387" t="n"/>
      <c r="DQ26" s="387" t="n"/>
      <c r="DR26" s="388" t="n"/>
      <c r="DT26" s="253" t="inlineStr">
        <is>
          <t>時間外</t>
        </is>
      </c>
      <c r="DU26" s="384" t="n"/>
      <c r="DV26" s="384" t="n"/>
      <c r="DW26" s="385" t="n"/>
      <c r="DX26" s="386">
        <f>IF(Q24="作業者5",K27-K24,0)</f>
        <v/>
      </c>
      <c r="DY26" s="387" t="n"/>
      <c r="DZ26" s="387" t="n"/>
      <c r="EA26" s="387" t="n"/>
      <c r="EB26" s="388" t="n"/>
    </row>
    <row r="27" ht="9" customHeight="1" s="337">
      <c r="B27" s="389" t="n"/>
      <c r="C27" s="390" t="n"/>
      <c r="D27" s="391" t="n"/>
      <c r="E27" s="392" t="n"/>
      <c r="F27" s="390" t="n"/>
      <c r="G27" s="391" t="n"/>
      <c r="H27" s="392" t="n"/>
      <c r="I27" s="390" t="n"/>
      <c r="J27" s="391" t="n"/>
      <c r="K27" s="392" t="n"/>
      <c r="L27" s="390" t="n"/>
      <c r="M27" s="391" t="n"/>
      <c r="N27" s="392" t="n"/>
      <c r="O27" s="390" t="n"/>
      <c r="P27" s="391" t="n"/>
      <c r="Q27" s="393" t="n"/>
      <c r="R27" s="390" t="n"/>
      <c r="S27" s="391" t="n"/>
      <c r="T27" s="393" t="n"/>
      <c r="U27" s="390" t="n"/>
      <c r="V27" s="391" t="n"/>
      <c r="W27" s="393" t="n"/>
      <c r="X27" s="390" t="n"/>
      <c r="Y27" s="390" t="n"/>
      <c r="Z27" s="390" t="n"/>
      <c r="AA27" s="390" t="n"/>
      <c r="AB27" s="390" t="n"/>
      <c r="AC27" s="390" t="n"/>
      <c r="AD27" s="390" t="n"/>
      <c r="AE27" s="390" t="n"/>
      <c r="AF27" s="390" t="n"/>
      <c r="AG27" s="390" t="n"/>
      <c r="AH27" s="390" t="n"/>
      <c r="AI27" s="390" t="n"/>
      <c r="AJ27" s="390" t="n"/>
      <c r="AK27" s="390" t="n"/>
      <c r="AL27" s="390" t="n"/>
      <c r="AM27" s="390" t="n"/>
      <c r="AN27" s="390" t="n"/>
      <c r="AO27" s="390" t="n"/>
      <c r="AP27" s="390" t="n"/>
      <c r="AQ27" s="390" t="n"/>
      <c r="AR27" s="390" t="n"/>
      <c r="AS27" s="390" t="n"/>
      <c r="AT27" s="390" t="n"/>
      <c r="AU27" s="390" t="n"/>
      <c r="AV27" s="390" t="n"/>
      <c r="AW27" s="390" t="n"/>
      <c r="AX27" s="390" t="n"/>
      <c r="AY27" s="390" t="n"/>
      <c r="AZ27" s="390" t="n"/>
      <c r="BA27" s="390" t="n"/>
      <c r="BB27" s="390" t="n"/>
      <c r="BC27" s="390" t="n"/>
      <c r="BD27" s="390" t="n"/>
      <c r="BE27" s="390" t="n"/>
      <c r="BF27" s="390" t="n"/>
      <c r="BG27" s="390" t="n"/>
      <c r="BH27" s="390" t="n"/>
      <c r="BI27" s="390" t="n"/>
      <c r="BJ27" s="390" t="n"/>
      <c r="BK27" s="390" t="n"/>
      <c r="BL27" s="390" t="n"/>
      <c r="BM27" s="390" t="n"/>
      <c r="BN27" s="390" t="n"/>
      <c r="BO27" s="390" t="n"/>
      <c r="BP27" s="390" t="n"/>
      <c r="BQ27" s="390" t="n"/>
      <c r="BR27" s="390" t="n"/>
      <c r="BS27" s="390" t="n"/>
      <c r="BT27" s="390" t="n"/>
      <c r="BU27" s="390" t="n"/>
      <c r="BV27" s="390" t="n"/>
      <c r="BW27" s="390" t="n"/>
      <c r="BX27" s="390" t="n"/>
      <c r="BY27" s="390" t="n"/>
      <c r="BZ27" s="390" t="n"/>
      <c r="CA27" s="390" t="n"/>
      <c r="CB27" s="390" t="n"/>
      <c r="CC27" s="394" t="n"/>
      <c r="CF27" s="254" t="inlineStr">
        <is>
          <t>休日</t>
        </is>
      </c>
      <c r="CG27" s="395" t="n"/>
      <c r="CH27" s="395" t="n"/>
      <c r="CI27" s="396" t="n"/>
      <c r="CJ27" s="397">
        <f>IF(Q24="作業者1",N27-N24,0)</f>
        <v/>
      </c>
      <c r="CK27" s="395" t="n"/>
      <c r="CL27" s="395" t="n"/>
      <c r="CM27" s="395" t="n"/>
      <c r="CN27" s="396" t="n"/>
      <c r="CP27" s="254" t="inlineStr">
        <is>
          <t>休日</t>
        </is>
      </c>
      <c r="CQ27" s="395" t="n"/>
      <c r="CR27" s="395" t="n"/>
      <c r="CS27" s="396" t="n"/>
      <c r="CT27" s="397">
        <f>IF(Q24="作業者2",N27-N24,0)</f>
        <v/>
      </c>
      <c r="CU27" s="395" t="n"/>
      <c r="CV27" s="395" t="n"/>
      <c r="CW27" s="395" t="n"/>
      <c r="CX27" s="396" t="n"/>
      <c r="CZ27" s="254" t="inlineStr">
        <is>
          <t>休日</t>
        </is>
      </c>
      <c r="DA27" s="395" t="n"/>
      <c r="DB27" s="395" t="n"/>
      <c r="DC27" s="396" t="n"/>
      <c r="DD27" s="397">
        <f>IF(Q24="作業者3",N27-N24,0)</f>
        <v/>
      </c>
      <c r="DE27" s="395" t="n"/>
      <c r="DF27" s="395" t="n"/>
      <c r="DG27" s="395" t="n"/>
      <c r="DH27" s="396" t="n"/>
      <c r="DJ27" s="254" t="inlineStr">
        <is>
          <t>休日</t>
        </is>
      </c>
      <c r="DK27" s="395" t="n"/>
      <c r="DL27" s="395" t="n"/>
      <c r="DM27" s="396" t="n"/>
      <c r="DN27" s="397">
        <f>IF(Q24="作業者4",N27-N24,0)</f>
        <v/>
      </c>
      <c r="DO27" s="395" t="n"/>
      <c r="DP27" s="395" t="n"/>
      <c r="DQ27" s="395" t="n"/>
      <c r="DR27" s="396" t="n"/>
      <c r="DT27" s="254" t="inlineStr">
        <is>
          <t>休日</t>
        </is>
      </c>
      <c r="DU27" s="395" t="n"/>
      <c r="DV27" s="395" t="n"/>
      <c r="DW27" s="396" t="n"/>
      <c r="DX27" s="397">
        <f>IF(Q24="作業者5",N27-N24,0)</f>
        <v/>
      </c>
      <c r="DY27" s="395" t="n"/>
      <c r="DZ27" s="395" t="n"/>
      <c r="EA27" s="395" t="n"/>
      <c r="EB27" s="396" t="n"/>
    </row>
    <row r="28" ht="9" customHeight="1" s="337">
      <c r="B28" s="398" t="n"/>
      <c r="C28" s="372" t="n"/>
      <c r="D28" s="373" t="n"/>
      <c r="E28" s="399" t="n"/>
      <c r="F28" s="372" t="n"/>
      <c r="G28" s="373" t="n"/>
      <c r="H28" s="399" t="n"/>
      <c r="I28" s="372" t="n"/>
      <c r="J28" s="373" t="n"/>
      <c r="K28" s="399" t="n"/>
      <c r="L28" s="372" t="n"/>
      <c r="M28" s="373" t="n"/>
      <c r="N28" s="399" t="n"/>
      <c r="O28" s="372" t="n"/>
      <c r="P28" s="373" t="n"/>
      <c r="Q28" s="371" t="n"/>
      <c r="R28" s="372" t="n"/>
      <c r="S28" s="373" t="n"/>
      <c r="T28" s="371" t="n"/>
      <c r="U28" s="372" t="n"/>
      <c r="V28" s="373" t="n"/>
      <c r="W28" s="443" t="n"/>
      <c r="X28" s="372" t="n"/>
      <c r="Y28" s="372" t="n"/>
      <c r="Z28" s="372" t="n"/>
      <c r="AA28" s="372" t="n"/>
      <c r="AB28" s="372" t="n"/>
      <c r="AC28" s="372" t="n"/>
      <c r="AD28" s="372" t="n"/>
      <c r="AE28" s="372" t="n"/>
      <c r="AF28" s="372" t="n"/>
      <c r="AG28" s="372" t="n"/>
      <c r="AH28" s="372" t="n"/>
      <c r="AI28" s="372" t="n"/>
      <c r="AJ28" s="372" t="n"/>
      <c r="AK28" s="372" t="n"/>
      <c r="AL28" s="372" t="n"/>
      <c r="AM28" s="372" t="n"/>
      <c r="AN28" s="372" t="n"/>
      <c r="AO28" s="372" t="n"/>
      <c r="AP28" s="372" t="n"/>
      <c r="AQ28" s="372" t="n"/>
      <c r="AR28" s="372" t="n"/>
      <c r="AS28" s="372" t="n"/>
      <c r="AT28" s="372" t="n"/>
      <c r="AU28" s="372" t="n"/>
      <c r="AV28" s="372" t="n"/>
      <c r="AW28" s="372" t="n"/>
      <c r="AX28" s="372" t="n"/>
      <c r="AY28" s="372" t="n"/>
      <c r="AZ28" s="372" t="n"/>
      <c r="BA28" s="372" t="n"/>
      <c r="BB28" s="372" t="n"/>
      <c r="BC28" s="372" t="n"/>
      <c r="BD28" s="372" t="n"/>
      <c r="BE28" s="372" t="n"/>
      <c r="BF28" s="372" t="n"/>
      <c r="BG28" s="372" t="n"/>
      <c r="BH28" s="372" t="n"/>
      <c r="BI28" s="372" t="n"/>
      <c r="BJ28" s="372" t="n"/>
      <c r="BK28" s="372" t="n"/>
      <c r="BL28" s="372" t="n"/>
      <c r="BM28" s="372" t="n"/>
      <c r="BN28" s="372" t="n"/>
      <c r="BO28" s="372" t="n"/>
      <c r="BP28" s="372" t="n"/>
      <c r="BQ28" s="372" t="n"/>
      <c r="BR28" s="372" t="n"/>
      <c r="BS28" s="372" t="n"/>
      <c r="BT28" s="372" t="n"/>
      <c r="BU28" s="372" t="n"/>
      <c r="BV28" s="372" t="n"/>
      <c r="BW28" s="372" t="n"/>
      <c r="BX28" s="372" t="n"/>
      <c r="BY28" s="372" t="n"/>
      <c r="BZ28" s="372" t="n"/>
      <c r="CA28" s="372" t="n"/>
      <c r="CB28" s="372" t="n"/>
      <c r="CC28" s="402" t="n"/>
      <c r="CF28" s="248" t="inlineStr">
        <is>
          <t>移動</t>
        </is>
      </c>
      <c r="CG28" s="377" t="n"/>
      <c r="CH28" s="377" t="n"/>
      <c r="CI28" s="378" t="n"/>
      <c r="CJ28" s="379">
        <f>IF(Q28="作業者1",E31-E28,0)</f>
        <v/>
      </c>
      <c r="CK28" s="377" t="n"/>
      <c r="CL28" s="377" t="n"/>
      <c r="CM28" s="377" t="n"/>
      <c r="CN28" s="378" t="n"/>
      <c r="CP28" s="248" t="inlineStr">
        <is>
          <t>移動</t>
        </is>
      </c>
      <c r="CQ28" s="377" t="n"/>
      <c r="CR28" s="377" t="n"/>
      <c r="CS28" s="378" t="n"/>
      <c r="CT28" s="379">
        <f>IF(Q28="作業者2",E31-E28,0)</f>
        <v/>
      </c>
      <c r="CU28" s="377" t="n"/>
      <c r="CV28" s="377" t="n"/>
      <c r="CW28" s="377" t="n"/>
      <c r="CX28" s="378" t="n"/>
      <c r="CZ28" s="259" t="inlineStr">
        <is>
          <t>移動</t>
        </is>
      </c>
      <c r="DA28" s="403" t="n"/>
      <c r="DB28" s="403" t="n"/>
      <c r="DC28" s="404" t="n"/>
      <c r="DD28" s="405">
        <f>IF(Q28="作業者3",E31-E28,0)</f>
        <v/>
      </c>
      <c r="DE28" s="406" t="n"/>
      <c r="DF28" s="406" t="n"/>
      <c r="DG28" s="406" t="n"/>
      <c r="DH28" s="407" t="n"/>
      <c r="DJ28" s="259" t="inlineStr">
        <is>
          <t>移動</t>
        </is>
      </c>
      <c r="DK28" s="403" t="n"/>
      <c r="DL28" s="403" t="n"/>
      <c r="DM28" s="404" t="n"/>
      <c r="DN28" s="379">
        <f>IF(Q28="作業者4",E31-E28,0)</f>
        <v/>
      </c>
      <c r="DO28" s="377" t="n"/>
      <c r="DP28" s="377" t="n"/>
      <c r="DQ28" s="377" t="n"/>
      <c r="DR28" s="378" t="n"/>
      <c r="DT28" s="259" t="inlineStr">
        <is>
          <t>移動</t>
        </is>
      </c>
      <c r="DU28" s="403" t="n"/>
      <c r="DV28" s="403" t="n"/>
      <c r="DW28" s="404" t="n"/>
      <c r="DX28" s="379">
        <f>IF(Q28="作業者5",E31-E28,0)</f>
        <v/>
      </c>
      <c r="DY28" s="377" t="n"/>
      <c r="DZ28" s="377" t="n"/>
      <c r="EA28" s="377" t="n"/>
      <c r="EB28" s="378" t="n"/>
    </row>
    <row r="29" ht="9" customHeight="1" s="337">
      <c r="B29" s="350" t="n"/>
      <c r="C29" s="338" t="n"/>
      <c r="D29" s="380" t="n"/>
      <c r="E29" s="381" t="n"/>
      <c r="F29" s="122" t="inlineStr">
        <is>
          <t>～</t>
        </is>
      </c>
      <c r="G29" s="22" t="n"/>
      <c r="H29" s="381" t="n"/>
      <c r="I29" s="122" t="inlineStr">
        <is>
          <t>～</t>
        </is>
      </c>
      <c r="J29" s="22" t="n"/>
      <c r="K29" s="381" t="n"/>
      <c r="L29" s="122" t="inlineStr">
        <is>
          <t>～</t>
        </is>
      </c>
      <c r="M29" s="22" t="n"/>
      <c r="N29" s="381" t="n"/>
      <c r="O29" s="122" t="inlineStr">
        <is>
          <t>～</t>
        </is>
      </c>
      <c r="P29" s="22" t="n"/>
      <c r="Q29" s="382" t="n"/>
      <c r="R29" s="338" t="n"/>
      <c r="S29" s="380" t="n"/>
      <c r="T29" s="382" t="n"/>
      <c r="U29" s="338" t="n"/>
      <c r="V29" s="380" t="n"/>
      <c r="W29" s="382" t="n"/>
      <c r="X29" s="338" t="n"/>
      <c r="Y29" s="338" t="n"/>
      <c r="Z29" s="338" t="n"/>
      <c r="AA29" s="338" t="n"/>
      <c r="AB29" s="338" t="n"/>
      <c r="AC29" s="338" t="n"/>
      <c r="AD29" s="338" t="n"/>
      <c r="AE29" s="338" t="n"/>
      <c r="AF29" s="338" t="n"/>
      <c r="AG29" s="338" t="n"/>
      <c r="AH29" s="338" t="n"/>
      <c r="AI29" s="338" t="n"/>
      <c r="AJ29" s="338" t="n"/>
      <c r="AK29" s="338" t="n"/>
      <c r="AL29" s="338" t="n"/>
      <c r="AM29" s="338" t="n"/>
      <c r="AN29" s="338" t="n"/>
      <c r="AO29" s="338" t="n"/>
      <c r="AP29" s="338" t="n"/>
      <c r="AQ29" s="338" t="n"/>
      <c r="AR29" s="338" t="n"/>
      <c r="AS29" s="338" t="n"/>
      <c r="AT29" s="338" t="n"/>
      <c r="AU29" s="338" t="n"/>
      <c r="AV29" s="338" t="n"/>
      <c r="AW29" s="338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8" t="n"/>
      <c r="BH29" s="338" t="n"/>
      <c r="BI29" s="338" t="n"/>
      <c r="BJ29" s="338" t="n"/>
      <c r="BK29" s="338" t="n"/>
      <c r="BL29" s="338" t="n"/>
      <c r="BM29" s="338" t="n"/>
      <c r="BN29" s="338" t="n"/>
      <c r="BO29" s="338" t="n"/>
      <c r="BP29" s="338" t="n"/>
      <c r="BQ29" s="338" t="n"/>
      <c r="BR29" s="338" t="n"/>
      <c r="BS29" s="338" t="n"/>
      <c r="BT29" s="338" t="n"/>
      <c r="BU29" s="338" t="n"/>
      <c r="BV29" s="338" t="n"/>
      <c r="BW29" s="338" t="n"/>
      <c r="BX29" s="338" t="n"/>
      <c r="BY29" s="338" t="n"/>
      <c r="BZ29" s="338" t="n"/>
      <c r="CA29" s="338" t="n"/>
      <c r="CB29" s="338" t="n"/>
      <c r="CC29" s="383" t="n"/>
      <c r="CF29" s="253" t="inlineStr">
        <is>
          <t>時間内</t>
        </is>
      </c>
      <c r="CG29" s="384" t="n"/>
      <c r="CH29" s="384" t="n"/>
      <c r="CI29" s="385" t="n"/>
      <c r="CJ29" s="386">
        <f>IF(Q28="作業者1",H31-H28,0)</f>
        <v/>
      </c>
      <c r="CK29" s="387" t="n"/>
      <c r="CL29" s="387" t="n"/>
      <c r="CM29" s="387" t="n"/>
      <c r="CN29" s="388" t="n"/>
      <c r="CP29" s="253" t="inlineStr">
        <is>
          <t>時間内</t>
        </is>
      </c>
      <c r="CQ29" s="384" t="n"/>
      <c r="CR29" s="384" t="n"/>
      <c r="CS29" s="385" t="n"/>
      <c r="CT29" s="386">
        <f>IF(Q28="作業者2",H31-H28,0)</f>
        <v/>
      </c>
      <c r="CU29" s="387" t="n"/>
      <c r="CV29" s="387" t="n"/>
      <c r="CW29" s="387" t="n"/>
      <c r="CX29" s="388" t="n"/>
      <c r="CZ29" s="253" t="inlineStr">
        <is>
          <t>時間内</t>
        </is>
      </c>
      <c r="DA29" s="384" t="n"/>
      <c r="DB29" s="384" t="n"/>
      <c r="DC29" s="385" t="n"/>
      <c r="DD29" s="386">
        <f>IF(Q28="作業者3",H31-H28,0)</f>
        <v/>
      </c>
      <c r="DE29" s="387" t="n"/>
      <c r="DF29" s="387" t="n"/>
      <c r="DG29" s="387" t="n"/>
      <c r="DH29" s="388" t="n"/>
      <c r="DJ29" s="253" t="inlineStr">
        <is>
          <t>時間内</t>
        </is>
      </c>
      <c r="DK29" s="384" t="n"/>
      <c r="DL29" s="384" t="n"/>
      <c r="DM29" s="385" t="n"/>
      <c r="DN29" s="386">
        <f>IF(Q28="作業者4",H31-H28,0)</f>
        <v/>
      </c>
      <c r="DO29" s="387" t="n"/>
      <c r="DP29" s="387" t="n"/>
      <c r="DQ29" s="387" t="n"/>
      <c r="DR29" s="388" t="n"/>
      <c r="DT29" s="253" t="inlineStr">
        <is>
          <t>時間内</t>
        </is>
      </c>
      <c r="DU29" s="384" t="n"/>
      <c r="DV29" s="384" t="n"/>
      <c r="DW29" s="385" t="n"/>
      <c r="DX29" s="386">
        <f>IF(Q28="作業者5",H31-H28,0)</f>
        <v/>
      </c>
      <c r="DY29" s="387" t="n"/>
      <c r="DZ29" s="387" t="n"/>
      <c r="EA29" s="387" t="n"/>
      <c r="EB29" s="388" t="n"/>
    </row>
    <row r="30" ht="9" customHeight="1" s="337">
      <c r="B30" s="350" t="n"/>
      <c r="C30" s="338" t="n"/>
      <c r="D30" s="380" t="n"/>
      <c r="E30" s="23" t="n"/>
      <c r="F30" s="338" t="n"/>
      <c r="G30" s="24" t="n"/>
      <c r="H30" s="23" t="n"/>
      <c r="I30" s="338" t="n"/>
      <c r="J30" s="24" t="n"/>
      <c r="K30" s="23" t="n"/>
      <c r="L30" s="338" t="n"/>
      <c r="M30" s="24" t="n"/>
      <c r="N30" s="23" t="n"/>
      <c r="O30" s="338" t="n"/>
      <c r="P30" s="24" t="n"/>
      <c r="Q30" s="382" t="n"/>
      <c r="R30" s="338" t="n"/>
      <c r="S30" s="380" t="n"/>
      <c r="T30" s="382" t="n"/>
      <c r="U30" s="338" t="n"/>
      <c r="V30" s="380" t="n"/>
      <c r="W30" s="382" t="n"/>
      <c r="X30" s="338" t="n"/>
      <c r="Y30" s="338" t="n"/>
      <c r="Z30" s="338" t="n"/>
      <c r="AA30" s="338" t="n"/>
      <c r="AB30" s="338" t="n"/>
      <c r="AC30" s="338" t="n"/>
      <c r="AD30" s="338" t="n"/>
      <c r="AE30" s="338" t="n"/>
      <c r="AF30" s="338" t="n"/>
      <c r="AG30" s="338" t="n"/>
      <c r="AH30" s="338" t="n"/>
      <c r="AI30" s="338" t="n"/>
      <c r="AJ30" s="338" t="n"/>
      <c r="AK30" s="338" t="n"/>
      <c r="AL30" s="338" t="n"/>
      <c r="AM30" s="338" t="n"/>
      <c r="AN30" s="338" t="n"/>
      <c r="AO30" s="338" t="n"/>
      <c r="AP30" s="338" t="n"/>
      <c r="AQ30" s="338" t="n"/>
      <c r="AR30" s="338" t="n"/>
      <c r="AS30" s="338" t="n"/>
      <c r="AT30" s="338" t="n"/>
      <c r="AU30" s="338" t="n"/>
      <c r="AV30" s="338" t="n"/>
      <c r="AW30" s="338" t="n"/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8" t="n"/>
      <c r="BH30" s="338" t="n"/>
      <c r="BI30" s="338" t="n"/>
      <c r="BJ30" s="338" t="n"/>
      <c r="BK30" s="338" t="n"/>
      <c r="BL30" s="338" t="n"/>
      <c r="BM30" s="338" t="n"/>
      <c r="BN30" s="338" t="n"/>
      <c r="BO30" s="338" t="n"/>
      <c r="BP30" s="338" t="n"/>
      <c r="BQ30" s="338" t="n"/>
      <c r="BR30" s="338" t="n"/>
      <c r="BS30" s="338" t="n"/>
      <c r="BT30" s="338" t="n"/>
      <c r="BU30" s="338" t="n"/>
      <c r="BV30" s="338" t="n"/>
      <c r="BW30" s="338" t="n"/>
      <c r="BX30" s="338" t="n"/>
      <c r="BY30" s="338" t="n"/>
      <c r="BZ30" s="338" t="n"/>
      <c r="CA30" s="338" t="n"/>
      <c r="CB30" s="338" t="n"/>
      <c r="CC30" s="383" t="n"/>
      <c r="CF30" s="253" t="inlineStr">
        <is>
          <t>時間外</t>
        </is>
      </c>
      <c r="CG30" s="384" t="n"/>
      <c r="CH30" s="384" t="n"/>
      <c r="CI30" s="385" t="n"/>
      <c r="CJ30" s="386">
        <f>IF(Q28="作業者1",K31-K28,0)</f>
        <v/>
      </c>
      <c r="CK30" s="387" t="n"/>
      <c r="CL30" s="387" t="n"/>
      <c r="CM30" s="387" t="n"/>
      <c r="CN30" s="388" t="n"/>
      <c r="CP30" s="253" t="inlineStr">
        <is>
          <t>時間外</t>
        </is>
      </c>
      <c r="CQ30" s="384" t="n"/>
      <c r="CR30" s="384" t="n"/>
      <c r="CS30" s="385" t="n"/>
      <c r="CT30" s="386">
        <f>IF(Q28="作業者2",K31-K28,0)</f>
        <v/>
      </c>
      <c r="CU30" s="387" t="n"/>
      <c r="CV30" s="387" t="n"/>
      <c r="CW30" s="387" t="n"/>
      <c r="CX30" s="388" t="n"/>
      <c r="CZ30" s="253" t="inlineStr">
        <is>
          <t>時間外</t>
        </is>
      </c>
      <c r="DA30" s="384" t="n"/>
      <c r="DB30" s="384" t="n"/>
      <c r="DC30" s="385" t="n"/>
      <c r="DD30" s="386">
        <f>IF(Q28="作業者3",K31-K28,0)</f>
        <v/>
      </c>
      <c r="DE30" s="387" t="n"/>
      <c r="DF30" s="387" t="n"/>
      <c r="DG30" s="387" t="n"/>
      <c r="DH30" s="388" t="n"/>
      <c r="DJ30" s="253" t="inlineStr">
        <is>
          <t>時間外</t>
        </is>
      </c>
      <c r="DK30" s="384" t="n"/>
      <c r="DL30" s="384" t="n"/>
      <c r="DM30" s="385" t="n"/>
      <c r="DN30" s="386">
        <f>IF(Q28="作業者4",K31-K28,0)</f>
        <v/>
      </c>
      <c r="DO30" s="387" t="n"/>
      <c r="DP30" s="387" t="n"/>
      <c r="DQ30" s="387" t="n"/>
      <c r="DR30" s="388" t="n"/>
      <c r="DT30" s="253" t="inlineStr">
        <is>
          <t>時間外</t>
        </is>
      </c>
      <c r="DU30" s="384" t="n"/>
      <c r="DV30" s="384" t="n"/>
      <c r="DW30" s="385" t="n"/>
      <c r="DX30" s="386">
        <f>IF(Q28="作業者5",K31-K28,0)</f>
        <v/>
      </c>
      <c r="DY30" s="387" t="n"/>
      <c r="DZ30" s="387" t="n"/>
      <c r="EA30" s="387" t="n"/>
      <c r="EB30" s="388" t="n"/>
    </row>
    <row r="31" ht="9" customHeight="1" s="337">
      <c r="B31" s="389" t="n"/>
      <c r="C31" s="390" t="n"/>
      <c r="D31" s="391" t="n"/>
      <c r="E31" s="392" t="n"/>
      <c r="F31" s="390" t="n"/>
      <c r="G31" s="391" t="n"/>
      <c r="H31" s="392" t="n"/>
      <c r="I31" s="390" t="n"/>
      <c r="J31" s="391" t="n"/>
      <c r="K31" s="392" t="n"/>
      <c r="L31" s="390" t="n"/>
      <c r="M31" s="391" t="n"/>
      <c r="N31" s="392" t="n"/>
      <c r="O31" s="390" t="n"/>
      <c r="P31" s="391" t="n"/>
      <c r="Q31" s="393" t="n"/>
      <c r="R31" s="390" t="n"/>
      <c r="S31" s="391" t="n"/>
      <c r="T31" s="393" t="n"/>
      <c r="U31" s="390" t="n"/>
      <c r="V31" s="391" t="n"/>
      <c r="W31" s="393" t="n"/>
      <c r="X31" s="390" t="n"/>
      <c r="Y31" s="390" t="n"/>
      <c r="Z31" s="390" t="n"/>
      <c r="AA31" s="390" t="n"/>
      <c r="AB31" s="390" t="n"/>
      <c r="AC31" s="390" t="n"/>
      <c r="AD31" s="390" t="n"/>
      <c r="AE31" s="390" t="n"/>
      <c r="AF31" s="390" t="n"/>
      <c r="AG31" s="390" t="n"/>
      <c r="AH31" s="390" t="n"/>
      <c r="AI31" s="390" t="n"/>
      <c r="AJ31" s="390" t="n"/>
      <c r="AK31" s="390" t="n"/>
      <c r="AL31" s="390" t="n"/>
      <c r="AM31" s="390" t="n"/>
      <c r="AN31" s="390" t="n"/>
      <c r="AO31" s="390" t="n"/>
      <c r="AP31" s="390" t="n"/>
      <c r="AQ31" s="390" t="n"/>
      <c r="AR31" s="390" t="n"/>
      <c r="AS31" s="390" t="n"/>
      <c r="AT31" s="390" t="n"/>
      <c r="AU31" s="390" t="n"/>
      <c r="AV31" s="390" t="n"/>
      <c r="AW31" s="390" t="n"/>
      <c r="AX31" s="390" t="n"/>
      <c r="AY31" s="390" t="n"/>
      <c r="AZ31" s="390" t="n"/>
      <c r="BA31" s="390" t="n"/>
      <c r="BB31" s="390" t="n"/>
      <c r="BC31" s="390" t="n"/>
      <c r="BD31" s="390" t="n"/>
      <c r="BE31" s="390" t="n"/>
      <c r="BF31" s="390" t="n"/>
      <c r="BG31" s="390" t="n"/>
      <c r="BH31" s="390" t="n"/>
      <c r="BI31" s="390" t="n"/>
      <c r="BJ31" s="390" t="n"/>
      <c r="BK31" s="390" t="n"/>
      <c r="BL31" s="390" t="n"/>
      <c r="BM31" s="390" t="n"/>
      <c r="BN31" s="390" t="n"/>
      <c r="BO31" s="390" t="n"/>
      <c r="BP31" s="390" t="n"/>
      <c r="BQ31" s="390" t="n"/>
      <c r="BR31" s="390" t="n"/>
      <c r="BS31" s="390" t="n"/>
      <c r="BT31" s="390" t="n"/>
      <c r="BU31" s="390" t="n"/>
      <c r="BV31" s="390" t="n"/>
      <c r="BW31" s="390" t="n"/>
      <c r="BX31" s="390" t="n"/>
      <c r="BY31" s="390" t="n"/>
      <c r="BZ31" s="390" t="n"/>
      <c r="CA31" s="390" t="n"/>
      <c r="CB31" s="390" t="n"/>
      <c r="CC31" s="394" t="n"/>
      <c r="CF31" s="254" t="inlineStr">
        <is>
          <t>休日</t>
        </is>
      </c>
      <c r="CG31" s="395" t="n"/>
      <c r="CH31" s="395" t="n"/>
      <c r="CI31" s="396" t="n"/>
      <c r="CJ31" s="397">
        <f>IF(Q28="作業者1",N31-N28,0)</f>
        <v/>
      </c>
      <c r="CK31" s="395" t="n"/>
      <c r="CL31" s="395" t="n"/>
      <c r="CM31" s="395" t="n"/>
      <c r="CN31" s="396" t="n"/>
      <c r="CP31" s="254" t="inlineStr">
        <is>
          <t>休日</t>
        </is>
      </c>
      <c r="CQ31" s="395" t="n"/>
      <c r="CR31" s="395" t="n"/>
      <c r="CS31" s="396" t="n"/>
      <c r="CT31" s="397">
        <f>IF(Q28="作業者2",N31-N28,0)</f>
        <v/>
      </c>
      <c r="CU31" s="395" t="n"/>
      <c r="CV31" s="395" t="n"/>
      <c r="CW31" s="395" t="n"/>
      <c r="CX31" s="396" t="n"/>
      <c r="CZ31" s="254" t="inlineStr">
        <is>
          <t>休日</t>
        </is>
      </c>
      <c r="DA31" s="395" t="n"/>
      <c r="DB31" s="395" t="n"/>
      <c r="DC31" s="396" t="n"/>
      <c r="DD31" s="397">
        <f>IF(Q28="作業者3",N31-N28,0)</f>
        <v/>
      </c>
      <c r="DE31" s="395" t="n"/>
      <c r="DF31" s="395" t="n"/>
      <c r="DG31" s="395" t="n"/>
      <c r="DH31" s="396" t="n"/>
      <c r="DJ31" s="254" t="inlineStr">
        <is>
          <t>休日</t>
        </is>
      </c>
      <c r="DK31" s="395" t="n"/>
      <c r="DL31" s="395" t="n"/>
      <c r="DM31" s="396" t="n"/>
      <c r="DN31" s="397">
        <f>IF(Q28="作業者4",N31-N28,0)</f>
        <v/>
      </c>
      <c r="DO31" s="395" t="n"/>
      <c r="DP31" s="395" t="n"/>
      <c r="DQ31" s="395" t="n"/>
      <c r="DR31" s="396" t="n"/>
      <c r="DT31" s="254" t="inlineStr">
        <is>
          <t>休日</t>
        </is>
      </c>
      <c r="DU31" s="395" t="n"/>
      <c r="DV31" s="395" t="n"/>
      <c r="DW31" s="396" t="n"/>
      <c r="DX31" s="397">
        <f>IF(Q28="作業者5",N31-N28,0)</f>
        <v/>
      </c>
      <c r="DY31" s="395" t="n"/>
      <c r="DZ31" s="395" t="n"/>
      <c r="EA31" s="395" t="n"/>
      <c r="EB31" s="396" t="n"/>
    </row>
    <row r="32" ht="9" customHeight="1" s="337">
      <c r="B32" s="398" t="n"/>
      <c r="C32" s="372" t="n"/>
      <c r="D32" s="373" t="n"/>
      <c r="E32" s="399" t="n"/>
      <c r="F32" s="372" t="n"/>
      <c r="G32" s="373" t="n"/>
      <c r="H32" s="399" t="n"/>
      <c r="I32" s="372" t="n"/>
      <c r="J32" s="373" t="n"/>
      <c r="K32" s="399" t="n"/>
      <c r="L32" s="372" t="n"/>
      <c r="M32" s="373" t="n"/>
      <c r="N32" s="399" t="n"/>
      <c r="O32" s="372" t="n"/>
      <c r="P32" s="373" t="n"/>
      <c r="Q32" s="371" t="n"/>
      <c r="R32" s="372" t="n"/>
      <c r="S32" s="373" t="n"/>
      <c r="T32" s="371" t="n"/>
      <c r="U32" s="372" t="n"/>
      <c r="V32" s="373" t="n"/>
      <c r="W32" s="443" t="n"/>
      <c r="X32" s="372" t="n"/>
      <c r="Y32" s="372" t="n"/>
      <c r="Z32" s="372" t="n"/>
      <c r="AA32" s="372" t="n"/>
      <c r="AB32" s="372" t="n"/>
      <c r="AC32" s="372" t="n"/>
      <c r="AD32" s="372" t="n"/>
      <c r="AE32" s="372" t="n"/>
      <c r="AF32" s="372" t="n"/>
      <c r="AG32" s="372" t="n"/>
      <c r="AH32" s="372" t="n"/>
      <c r="AI32" s="372" t="n"/>
      <c r="AJ32" s="372" t="n"/>
      <c r="AK32" s="372" t="n"/>
      <c r="AL32" s="372" t="n"/>
      <c r="AM32" s="372" t="n"/>
      <c r="AN32" s="372" t="n"/>
      <c r="AO32" s="372" t="n"/>
      <c r="AP32" s="372" t="n"/>
      <c r="AQ32" s="372" t="n"/>
      <c r="AR32" s="372" t="n"/>
      <c r="AS32" s="372" t="n"/>
      <c r="AT32" s="372" t="n"/>
      <c r="AU32" s="372" t="n"/>
      <c r="AV32" s="372" t="n"/>
      <c r="AW32" s="372" t="n"/>
      <c r="AX32" s="372" t="n"/>
      <c r="AY32" s="372" t="n"/>
      <c r="AZ32" s="372" t="n"/>
      <c r="BA32" s="372" t="n"/>
      <c r="BB32" s="372" t="n"/>
      <c r="BC32" s="372" t="n"/>
      <c r="BD32" s="372" t="n"/>
      <c r="BE32" s="372" t="n"/>
      <c r="BF32" s="372" t="n"/>
      <c r="BG32" s="372" t="n"/>
      <c r="BH32" s="372" t="n"/>
      <c r="BI32" s="372" t="n"/>
      <c r="BJ32" s="372" t="n"/>
      <c r="BK32" s="372" t="n"/>
      <c r="BL32" s="372" t="n"/>
      <c r="BM32" s="372" t="n"/>
      <c r="BN32" s="372" t="n"/>
      <c r="BO32" s="372" t="n"/>
      <c r="BP32" s="372" t="n"/>
      <c r="BQ32" s="372" t="n"/>
      <c r="BR32" s="372" t="n"/>
      <c r="BS32" s="372" t="n"/>
      <c r="BT32" s="372" t="n"/>
      <c r="BU32" s="372" t="n"/>
      <c r="BV32" s="372" t="n"/>
      <c r="BW32" s="372" t="n"/>
      <c r="BX32" s="372" t="n"/>
      <c r="BY32" s="372" t="n"/>
      <c r="BZ32" s="372" t="n"/>
      <c r="CA32" s="372" t="n"/>
      <c r="CB32" s="372" t="n"/>
      <c r="CC32" s="402" t="n"/>
      <c r="CF32" s="248" t="inlineStr">
        <is>
          <t>移動</t>
        </is>
      </c>
      <c r="CG32" s="377" t="n"/>
      <c r="CH32" s="377" t="n"/>
      <c r="CI32" s="378" t="n"/>
      <c r="CJ32" s="379">
        <f>IF(Q32="作業者1",E35-E32,0)</f>
        <v/>
      </c>
      <c r="CK32" s="377" t="n"/>
      <c r="CL32" s="377" t="n"/>
      <c r="CM32" s="377" t="n"/>
      <c r="CN32" s="378" t="n"/>
      <c r="CP32" s="248" t="inlineStr">
        <is>
          <t>移動</t>
        </is>
      </c>
      <c r="CQ32" s="377" t="n"/>
      <c r="CR32" s="377" t="n"/>
      <c r="CS32" s="378" t="n"/>
      <c r="CT32" s="379">
        <f>IF(Q32="作業者2",E35-E32,0)</f>
        <v/>
      </c>
      <c r="CU32" s="377" t="n"/>
      <c r="CV32" s="377" t="n"/>
      <c r="CW32" s="377" t="n"/>
      <c r="CX32" s="378" t="n"/>
      <c r="CZ32" s="259" t="inlineStr">
        <is>
          <t>移動</t>
        </is>
      </c>
      <c r="DA32" s="403" t="n"/>
      <c r="DB32" s="403" t="n"/>
      <c r="DC32" s="404" t="n"/>
      <c r="DD32" s="405">
        <f>IF(Q32="作業者3",E35-E32,0)</f>
        <v/>
      </c>
      <c r="DE32" s="406" t="n"/>
      <c r="DF32" s="406" t="n"/>
      <c r="DG32" s="406" t="n"/>
      <c r="DH32" s="407" t="n"/>
      <c r="DJ32" s="259" t="inlineStr">
        <is>
          <t>移動</t>
        </is>
      </c>
      <c r="DK32" s="403" t="n"/>
      <c r="DL32" s="403" t="n"/>
      <c r="DM32" s="404" t="n"/>
      <c r="DN32" s="379">
        <f>IF(Q32="作業者4",E35-E32,0)</f>
        <v/>
      </c>
      <c r="DO32" s="377" t="n"/>
      <c r="DP32" s="377" t="n"/>
      <c r="DQ32" s="377" t="n"/>
      <c r="DR32" s="378" t="n"/>
      <c r="DT32" s="259" t="inlineStr">
        <is>
          <t>移動</t>
        </is>
      </c>
      <c r="DU32" s="403" t="n"/>
      <c r="DV32" s="403" t="n"/>
      <c r="DW32" s="404" t="n"/>
      <c r="DX32" s="379">
        <f>IF(Q32="作業者5",E35-E32,0)</f>
        <v/>
      </c>
      <c r="DY32" s="377" t="n"/>
      <c r="DZ32" s="377" t="n"/>
      <c r="EA32" s="377" t="n"/>
      <c r="EB32" s="378" t="n"/>
    </row>
    <row r="33" ht="9" customHeight="1" s="337">
      <c r="B33" s="350" t="n"/>
      <c r="C33" s="338" t="n"/>
      <c r="D33" s="380" t="n"/>
      <c r="E33" s="381" t="n"/>
      <c r="F33" s="122" t="inlineStr">
        <is>
          <t>～</t>
        </is>
      </c>
      <c r="G33" s="22" t="n"/>
      <c r="H33" s="381" t="n"/>
      <c r="I33" s="122" t="inlineStr">
        <is>
          <t>～</t>
        </is>
      </c>
      <c r="J33" s="22" t="n"/>
      <c r="K33" s="381" t="n"/>
      <c r="L33" s="122" t="inlineStr">
        <is>
          <t>～</t>
        </is>
      </c>
      <c r="M33" s="22" t="n"/>
      <c r="N33" s="381" t="n"/>
      <c r="O33" s="122" t="inlineStr">
        <is>
          <t>～</t>
        </is>
      </c>
      <c r="P33" s="22" t="n"/>
      <c r="Q33" s="382" t="n"/>
      <c r="R33" s="338" t="n"/>
      <c r="S33" s="380" t="n"/>
      <c r="T33" s="382" t="n"/>
      <c r="U33" s="338" t="n"/>
      <c r="V33" s="380" t="n"/>
      <c r="W33" s="382" t="n"/>
      <c r="X33" s="338" t="n"/>
      <c r="Y33" s="338" t="n"/>
      <c r="Z33" s="338" t="n"/>
      <c r="AA33" s="338" t="n"/>
      <c r="AB33" s="338" t="n"/>
      <c r="AC33" s="338" t="n"/>
      <c r="AD33" s="338" t="n"/>
      <c r="AE33" s="338" t="n"/>
      <c r="AF33" s="338" t="n"/>
      <c r="AG33" s="338" t="n"/>
      <c r="AH33" s="338" t="n"/>
      <c r="AI33" s="338" t="n"/>
      <c r="AJ33" s="338" t="n"/>
      <c r="AK33" s="338" t="n"/>
      <c r="AL33" s="338" t="n"/>
      <c r="AM33" s="338" t="n"/>
      <c r="AN33" s="338" t="n"/>
      <c r="AO33" s="338" t="n"/>
      <c r="AP33" s="338" t="n"/>
      <c r="AQ33" s="338" t="n"/>
      <c r="AR33" s="338" t="n"/>
      <c r="AS33" s="338" t="n"/>
      <c r="AT33" s="338" t="n"/>
      <c r="AU33" s="338" t="n"/>
      <c r="AV33" s="338" t="n"/>
      <c r="AW33" s="338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8" t="n"/>
      <c r="BH33" s="338" t="n"/>
      <c r="BI33" s="338" t="n"/>
      <c r="BJ33" s="338" t="n"/>
      <c r="BK33" s="338" t="n"/>
      <c r="BL33" s="338" t="n"/>
      <c r="BM33" s="338" t="n"/>
      <c r="BN33" s="338" t="n"/>
      <c r="BO33" s="338" t="n"/>
      <c r="BP33" s="338" t="n"/>
      <c r="BQ33" s="338" t="n"/>
      <c r="BR33" s="338" t="n"/>
      <c r="BS33" s="338" t="n"/>
      <c r="BT33" s="338" t="n"/>
      <c r="BU33" s="338" t="n"/>
      <c r="BV33" s="338" t="n"/>
      <c r="BW33" s="338" t="n"/>
      <c r="BX33" s="338" t="n"/>
      <c r="BY33" s="338" t="n"/>
      <c r="BZ33" s="338" t="n"/>
      <c r="CA33" s="338" t="n"/>
      <c r="CB33" s="338" t="n"/>
      <c r="CC33" s="383" t="n"/>
      <c r="CF33" s="253" t="inlineStr">
        <is>
          <t>時間内</t>
        </is>
      </c>
      <c r="CG33" s="384" t="n"/>
      <c r="CH33" s="384" t="n"/>
      <c r="CI33" s="385" t="n"/>
      <c r="CJ33" s="386">
        <f>IF(Q32="作業者1",H35-H32,0)</f>
        <v/>
      </c>
      <c r="CK33" s="387" t="n"/>
      <c r="CL33" s="387" t="n"/>
      <c r="CM33" s="387" t="n"/>
      <c r="CN33" s="388" t="n"/>
      <c r="CP33" s="253" t="inlineStr">
        <is>
          <t>時間内</t>
        </is>
      </c>
      <c r="CQ33" s="384" t="n"/>
      <c r="CR33" s="384" t="n"/>
      <c r="CS33" s="385" t="n"/>
      <c r="CT33" s="386">
        <f>IF(Q32="作業者2",H35-H32,0)</f>
        <v/>
      </c>
      <c r="CU33" s="387" t="n"/>
      <c r="CV33" s="387" t="n"/>
      <c r="CW33" s="387" t="n"/>
      <c r="CX33" s="388" t="n"/>
      <c r="CZ33" s="253" t="inlineStr">
        <is>
          <t>時間内</t>
        </is>
      </c>
      <c r="DA33" s="384" t="n"/>
      <c r="DB33" s="384" t="n"/>
      <c r="DC33" s="385" t="n"/>
      <c r="DD33" s="386">
        <f>IF(Q32="作業者3",H35-H32,0)</f>
        <v/>
      </c>
      <c r="DE33" s="387" t="n"/>
      <c r="DF33" s="387" t="n"/>
      <c r="DG33" s="387" t="n"/>
      <c r="DH33" s="388" t="n"/>
      <c r="DJ33" s="253" t="inlineStr">
        <is>
          <t>時間内</t>
        </is>
      </c>
      <c r="DK33" s="384" t="n"/>
      <c r="DL33" s="384" t="n"/>
      <c r="DM33" s="385" t="n"/>
      <c r="DN33" s="386">
        <f>IF(Q32="作業者4",H35-H32,0)</f>
        <v/>
      </c>
      <c r="DO33" s="387" t="n"/>
      <c r="DP33" s="387" t="n"/>
      <c r="DQ33" s="387" t="n"/>
      <c r="DR33" s="388" t="n"/>
      <c r="DT33" s="253" t="inlineStr">
        <is>
          <t>時間内</t>
        </is>
      </c>
      <c r="DU33" s="384" t="n"/>
      <c r="DV33" s="384" t="n"/>
      <c r="DW33" s="385" t="n"/>
      <c r="DX33" s="386">
        <f>IF(Q32="作業者5",H35-H32,0)</f>
        <v/>
      </c>
      <c r="DY33" s="387" t="n"/>
      <c r="DZ33" s="387" t="n"/>
      <c r="EA33" s="387" t="n"/>
      <c r="EB33" s="388" t="n"/>
    </row>
    <row r="34" ht="9" customHeight="1" s="337">
      <c r="B34" s="350" t="n"/>
      <c r="C34" s="338" t="n"/>
      <c r="D34" s="380" t="n"/>
      <c r="E34" s="23" t="n"/>
      <c r="F34" s="338" t="n"/>
      <c r="G34" s="24" t="n"/>
      <c r="H34" s="23" t="n"/>
      <c r="I34" s="338" t="n"/>
      <c r="J34" s="24" t="n"/>
      <c r="K34" s="23" t="n"/>
      <c r="L34" s="338" t="n"/>
      <c r="M34" s="24" t="n"/>
      <c r="N34" s="23" t="n"/>
      <c r="O34" s="338" t="n"/>
      <c r="P34" s="24" t="n"/>
      <c r="Q34" s="382" t="n"/>
      <c r="R34" s="338" t="n"/>
      <c r="S34" s="380" t="n"/>
      <c r="T34" s="382" t="n"/>
      <c r="U34" s="338" t="n"/>
      <c r="V34" s="380" t="n"/>
      <c r="W34" s="382" t="n"/>
      <c r="X34" s="338" t="n"/>
      <c r="Y34" s="338" t="n"/>
      <c r="Z34" s="338" t="n"/>
      <c r="AA34" s="338" t="n"/>
      <c r="AB34" s="338" t="n"/>
      <c r="AC34" s="338" t="n"/>
      <c r="AD34" s="338" t="n"/>
      <c r="AE34" s="338" t="n"/>
      <c r="AF34" s="338" t="n"/>
      <c r="AG34" s="338" t="n"/>
      <c r="AH34" s="338" t="n"/>
      <c r="AI34" s="338" t="n"/>
      <c r="AJ34" s="338" t="n"/>
      <c r="AK34" s="338" t="n"/>
      <c r="AL34" s="338" t="n"/>
      <c r="AM34" s="338" t="n"/>
      <c r="AN34" s="338" t="n"/>
      <c r="AO34" s="338" t="n"/>
      <c r="AP34" s="338" t="n"/>
      <c r="AQ34" s="338" t="n"/>
      <c r="AR34" s="338" t="n"/>
      <c r="AS34" s="338" t="n"/>
      <c r="AT34" s="338" t="n"/>
      <c r="AU34" s="338" t="n"/>
      <c r="AV34" s="338" t="n"/>
      <c r="AW34" s="338" t="n"/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8" t="n"/>
      <c r="BH34" s="338" t="n"/>
      <c r="BI34" s="338" t="n"/>
      <c r="BJ34" s="338" t="n"/>
      <c r="BK34" s="338" t="n"/>
      <c r="BL34" s="338" t="n"/>
      <c r="BM34" s="338" t="n"/>
      <c r="BN34" s="338" t="n"/>
      <c r="BO34" s="338" t="n"/>
      <c r="BP34" s="338" t="n"/>
      <c r="BQ34" s="338" t="n"/>
      <c r="BR34" s="338" t="n"/>
      <c r="BS34" s="338" t="n"/>
      <c r="BT34" s="338" t="n"/>
      <c r="BU34" s="338" t="n"/>
      <c r="BV34" s="338" t="n"/>
      <c r="BW34" s="338" t="n"/>
      <c r="BX34" s="338" t="n"/>
      <c r="BY34" s="338" t="n"/>
      <c r="BZ34" s="338" t="n"/>
      <c r="CA34" s="338" t="n"/>
      <c r="CB34" s="338" t="n"/>
      <c r="CC34" s="383" t="n"/>
      <c r="CF34" s="253" t="inlineStr">
        <is>
          <t>時間外</t>
        </is>
      </c>
      <c r="CG34" s="384" t="n"/>
      <c r="CH34" s="384" t="n"/>
      <c r="CI34" s="385" t="n"/>
      <c r="CJ34" s="386">
        <f>IF(Q32="作業者1",K35-K32,0)</f>
        <v/>
      </c>
      <c r="CK34" s="387" t="n"/>
      <c r="CL34" s="387" t="n"/>
      <c r="CM34" s="387" t="n"/>
      <c r="CN34" s="388" t="n"/>
      <c r="CP34" s="253" t="inlineStr">
        <is>
          <t>時間外</t>
        </is>
      </c>
      <c r="CQ34" s="384" t="n"/>
      <c r="CR34" s="384" t="n"/>
      <c r="CS34" s="385" t="n"/>
      <c r="CT34" s="386">
        <f>IF(Q32="作業者2",K35-K32,0)</f>
        <v/>
      </c>
      <c r="CU34" s="387" t="n"/>
      <c r="CV34" s="387" t="n"/>
      <c r="CW34" s="387" t="n"/>
      <c r="CX34" s="388" t="n"/>
      <c r="CZ34" s="253" t="inlineStr">
        <is>
          <t>時間外</t>
        </is>
      </c>
      <c r="DA34" s="384" t="n"/>
      <c r="DB34" s="384" t="n"/>
      <c r="DC34" s="385" t="n"/>
      <c r="DD34" s="386">
        <f>IF(Q32="作業者3",K35-K32,0)</f>
        <v/>
      </c>
      <c r="DE34" s="387" t="n"/>
      <c r="DF34" s="387" t="n"/>
      <c r="DG34" s="387" t="n"/>
      <c r="DH34" s="388" t="n"/>
      <c r="DJ34" s="253" t="inlineStr">
        <is>
          <t>時間外</t>
        </is>
      </c>
      <c r="DK34" s="384" t="n"/>
      <c r="DL34" s="384" t="n"/>
      <c r="DM34" s="385" t="n"/>
      <c r="DN34" s="386">
        <f>IF(Q32="作業者4",K35-K32,0)</f>
        <v/>
      </c>
      <c r="DO34" s="387" t="n"/>
      <c r="DP34" s="387" t="n"/>
      <c r="DQ34" s="387" t="n"/>
      <c r="DR34" s="388" t="n"/>
      <c r="DT34" s="253" t="inlineStr">
        <is>
          <t>時間外</t>
        </is>
      </c>
      <c r="DU34" s="384" t="n"/>
      <c r="DV34" s="384" t="n"/>
      <c r="DW34" s="385" t="n"/>
      <c r="DX34" s="386">
        <f>IF(Q32="作業者5",K35-K32,0)</f>
        <v/>
      </c>
      <c r="DY34" s="387" t="n"/>
      <c r="DZ34" s="387" t="n"/>
      <c r="EA34" s="387" t="n"/>
      <c r="EB34" s="388" t="n"/>
    </row>
    <row r="35" ht="9" customHeight="1" s="337">
      <c r="B35" s="389" t="n"/>
      <c r="C35" s="390" t="n"/>
      <c r="D35" s="391" t="n"/>
      <c r="E35" s="392" t="n"/>
      <c r="F35" s="390" t="n"/>
      <c r="G35" s="391" t="n"/>
      <c r="H35" s="392" t="n"/>
      <c r="I35" s="390" t="n"/>
      <c r="J35" s="391" t="n"/>
      <c r="K35" s="392" t="n"/>
      <c r="L35" s="390" t="n"/>
      <c r="M35" s="391" t="n"/>
      <c r="N35" s="392" t="n"/>
      <c r="O35" s="390" t="n"/>
      <c r="P35" s="391" t="n"/>
      <c r="Q35" s="393" t="n"/>
      <c r="R35" s="390" t="n"/>
      <c r="S35" s="391" t="n"/>
      <c r="T35" s="393" t="n"/>
      <c r="U35" s="390" t="n"/>
      <c r="V35" s="391" t="n"/>
      <c r="W35" s="393" t="n"/>
      <c r="X35" s="390" t="n"/>
      <c r="Y35" s="390" t="n"/>
      <c r="Z35" s="390" t="n"/>
      <c r="AA35" s="390" t="n"/>
      <c r="AB35" s="390" t="n"/>
      <c r="AC35" s="390" t="n"/>
      <c r="AD35" s="390" t="n"/>
      <c r="AE35" s="390" t="n"/>
      <c r="AF35" s="390" t="n"/>
      <c r="AG35" s="390" t="n"/>
      <c r="AH35" s="390" t="n"/>
      <c r="AI35" s="390" t="n"/>
      <c r="AJ35" s="390" t="n"/>
      <c r="AK35" s="390" t="n"/>
      <c r="AL35" s="390" t="n"/>
      <c r="AM35" s="390" t="n"/>
      <c r="AN35" s="390" t="n"/>
      <c r="AO35" s="390" t="n"/>
      <c r="AP35" s="390" t="n"/>
      <c r="AQ35" s="390" t="n"/>
      <c r="AR35" s="390" t="n"/>
      <c r="AS35" s="390" t="n"/>
      <c r="AT35" s="390" t="n"/>
      <c r="AU35" s="390" t="n"/>
      <c r="AV35" s="390" t="n"/>
      <c r="AW35" s="390" t="n"/>
      <c r="AX35" s="390" t="n"/>
      <c r="AY35" s="390" t="n"/>
      <c r="AZ35" s="390" t="n"/>
      <c r="BA35" s="390" t="n"/>
      <c r="BB35" s="390" t="n"/>
      <c r="BC35" s="390" t="n"/>
      <c r="BD35" s="390" t="n"/>
      <c r="BE35" s="390" t="n"/>
      <c r="BF35" s="390" t="n"/>
      <c r="BG35" s="390" t="n"/>
      <c r="BH35" s="390" t="n"/>
      <c r="BI35" s="390" t="n"/>
      <c r="BJ35" s="390" t="n"/>
      <c r="BK35" s="390" t="n"/>
      <c r="BL35" s="390" t="n"/>
      <c r="BM35" s="390" t="n"/>
      <c r="BN35" s="390" t="n"/>
      <c r="BO35" s="390" t="n"/>
      <c r="BP35" s="390" t="n"/>
      <c r="BQ35" s="390" t="n"/>
      <c r="BR35" s="390" t="n"/>
      <c r="BS35" s="390" t="n"/>
      <c r="BT35" s="390" t="n"/>
      <c r="BU35" s="390" t="n"/>
      <c r="BV35" s="390" t="n"/>
      <c r="BW35" s="390" t="n"/>
      <c r="BX35" s="390" t="n"/>
      <c r="BY35" s="390" t="n"/>
      <c r="BZ35" s="390" t="n"/>
      <c r="CA35" s="390" t="n"/>
      <c r="CB35" s="390" t="n"/>
      <c r="CC35" s="394" t="n"/>
      <c r="CF35" s="254" t="inlineStr">
        <is>
          <t>休日</t>
        </is>
      </c>
      <c r="CG35" s="395" t="n"/>
      <c r="CH35" s="395" t="n"/>
      <c r="CI35" s="396" t="n"/>
      <c r="CJ35" s="397">
        <f>IF(Q32="作業者1",N35-N32,0)</f>
        <v/>
      </c>
      <c r="CK35" s="395" t="n"/>
      <c r="CL35" s="395" t="n"/>
      <c r="CM35" s="395" t="n"/>
      <c r="CN35" s="396" t="n"/>
      <c r="CP35" s="254" t="inlineStr">
        <is>
          <t>休日</t>
        </is>
      </c>
      <c r="CQ35" s="395" t="n"/>
      <c r="CR35" s="395" t="n"/>
      <c r="CS35" s="396" t="n"/>
      <c r="CT35" s="397">
        <f>IF(Q32="作業者2",N35-N32,0)</f>
        <v/>
      </c>
      <c r="CU35" s="395" t="n"/>
      <c r="CV35" s="395" t="n"/>
      <c r="CW35" s="395" t="n"/>
      <c r="CX35" s="396" t="n"/>
      <c r="CZ35" s="254" t="inlineStr">
        <is>
          <t>休日</t>
        </is>
      </c>
      <c r="DA35" s="395" t="n"/>
      <c r="DB35" s="395" t="n"/>
      <c r="DC35" s="396" t="n"/>
      <c r="DD35" s="397">
        <f>IF(Q32="作業者3",N35-N32,0)</f>
        <v/>
      </c>
      <c r="DE35" s="395" t="n"/>
      <c r="DF35" s="395" t="n"/>
      <c r="DG35" s="395" t="n"/>
      <c r="DH35" s="396" t="n"/>
      <c r="DJ35" s="254" t="inlineStr">
        <is>
          <t>休日</t>
        </is>
      </c>
      <c r="DK35" s="395" t="n"/>
      <c r="DL35" s="395" t="n"/>
      <c r="DM35" s="396" t="n"/>
      <c r="DN35" s="397">
        <f>IF(Q32="作業者4",N35-N32,0)</f>
        <v/>
      </c>
      <c r="DO35" s="395" t="n"/>
      <c r="DP35" s="395" t="n"/>
      <c r="DQ35" s="395" t="n"/>
      <c r="DR35" s="396" t="n"/>
      <c r="DT35" s="254" t="inlineStr">
        <is>
          <t>休日</t>
        </is>
      </c>
      <c r="DU35" s="395" t="n"/>
      <c r="DV35" s="395" t="n"/>
      <c r="DW35" s="396" t="n"/>
      <c r="DX35" s="397">
        <f>IF(Q32="作業者5",N35-N32,0)</f>
        <v/>
      </c>
      <c r="DY35" s="395" t="n"/>
      <c r="DZ35" s="395" t="n"/>
      <c r="EA35" s="395" t="n"/>
      <c r="EB35" s="396" t="n"/>
    </row>
    <row r="36" ht="9" customHeight="1" s="337">
      <c r="B36" s="398" t="n"/>
      <c r="C36" s="372" t="n"/>
      <c r="D36" s="373" t="n"/>
      <c r="E36" s="399" t="n"/>
      <c r="F36" s="372" t="n"/>
      <c r="G36" s="373" t="n"/>
      <c r="H36" s="399" t="n"/>
      <c r="I36" s="372" t="n"/>
      <c r="J36" s="373" t="n"/>
      <c r="K36" s="399" t="n"/>
      <c r="L36" s="372" t="n"/>
      <c r="M36" s="373" t="n"/>
      <c r="N36" s="399" t="n"/>
      <c r="O36" s="372" t="n"/>
      <c r="P36" s="373" t="n"/>
      <c r="Q36" s="371" t="n"/>
      <c r="R36" s="372" t="n"/>
      <c r="S36" s="373" t="n"/>
      <c r="T36" s="371" t="n"/>
      <c r="U36" s="372" t="n"/>
      <c r="V36" s="373" t="n"/>
      <c r="W36" s="443" t="n"/>
      <c r="X36" s="372" t="n"/>
      <c r="Y36" s="372" t="n"/>
      <c r="Z36" s="372" t="n"/>
      <c r="AA36" s="372" t="n"/>
      <c r="AB36" s="372" t="n"/>
      <c r="AC36" s="372" t="n"/>
      <c r="AD36" s="372" t="n"/>
      <c r="AE36" s="372" t="n"/>
      <c r="AF36" s="372" t="n"/>
      <c r="AG36" s="372" t="n"/>
      <c r="AH36" s="372" t="n"/>
      <c r="AI36" s="372" t="n"/>
      <c r="AJ36" s="372" t="n"/>
      <c r="AK36" s="372" t="n"/>
      <c r="AL36" s="372" t="n"/>
      <c r="AM36" s="372" t="n"/>
      <c r="AN36" s="372" t="n"/>
      <c r="AO36" s="372" t="n"/>
      <c r="AP36" s="372" t="n"/>
      <c r="AQ36" s="372" t="n"/>
      <c r="AR36" s="372" t="n"/>
      <c r="AS36" s="372" t="n"/>
      <c r="AT36" s="372" t="n"/>
      <c r="AU36" s="372" t="n"/>
      <c r="AV36" s="372" t="n"/>
      <c r="AW36" s="372" t="n"/>
      <c r="AX36" s="372" t="n"/>
      <c r="AY36" s="372" t="n"/>
      <c r="AZ36" s="372" t="n"/>
      <c r="BA36" s="372" t="n"/>
      <c r="BB36" s="372" t="n"/>
      <c r="BC36" s="372" t="n"/>
      <c r="BD36" s="372" t="n"/>
      <c r="BE36" s="372" t="n"/>
      <c r="BF36" s="372" t="n"/>
      <c r="BG36" s="372" t="n"/>
      <c r="BH36" s="372" t="n"/>
      <c r="BI36" s="372" t="n"/>
      <c r="BJ36" s="372" t="n"/>
      <c r="BK36" s="372" t="n"/>
      <c r="BL36" s="372" t="n"/>
      <c r="BM36" s="372" t="n"/>
      <c r="BN36" s="372" t="n"/>
      <c r="BO36" s="372" t="n"/>
      <c r="BP36" s="372" t="n"/>
      <c r="BQ36" s="372" t="n"/>
      <c r="BR36" s="372" t="n"/>
      <c r="BS36" s="372" t="n"/>
      <c r="BT36" s="372" t="n"/>
      <c r="BU36" s="372" t="n"/>
      <c r="BV36" s="372" t="n"/>
      <c r="BW36" s="372" t="n"/>
      <c r="BX36" s="372" t="n"/>
      <c r="BY36" s="372" t="n"/>
      <c r="BZ36" s="372" t="n"/>
      <c r="CA36" s="372" t="n"/>
      <c r="CB36" s="372" t="n"/>
      <c r="CC36" s="402" t="n"/>
      <c r="CF36" s="248" t="inlineStr">
        <is>
          <t>移動</t>
        </is>
      </c>
      <c r="CG36" s="377" t="n"/>
      <c r="CH36" s="377" t="n"/>
      <c r="CI36" s="378" t="n"/>
      <c r="CJ36" s="379">
        <f>IF(Q36="作業者1",E39-E36,0)</f>
        <v/>
      </c>
      <c r="CK36" s="377" t="n"/>
      <c r="CL36" s="377" t="n"/>
      <c r="CM36" s="377" t="n"/>
      <c r="CN36" s="378" t="n"/>
      <c r="CP36" s="248" t="inlineStr">
        <is>
          <t>移動</t>
        </is>
      </c>
      <c r="CQ36" s="377" t="n"/>
      <c r="CR36" s="377" t="n"/>
      <c r="CS36" s="378" t="n"/>
      <c r="CT36" s="379">
        <f>IF(Q36="作業者2",E39-E36,0)</f>
        <v/>
      </c>
      <c r="CU36" s="377" t="n"/>
      <c r="CV36" s="377" t="n"/>
      <c r="CW36" s="377" t="n"/>
      <c r="CX36" s="378" t="n"/>
      <c r="CZ36" s="259" t="inlineStr">
        <is>
          <t>移動</t>
        </is>
      </c>
      <c r="DA36" s="403" t="n"/>
      <c r="DB36" s="403" t="n"/>
      <c r="DC36" s="404" t="n"/>
      <c r="DD36" s="405">
        <f>IF(Q36="作業者3",E39-E36,0)</f>
        <v/>
      </c>
      <c r="DE36" s="406" t="n"/>
      <c r="DF36" s="406" t="n"/>
      <c r="DG36" s="406" t="n"/>
      <c r="DH36" s="407" t="n"/>
      <c r="DJ36" s="259" t="inlineStr">
        <is>
          <t>移動</t>
        </is>
      </c>
      <c r="DK36" s="403" t="n"/>
      <c r="DL36" s="403" t="n"/>
      <c r="DM36" s="404" t="n"/>
      <c r="DN36" s="379">
        <f>IF(Q36="作業者4",E39-E36,0)</f>
        <v/>
      </c>
      <c r="DO36" s="377" t="n"/>
      <c r="DP36" s="377" t="n"/>
      <c r="DQ36" s="377" t="n"/>
      <c r="DR36" s="378" t="n"/>
      <c r="DT36" s="259" t="inlineStr">
        <is>
          <t>移動</t>
        </is>
      </c>
      <c r="DU36" s="403" t="n"/>
      <c r="DV36" s="403" t="n"/>
      <c r="DW36" s="404" t="n"/>
      <c r="DX36" s="379">
        <f>IF(Q36="作業者5",E39-E36,0)</f>
        <v/>
      </c>
      <c r="DY36" s="377" t="n"/>
      <c r="DZ36" s="377" t="n"/>
      <c r="EA36" s="377" t="n"/>
      <c r="EB36" s="378" t="n"/>
    </row>
    <row r="37" ht="9" customHeight="1" s="337">
      <c r="B37" s="350" t="n"/>
      <c r="C37" s="338" t="n"/>
      <c r="D37" s="380" t="n"/>
      <c r="E37" s="381" t="n"/>
      <c r="F37" s="122" t="inlineStr">
        <is>
          <t>～</t>
        </is>
      </c>
      <c r="G37" s="22" t="n"/>
      <c r="H37" s="381" t="n"/>
      <c r="I37" s="122" t="inlineStr">
        <is>
          <t>～</t>
        </is>
      </c>
      <c r="J37" s="22" t="n"/>
      <c r="K37" s="381" t="n"/>
      <c r="L37" s="122" t="inlineStr">
        <is>
          <t>～</t>
        </is>
      </c>
      <c r="M37" s="22" t="n"/>
      <c r="N37" s="381" t="n"/>
      <c r="O37" s="122" t="inlineStr">
        <is>
          <t>～</t>
        </is>
      </c>
      <c r="P37" s="22" t="n"/>
      <c r="Q37" s="382" t="n"/>
      <c r="R37" s="338" t="n"/>
      <c r="S37" s="380" t="n"/>
      <c r="T37" s="382" t="n"/>
      <c r="U37" s="338" t="n"/>
      <c r="V37" s="380" t="n"/>
      <c r="W37" s="382" t="n"/>
      <c r="X37" s="338" t="n"/>
      <c r="Y37" s="338" t="n"/>
      <c r="Z37" s="338" t="n"/>
      <c r="AA37" s="338" t="n"/>
      <c r="AB37" s="338" t="n"/>
      <c r="AC37" s="338" t="n"/>
      <c r="AD37" s="338" t="n"/>
      <c r="AE37" s="338" t="n"/>
      <c r="AF37" s="338" t="n"/>
      <c r="AG37" s="338" t="n"/>
      <c r="AH37" s="338" t="n"/>
      <c r="AI37" s="338" t="n"/>
      <c r="AJ37" s="338" t="n"/>
      <c r="AK37" s="338" t="n"/>
      <c r="AL37" s="338" t="n"/>
      <c r="AM37" s="338" t="n"/>
      <c r="AN37" s="338" t="n"/>
      <c r="AO37" s="338" t="n"/>
      <c r="AP37" s="338" t="n"/>
      <c r="AQ37" s="338" t="n"/>
      <c r="AR37" s="338" t="n"/>
      <c r="AS37" s="338" t="n"/>
      <c r="AT37" s="338" t="n"/>
      <c r="AU37" s="338" t="n"/>
      <c r="AV37" s="338" t="n"/>
      <c r="AW37" s="338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8" t="n"/>
      <c r="BH37" s="338" t="n"/>
      <c r="BI37" s="338" t="n"/>
      <c r="BJ37" s="338" t="n"/>
      <c r="BK37" s="338" t="n"/>
      <c r="BL37" s="338" t="n"/>
      <c r="BM37" s="338" t="n"/>
      <c r="BN37" s="338" t="n"/>
      <c r="BO37" s="338" t="n"/>
      <c r="BP37" s="338" t="n"/>
      <c r="BQ37" s="338" t="n"/>
      <c r="BR37" s="338" t="n"/>
      <c r="BS37" s="338" t="n"/>
      <c r="BT37" s="338" t="n"/>
      <c r="BU37" s="338" t="n"/>
      <c r="BV37" s="338" t="n"/>
      <c r="BW37" s="338" t="n"/>
      <c r="BX37" s="338" t="n"/>
      <c r="BY37" s="338" t="n"/>
      <c r="BZ37" s="338" t="n"/>
      <c r="CA37" s="338" t="n"/>
      <c r="CB37" s="338" t="n"/>
      <c r="CC37" s="383" t="n"/>
      <c r="CF37" s="253" t="inlineStr">
        <is>
          <t>時間内</t>
        </is>
      </c>
      <c r="CG37" s="384" t="n"/>
      <c r="CH37" s="384" t="n"/>
      <c r="CI37" s="385" t="n"/>
      <c r="CJ37" s="386">
        <f>IF(Q36="作業者1",H39-H36,0)</f>
        <v/>
      </c>
      <c r="CK37" s="387" t="n"/>
      <c r="CL37" s="387" t="n"/>
      <c r="CM37" s="387" t="n"/>
      <c r="CN37" s="388" t="n"/>
      <c r="CP37" s="253" t="inlineStr">
        <is>
          <t>時間内</t>
        </is>
      </c>
      <c r="CQ37" s="384" t="n"/>
      <c r="CR37" s="384" t="n"/>
      <c r="CS37" s="385" t="n"/>
      <c r="CT37" s="386">
        <f>IF(Q36="作業者2",H39-H36,0)</f>
        <v/>
      </c>
      <c r="CU37" s="387" t="n"/>
      <c r="CV37" s="387" t="n"/>
      <c r="CW37" s="387" t="n"/>
      <c r="CX37" s="388" t="n"/>
      <c r="CZ37" s="253" t="inlineStr">
        <is>
          <t>時間内</t>
        </is>
      </c>
      <c r="DA37" s="384" t="n"/>
      <c r="DB37" s="384" t="n"/>
      <c r="DC37" s="385" t="n"/>
      <c r="DD37" s="386">
        <f>IF(Q36="作業者3",H39-H36,0)</f>
        <v/>
      </c>
      <c r="DE37" s="387" t="n"/>
      <c r="DF37" s="387" t="n"/>
      <c r="DG37" s="387" t="n"/>
      <c r="DH37" s="388" t="n"/>
      <c r="DJ37" s="253" t="inlineStr">
        <is>
          <t>時間内</t>
        </is>
      </c>
      <c r="DK37" s="384" t="n"/>
      <c r="DL37" s="384" t="n"/>
      <c r="DM37" s="385" t="n"/>
      <c r="DN37" s="386">
        <f>IF(Q36="作業者4",H39-H36,0)</f>
        <v/>
      </c>
      <c r="DO37" s="387" t="n"/>
      <c r="DP37" s="387" t="n"/>
      <c r="DQ37" s="387" t="n"/>
      <c r="DR37" s="388" t="n"/>
      <c r="DT37" s="253" t="inlineStr">
        <is>
          <t>時間内</t>
        </is>
      </c>
      <c r="DU37" s="384" t="n"/>
      <c r="DV37" s="384" t="n"/>
      <c r="DW37" s="385" t="n"/>
      <c r="DX37" s="386">
        <f>IF(Q36="作業者5",H39-H36,0)</f>
        <v/>
      </c>
      <c r="DY37" s="387" t="n"/>
      <c r="DZ37" s="387" t="n"/>
      <c r="EA37" s="387" t="n"/>
      <c r="EB37" s="388" t="n"/>
    </row>
    <row r="38" ht="9" customHeight="1" s="337">
      <c r="B38" s="350" t="n"/>
      <c r="C38" s="338" t="n"/>
      <c r="D38" s="380" t="n"/>
      <c r="E38" s="23" t="n"/>
      <c r="F38" s="338" t="n"/>
      <c r="G38" s="24" t="n"/>
      <c r="H38" s="23" t="n"/>
      <c r="I38" s="338" t="n"/>
      <c r="J38" s="24" t="n"/>
      <c r="K38" s="23" t="n"/>
      <c r="L38" s="338" t="n"/>
      <c r="M38" s="24" t="n"/>
      <c r="N38" s="23" t="n"/>
      <c r="O38" s="338" t="n"/>
      <c r="P38" s="24" t="n"/>
      <c r="Q38" s="382" t="n"/>
      <c r="R38" s="338" t="n"/>
      <c r="S38" s="380" t="n"/>
      <c r="T38" s="382" t="n"/>
      <c r="U38" s="338" t="n"/>
      <c r="V38" s="380" t="n"/>
      <c r="W38" s="382" t="n"/>
      <c r="X38" s="338" t="n"/>
      <c r="Y38" s="338" t="n"/>
      <c r="Z38" s="338" t="n"/>
      <c r="AA38" s="338" t="n"/>
      <c r="AB38" s="338" t="n"/>
      <c r="AC38" s="338" t="n"/>
      <c r="AD38" s="338" t="n"/>
      <c r="AE38" s="338" t="n"/>
      <c r="AF38" s="338" t="n"/>
      <c r="AG38" s="338" t="n"/>
      <c r="AH38" s="338" t="n"/>
      <c r="AI38" s="338" t="n"/>
      <c r="AJ38" s="338" t="n"/>
      <c r="AK38" s="338" t="n"/>
      <c r="AL38" s="338" t="n"/>
      <c r="AM38" s="338" t="n"/>
      <c r="AN38" s="338" t="n"/>
      <c r="AO38" s="338" t="n"/>
      <c r="AP38" s="338" t="n"/>
      <c r="AQ38" s="338" t="n"/>
      <c r="AR38" s="338" t="n"/>
      <c r="AS38" s="338" t="n"/>
      <c r="AT38" s="338" t="n"/>
      <c r="AU38" s="338" t="n"/>
      <c r="AV38" s="338" t="n"/>
      <c r="AW38" s="338" t="n"/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8" t="n"/>
      <c r="BH38" s="338" t="n"/>
      <c r="BI38" s="338" t="n"/>
      <c r="BJ38" s="338" t="n"/>
      <c r="BK38" s="338" t="n"/>
      <c r="BL38" s="338" t="n"/>
      <c r="BM38" s="338" t="n"/>
      <c r="BN38" s="338" t="n"/>
      <c r="BO38" s="338" t="n"/>
      <c r="BP38" s="338" t="n"/>
      <c r="BQ38" s="338" t="n"/>
      <c r="BR38" s="338" t="n"/>
      <c r="BS38" s="338" t="n"/>
      <c r="BT38" s="338" t="n"/>
      <c r="BU38" s="338" t="n"/>
      <c r="BV38" s="338" t="n"/>
      <c r="BW38" s="338" t="n"/>
      <c r="BX38" s="338" t="n"/>
      <c r="BY38" s="338" t="n"/>
      <c r="BZ38" s="338" t="n"/>
      <c r="CA38" s="338" t="n"/>
      <c r="CB38" s="338" t="n"/>
      <c r="CC38" s="383" t="n"/>
      <c r="CF38" s="253" t="inlineStr">
        <is>
          <t>時間外</t>
        </is>
      </c>
      <c r="CG38" s="384" t="n"/>
      <c r="CH38" s="384" t="n"/>
      <c r="CI38" s="385" t="n"/>
      <c r="CJ38" s="386">
        <f>IF(Q36="作業者1",K39-K36,0)</f>
        <v/>
      </c>
      <c r="CK38" s="387" t="n"/>
      <c r="CL38" s="387" t="n"/>
      <c r="CM38" s="387" t="n"/>
      <c r="CN38" s="388" t="n"/>
      <c r="CP38" s="253" t="inlineStr">
        <is>
          <t>時間外</t>
        </is>
      </c>
      <c r="CQ38" s="384" t="n"/>
      <c r="CR38" s="384" t="n"/>
      <c r="CS38" s="385" t="n"/>
      <c r="CT38" s="386">
        <f>IF(Q36="作業者2",K39-K36,0)</f>
        <v/>
      </c>
      <c r="CU38" s="387" t="n"/>
      <c r="CV38" s="387" t="n"/>
      <c r="CW38" s="387" t="n"/>
      <c r="CX38" s="388" t="n"/>
      <c r="CZ38" s="253" t="inlineStr">
        <is>
          <t>時間外</t>
        </is>
      </c>
      <c r="DA38" s="384" t="n"/>
      <c r="DB38" s="384" t="n"/>
      <c r="DC38" s="385" t="n"/>
      <c r="DD38" s="386">
        <f>IF(Q36="作業者3",K39-K36,0)</f>
        <v/>
      </c>
      <c r="DE38" s="387" t="n"/>
      <c r="DF38" s="387" t="n"/>
      <c r="DG38" s="387" t="n"/>
      <c r="DH38" s="388" t="n"/>
      <c r="DJ38" s="253" t="inlineStr">
        <is>
          <t>時間外</t>
        </is>
      </c>
      <c r="DK38" s="384" t="n"/>
      <c r="DL38" s="384" t="n"/>
      <c r="DM38" s="385" t="n"/>
      <c r="DN38" s="386">
        <f>IF(Q36="作業者4",K39-K36,0)</f>
        <v/>
      </c>
      <c r="DO38" s="387" t="n"/>
      <c r="DP38" s="387" t="n"/>
      <c r="DQ38" s="387" t="n"/>
      <c r="DR38" s="388" t="n"/>
      <c r="DT38" s="253" t="inlineStr">
        <is>
          <t>時間外</t>
        </is>
      </c>
      <c r="DU38" s="384" t="n"/>
      <c r="DV38" s="384" t="n"/>
      <c r="DW38" s="385" t="n"/>
      <c r="DX38" s="386">
        <f>IF(Q36="作業者5",K39-K36,0)</f>
        <v/>
      </c>
      <c r="DY38" s="387" t="n"/>
      <c r="DZ38" s="387" t="n"/>
      <c r="EA38" s="387" t="n"/>
      <c r="EB38" s="388" t="n"/>
    </row>
    <row r="39" ht="9" customHeight="1" s="337">
      <c r="B39" s="389" t="n"/>
      <c r="C39" s="390" t="n"/>
      <c r="D39" s="391" t="n"/>
      <c r="E39" s="392" t="n"/>
      <c r="F39" s="390" t="n"/>
      <c r="G39" s="391" t="n"/>
      <c r="H39" s="392" t="n"/>
      <c r="I39" s="390" t="n"/>
      <c r="J39" s="391" t="n"/>
      <c r="K39" s="392" t="n"/>
      <c r="L39" s="390" t="n"/>
      <c r="M39" s="391" t="n"/>
      <c r="N39" s="392" t="n"/>
      <c r="O39" s="390" t="n"/>
      <c r="P39" s="391" t="n"/>
      <c r="Q39" s="393" t="n"/>
      <c r="R39" s="390" t="n"/>
      <c r="S39" s="391" t="n"/>
      <c r="T39" s="393" t="n"/>
      <c r="U39" s="390" t="n"/>
      <c r="V39" s="391" t="n"/>
      <c r="W39" s="393" t="n"/>
      <c r="X39" s="390" t="n"/>
      <c r="Y39" s="390" t="n"/>
      <c r="Z39" s="390" t="n"/>
      <c r="AA39" s="390" t="n"/>
      <c r="AB39" s="390" t="n"/>
      <c r="AC39" s="390" t="n"/>
      <c r="AD39" s="390" t="n"/>
      <c r="AE39" s="390" t="n"/>
      <c r="AF39" s="390" t="n"/>
      <c r="AG39" s="390" t="n"/>
      <c r="AH39" s="390" t="n"/>
      <c r="AI39" s="390" t="n"/>
      <c r="AJ39" s="390" t="n"/>
      <c r="AK39" s="390" t="n"/>
      <c r="AL39" s="390" t="n"/>
      <c r="AM39" s="390" t="n"/>
      <c r="AN39" s="390" t="n"/>
      <c r="AO39" s="390" t="n"/>
      <c r="AP39" s="390" t="n"/>
      <c r="AQ39" s="390" t="n"/>
      <c r="AR39" s="390" t="n"/>
      <c r="AS39" s="390" t="n"/>
      <c r="AT39" s="390" t="n"/>
      <c r="AU39" s="390" t="n"/>
      <c r="AV39" s="390" t="n"/>
      <c r="AW39" s="390" t="n"/>
      <c r="AX39" s="390" t="n"/>
      <c r="AY39" s="390" t="n"/>
      <c r="AZ39" s="390" t="n"/>
      <c r="BA39" s="390" t="n"/>
      <c r="BB39" s="390" t="n"/>
      <c r="BC39" s="390" t="n"/>
      <c r="BD39" s="390" t="n"/>
      <c r="BE39" s="390" t="n"/>
      <c r="BF39" s="390" t="n"/>
      <c r="BG39" s="390" t="n"/>
      <c r="BH39" s="390" t="n"/>
      <c r="BI39" s="390" t="n"/>
      <c r="BJ39" s="390" t="n"/>
      <c r="BK39" s="390" t="n"/>
      <c r="BL39" s="390" t="n"/>
      <c r="BM39" s="390" t="n"/>
      <c r="BN39" s="390" t="n"/>
      <c r="BO39" s="390" t="n"/>
      <c r="BP39" s="390" t="n"/>
      <c r="BQ39" s="390" t="n"/>
      <c r="BR39" s="390" t="n"/>
      <c r="BS39" s="390" t="n"/>
      <c r="BT39" s="390" t="n"/>
      <c r="BU39" s="390" t="n"/>
      <c r="BV39" s="390" t="n"/>
      <c r="BW39" s="390" t="n"/>
      <c r="BX39" s="390" t="n"/>
      <c r="BY39" s="390" t="n"/>
      <c r="BZ39" s="390" t="n"/>
      <c r="CA39" s="390" t="n"/>
      <c r="CB39" s="390" t="n"/>
      <c r="CC39" s="394" t="n"/>
      <c r="CF39" s="254" t="inlineStr">
        <is>
          <t>休日</t>
        </is>
      </c>
      <c r="CG39" s="395" t="n"/>
      <c r="CH39" s="395" t="n"/>
      <c r="CI39" s="396" t="n"/>
      <c r="CJ39" s="397">
        <f>IF(Q36="作業者1",N39-N36,0)</f>
        <v/>
      </c>
      <c r="CK39" s="395" t="n"/>
      <c r="CL39" s="395" t="n"/>
      <c r="CM39" s="395" t="n"/>
      <c r="CN39" s="396" t="n"/>
      <c r="CP39" s="254" t="inlineStr">
        <is>
          <t>休日</t>
        </is>
      </c>
      <c r="CQ39" s="395" t="n"/>
      <c r="CR39" s="395" t="n"/>
      <c r="CS39" s="396" t="n"/>
      <c r="CT39" s="397">
        <f>IF(Q36="作業者2",N39-N36,0)</f>
        <v/>
      </c>
      <c r="CU39" s="395" t="n"/>
      <c r="CV39" s="395" t="n"/>
      <c r="CW39" s="395" t="n"/>
      <c r="CX39" s="396" t="n"/>
      <c r="CZ39" s="254" t="inlineStr">
        <is>
          <t>休日</t>
        </is>
      </c>
      <c r="DA39" s="395" t="n"/>
      <c r="DB39" s="395" t="n"/>
      <c r="DC39" s="396" t="n"/>
      <c r="DD39" s="397">
        <f>IF(Q36="作業者3",N39-N36,0)</f>
        <v/>
      </c>
      <c r="DE39" s="395" t="n"/>
      <c r="DF39" s="395" t="n"/>
      <c r="DG39" s="395" t="n"/>
      <c r="DH39" s="396" t="n"/>
      <c r="DJ39" s="254" t="inlineStr">
        <is>
          <t>休日</t>
        </is>
      </c>
      <c r="DK39" s="395" t="n"/>
      <c r="DL39" s="395" t="n"/>
      <c r="DM39" s="396" t="n"/>
      <c r="DN39" s="397">
        <f>IF(Q36="作業者4",N39-N36,0)</f>
        <v/>
      </c>
      <c r="DO39" s="395" t="n"/>
      <c r="DP39" s="395" t="n"/>
      <c r="DQ39" s="395" t="n"/>
      <c r="DR39" s="396" t="n"/>
      <c r="DT39" s="254" t="inlineStr">
        <is>
          <t>休日</t>
        </is>
      </c>
      <c r="DU39" s="395" t="n"/>
      <c r="DV39" s="395" t="n"/>
      <c r="DW39" s="396" t="n"/>
      <c r="DX39" s="397">
        <f>IF(Q36="作業者5",N39-N36,0)</f>
        <v/>
      </c>
      <c r="DY39" s="395" t="n"/>
      <c r="DZ39" s="395" t="n"/>
      <c r="EA39" s="395" t="n"/>
      <c r="EB39" s="396" t="n"/>
    </row>
    <row r="40" ht="9" customHeight="1" s="337">
      <c r="B40" s="398" t="n"/>
      <c r="C40" s="372" t="n"/>
      <c r="D40" s="373" t="n"/>
      <c r="E40" s="399" t="n"/>
      <c r="F40" s="372" t="n"/>
      <c r="G40" s="373" t="n"/>
      <c r="H40" s="399" t="n"/>
      <c r="I40" s="372" t="n"/>
      <c r="J40" s="373" t="n"/>
      <c r="K40" s="399" t="n"/>
      <c r="L40" s="372" t="n"/>
      <c r="M40" s="373" t="n"/>
      <c r="N40" s="399" t="n"/>
      <c r="O40" s="372" t="n"/>
      <c r="P40" s="373" t="n"/>
      <c r="Q40" s="371" t="n"/>
      <c r="R40" s="372" t="n"/>
      <c r="S40" s="373" t="n"/>
      <c r="T40" s="371" t="n"/>
      <c r="U40" s="372" t="n"/>
      <c r="V40" s="373" t="n"/>
      <c r="W40" s="443" t="n"/>
      <c r="X40" s="372" t="n"/>
      <c r="Y40" s="372" t="n"/>
      <c r="Z40" s="372" t="n"/>
      <c r="AA40" s="372" t="n"/>
      <c r="AB40" s="372" t="n"/>
      <c r="AC40" s="372" t="n"/>
      <c r="AD40" s="372" t="n"/>
      <c r="AE40" s="372" t="n"/>
      <c r="AF40" s="372" t="n"/>
      <c r="AG40" s="372" t="n"/>
      <c r="AH40" s="372" t="n"/>
      <c r="AI40" s="372" t="n"/>
      <c r="AJ40" s="372" t="n"/>
      <c r="AK40" s="372" t="n"/>
      <c r="AL40" s="372" t="n"/>
      <c r="AM40" s="372" t="n"/>
      <c r="AN40" s="372" t="n"/>
      <c r="AO40" s="372" t="n"/>
      <c r="AP40" s="372" t="n"/>
      <c r="AQ40" s="372" t="n"/>
      <c r="AR40" s="372" t="n"/>
      <c r="AS40" s="372" t="n"/>
      <c r="AT40" s="372" t="n"/>
      <c r="AU40" s="372" t="n"/>
      <c r="AV40" s="372" t="n"/>
      <c r="AW40" s="372" t="n"/>
      <c r="AX40" s="372" t="n"/>
      <c r="AY40" s="372" t="n"/>
      <c r="AZ40" s="372" t="n"/>
      <c r="BA40" s="372" t="n"/>
      <c r="BB40" s="372" t="n"/>
      <c r="BC40" s="372" t="n"/>
      <c r="BD40" s="372" t="n"/>
      <c r="BE40" s="372" t="n"/>
      <c r="BF40" s="372" t="n"/>
      <c r="BG40" s="372" t="n"/>
      <c r="BH40" s="372" t="n"/>
      <c r="BI40" s="372" t="n"/>
      <c r="BJ40" s="372" t="n"/>
      <c r="BK40" s="372" t="n"/>
      <c r="BL40" s="372" t="n"/>
      <c r="BM40" s="372" t="n"/>
      <c r="BN40" s="372" t="n"/>
      <c r="BO40" s="372" t="n"/>
      <c r="BP40" s="372" t="n"/>
      <c r="BQ40" s="372" t="n"/>
      <c r="BR40" s="372" t="n"/>
      <c r="BS40" s="372" t="n"/>
      <c r="BT40" s="372" t="n"/>
      <c r="BU40" s="372" t="n"/>
      <c r="BV40" s="372" t="n"/>
      <c r="BW40" s="372" t="n"/>
      <c r="BX40" s="372" t="n"/>
      <c r="BY40" s="372" t="n"/>
      <c r="BZ40" s="372" t="n"/>
      <c r="CA40" s="372" t="n"/>
      <c r="CB40" s="372" t="n"/>
      <c r="CC40" s="402" t="n"/>
      <c r="CF40" s="248" t="inlineStr">
        <is>
          <t>移動</t>
        </is>
      </c>
      <c r="CG40" s="377" t="n"/>
      <c r="CH40" s="377" t="n"/>
      <c r="CI40" s="378" t="n"/>
      <c r="CJ40" s="379">
        <f>IF(Q40="作業者1",E43-E40,0)</f>
        <v/>
      </c>
      <c r="CK40" s="377" t="n"/>
      <c r="CL40" s="377" t="n"/>
      <c r="CM40" s="377" t="n"/>
      <c r="CN40" s="378" t="n"/>
      <c r="CP40" s="248" t="inlineStr">
        <is>
          <t>移動</t>
        </is>
      </c>
      <c r="CQ40" s="377" t="n"/>
      <c r="CR40" s="377" t="n"/>
      <c r="CS40" s="378" t="n"/>
      <c r="CT40" s="379">
        <f>IF(Q40="作業者2",E43-E40,0)</f>
        <v/>
      </c>
      <c r="CU40" s="377" t="n"/>
      <c r="CV40" s="377" t="n"/>
      <c r="CW40" s="377" t="n"/>
      <c r="CX40" s="378" t="n"/>
      <c r="CZ40" s="259" t="inlineStr">
        <is>
          <t>移動</t>
        </is>
      </c>
      <c r="DA40" s="403" t="n"/>
      <c r="DB40" s="403" t="n"/>
      <c r="DC40" s="404" t="n"/>
      <c r="DD40" s="405">
        <f>IF(Q40="作業者3",E43-E40,0)</f>
        <v/>
      </c>
      <c r="DE40" s="406" t="n"/>
      <c r="DF40" s="406" t="n"/>
      <c r="DG40" s="406" t="n"/>
      <c r="DH40" s="407" t="n"/>
      <c r="DJ40" s="259" t="inlineStr">
        <is>
          <t>移動</t>
        </is>
      </c>
      <c r="DK40" s="403" t="n"/>
      <c r="DL40" s="403" t="n"/>
      <c r="DM40" s="404" t="n"/>
      <c r="DN40" s="379">
        <f>IF(Q40="作業者4",E43-E40,0)</f>
        <v/>
      </c>
      <c r="DO40" s="377" t="n"/>
      <c r="DP40" s="377" t="n"/>
      <c r="DQ40" s="377" t="n"/>
      <c r="DR40" s="378" t="n"/>
      <c r="DT40" s="259" t="inlineStr">
        <is>
          <t>移動</t>
        </is>
      </c>
      <c r="DU40" s="403" t="n"/>
      <c r="DV40" s="403" t="n"/>
      <c r="DW40" s="404" t="n"/>
      <c r="DX40" s="379">
        <f>IF(Q40="作業者5",E43-E40,0)</f>
        <v/>
      </c>
      <c r="DY40" s="377" t="n"/>
      <c r="DZ40" s="377" t="n"/>
      <c r="EA40" s="377" t="n"/>
      <c r="EB40" s="378" t="n"/>
    </row>
    <row r="41" ht="9" customHeight="1" s="337">
      <c r="B41" s="350" t="n"/>
      <c r="C41" s="338" t="n"/>
      <c r="D41" s="380" t="n"/>
      <c r="E41" s="381" t="n"/>
      <c r="F41" s="122" t="inlineStr">
        <is>
          <t>～</t>
        </is>
      </c>
      <c r="G41" s="22" t="n"/>
      <c r="H41" s="381" t="n"/>
      <c r="I41" s="122" t="inlineStr">
        <is>
          <t>～</t>
        </is>
      </c>
      <c r="J41" s="22" t="n"/>
      <c r="K41" s="381" t="n"/>
      <c r="L41" s="122" t="inlineStr">
        <is>
          <t>～</t>
        </is>
      </c>
      <c r="M41" s="22" t="n"/>
      <c r="N41" s="381" t="n"/>
      <c r="O41" s="122" t="inlineStr">
        <is>
          <t>～</t>
        </is>
      </c>
      <c r="P41" s="22" t="n"/>
      <c r="Q41" s="382" t="n"/>
      <c r="R41" s="338" t="n"/>
      <c r="S41" s="380" t="n"/>
      <c r="T41" s="382" t="n"/>
      <c r="U41" s="338" t="n"/>
      <c r="V41" s="380" t="n"/>
      <c r="W41" s="382" t="n"/>
      <c r="X41" s="338" t="n"/>
      <c r="Y41" s="338" t="n"/>
      <c r="Z41" s="338" t="n"/>
      <c r="AA41" s="338" t="n"/>
      <c r="AB41" s="338" t="n"/>
      <c r="AC41" s="338" t="n"/>
      <c r="AD41" s="338" t="n"/>
      <c r="AE41" s="338" t="n"/>
      <c r="AF41" s="338" t="n"/>
      <c r="AG41" s="338" t="n"/>
      <c r="AH41" s="338" t="n"/>
      <c r="AI41" s="338" t="n"/>
      <c r="AJ41" s="338" t="n"/>
      <c r="AK41" s="338" t="n"/>
      <c r="AL41" s="338" t="n"/>
      <c r="AM41" s="338" t="n"/>
      <c r="AN41" s="338" t="n"/>
      <c r="AO41" s="338" t="n"/>
      <c r="AP41" s="338" t="n"/>
      <c r="AQ41" s="338" t="n"/>
      <c r="AR41" s="338" t="n"/>
      <c r="AS41" s="338" t="n"/>
      <c r="AT41" s="338" t="n"/>
      <c r="AU41" s="338" t="n"/>
      <c r="AV41" s="338" t="n"/>
      <c r="AW41" s="338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8" t="n"/>
      <c r="BH41" s="338" t="n"/>
      <c r="BI41" s="338" t="n"/>
      <c r="BJ41" s="338" t="n"/>
      <c r="BK41" s="338" t="n"/>
      <c r="BL41" s="338" t="n"/>
      <c r="BM41" s="338" t="n"/>
      <c r="BN41" s="338" t="n"/>
      <c r="BO41" s="338" t="n"/>
      <c r="BP41" s="338" t="n"/>
      <c r="BQ41" s="338" t="n"/>
      <c r="BR41" s="338" t="n"/>
      <c r="BS41" s="338" t="n"/>
      <c r="BT41" s="338" t="n"/>
      <c r="BU41" s="338" t="n"/>
      <c r="BV41" s="338" t="n"/>
      <c r="BW41" s="338" t="n"/>
      <c r="BX41" s="338" t="n"/>
      <c r="BY41" s="338" t="n"/>
      <c r="BZ41" s="338" t="n"/>
      <c r="CA41" s="338" t="n"/>
      <c r="CB41" s="338" t="n"/>
      <c r="CC41" s="383" t="n"/>
      <c r="CF41" s="253" t="inlineStr">
        <is>
          <t>時間内</t>
        </is>
      </c>
      <c r="CG41" s="384" t="n"/>
      <c r="CH41" s="384" t="n"/>
      <c r="CI41" s="385" t="n"/>
      <c r="CJ41" s="386">
        <f>IF(Q40="作業者1",H43-H40,0)</f>
        <v/>
      </c>
      <c r="CK41" s="387" t="n"/>
      <c r="CL41" s="387" t="n"/>
      <c r="CM41" s="387" t="n"/>
      <c r="CN41" s="388" t="n"/>
      <c r="CP41" s="253" t="inlineStr">
        <is>
          <t>時間内</t>
        </is>
      </c>
      <c r="CQ41" s="384" t="n"/>
      <c r="CR41" s="384" t="n"/>
      <c r="CS41" s="385" t="n"/>
      <c r="CT41" s="386">
        <f>IF(Q40="作業者2",H43-H40,0)</f>
        <v/>
      </c>
      <c r="CU41" s="387" t="n"/>
      <c r="CV41" s="387" t="n"/>
      <c r="CW41" s="387" t="n"/>
      <c r="CX41" s="388" t="n"/>
      <c r="CZ41" s="253" t="inlineStr">
        <is>
          <t>時間内</t>
        </is>
      </c>
      <c r="DA41" s="384" t="n"/>
      <c r="DB41" s="384" t="n"/>
      <c r="DC41" s="385" t="n"/>
      <c r="DD41" s="386">
        <f>IF(Q40="作業者3",H43-H40,0)</f>
        <v/>
      </c>
      <c r="DE41" s="387" t="n"/>
      <c r="DF41" s="387" t="n"/>
      <c r="DG41" s="387" t="n"/>
      <c r="DH41" s="388" t="n"/>
      <c r="DJ41" s="253" t="inlineStr">
        <is>
          <t>時間内</t>
        </is>
      </c>
      <c r="DK41" s="384" t="n"/>
      <c r="DL41" s="384" t="n"/>
      <c r="DM41" s="385" t="n"/>
      <c r="DN41" s="386">
        <f>IF(Q40="作業者4",H43-H40,0)</f>
        <v/>
      </c>
      <c r="DO41" s="387" t="n"/>
      <c r="DP41" s="387" t="n"/>
      <c r="DQ41" s="387" t="n"/>
      <c r="DR41" s="388" t="n"/>
      <c r="DT41" s="253" t="inlineStr">
        <is>
          <t>時間内</t>
        </is>
      </c>
      <c r="DU41" s="384" t="n"/>
      <c r="DV41" s="384" t="n"/>
      <c r="DW41" s="385" t="n"/>
      <c r="DX41" s="386">
        <f>IF(Q40="作業者5",H43-H40,0)</f>
        <v/>
      </c>
      <c r="DY41" s="387" t="n"/>
      <c r="DZ41" s="387" t="n"/>
      <c r="EA41" s="387" t="n"/>
      <c r="EB41" s="388" t="n"/>
    </row>
    <row r="42" ht="9" customHeight="1" s="337">
      <c r="B42" s="350" t="n"/>
      <c r="C42" s="338" t="n"/>
      <c r="D42" s="380" t="n"/>
      <c r="E42" s="23" t="n"/>
      <c r="F42" s="338" t="n"/>
      <c r="G42" s="24" t="n"/>
      <c r="H42" s="23" t="n"/>
      <c r="I42" s="338" t="n"/>
      <c r="J42" s="24" t="n"/>
      <c r="K42" s="23" t="n"/>
      <c r="L42" s="338" t="n"/>
      <c r="M42" s="24" t="n"/>
      <c r="N42" s="23" t="n"/>
      <c r="O42" s="338" t="n"/>
      <c r="P42" s="24" t="n"/>
      <c r="Q42" s="382" t="n"/>
      <c r="R42" s="338" t="n"/>
      <c r="S42" s="380" t="n"/>
      <c r="T42" s="382" t="n"/>
      <c r="U42" s="338" t="n"/>
      <c r="V42" s="380" t="n"/>
      <c r="W42" s="382" t="n"/>
      <c r="X42" s="338" t="n"/>
      <c r="Y42" s="338" t="n"/>
      <c r="Z42" s="338" t="n"/>
      <c r="AA42" s="338" t="n"/>
      <c r="AB42" s="338" t="n"/>
      <c r="AC42" s="338" t="n"/>
      <c r="AD42" s="338" t="n"/>
      <c r="AE42" s="338" t="n"/>
      <c r="AF42" s="338" t="n"/>
      <c r="AG42" s="338" t="n"/>
      <c r="AH42" s="338" t="n"/>
      <c r="AI42" s="338" t="n"/>
      <c r="AJ42" s="338" t="n"/>
      <c r="AK42" s="338" t="n"/>
      <c r="AL42" s="338" t="n"/>
      <c r="AM42" s="338" t="n"/>
      <c r="AN42" s="338" t="n"/>
      <c r="AO42" s="338" t="n"/>
      <c r="AP42" s="338" t="n"/>
      <c r="AQ42" s="338" t="n"/>
      <c r="AR42" s="338" t="n"/>
      <c r="AS42" s="338" t="n"/>
      <c r="AT42" s="338" t="n"/>
      <c r="AU42" s="338" t="n"/>
      <c r="AV42" s="338" t="n"/>
      <c r="AW42" s="338" t="n"/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8" t="n"/>
      <c r="BH42" s="338" t="n"/>
      <c r="BI42" s="338" t="n"/>
      <c r="BJ42" s="338" t="n"/>
      <c r="BK42" s="338" t="n"/>
      <c r="BL42" s="338" t="n"/>
      <c r="BM42" s="338" t="n"/>
      <c r="BN42" s="338" t="n"/>
      <c r="BO42" s="338" t="n"/>
      <c r="BP42" s="338" t="n"/>
      <c r="BQ42" s="338" t="n"/>
      <c r="BR42" s="338" t="n"/>
      <c r="BS42" s="338" t="n"/>
      <c r="BT42" s="338" t="n"/>
      <c r="BU42" s="338" t="n"/>
      <c r="BV42" s="338" t="n"/>
      <c r="BW42" s="338" t="n"/>
      <c r="BX42" s="338" t="n"/>
      <c r="BY42" s="338" t="n"/>
      <c r="BZ42" s="338" t="n"/>
      <c r="CA42" s="338" t="n"/>
      <c r="CB42" s="338" t="n"/>
      <c r="CC42" s="383" t="n"/>
      <c r="CF42" s="253" t="inlineStr">
        <is>
          <t>時間外</t>
        </is>
      </c>
      <c r="CG42" s="384" t="n"/>
      <c r="CH42" s="384" t="n"/>
      <c r="CI42" s="385" t="n"/>
      <c r="CJ42" s="386">
        <f>IF(Q40="作業者1",K43-K40,0)</f>
        <v/>
      </c>
      <c r="CK42" s="387" t="n"/>
      <c r="CL42" s="387" t="n"/>
      <c r="CM42" s="387" t="n"/>
      <c r="CN42" s="388" t="n"/>
      <c r="CP42" s="253" t="inlineStr">
        <is>
          <t>時間外</t>
        </is>
      </c>
      <c r="CQ42" s="384" t="n"/>
      <c r="CR42" s="384" t="n"/>
      <c r="CS42" s="385" t="n"/>
      <c r="CT42" s="386">
        <f>IF(Q40="作業者2",K43-K40,0)</f>
        <v/>
      </c>
      <c r="CU42" s="387" t="n"/>
      <c r="CV42" s="387" t="n"/>
      <c r="CW42" s="387" t="n"/>
      <c r="CX42" s="388" t="n"/>
      <c r="CZ42" s="253" t="inlineStr">
        <is>
          <t>時間外</t>
        </is>
      </c>
      <c r="DA42" s="384" t="n"/>
      <c r="DB42" s="384" t="n"/>
      <c r="DC42" s="385" t="n"/>
      <c r="DD42" s="386">
        <f>IF(Q40="作業者3",K43-K40,0)</f>
        <v/>
      </c>
      <c r="DE42" s="387" t="n"/>
      <c r="DF42" s="387" t="n"/>
      <c r="DG42" s="387" t="n"/>
      <c r="DH42" s="388" t="n"/>
      <c r="DJ42" s="253" t="inlineStr">
        <is>
          <t>時間外</t>
        </is>
      </c>
      <c r="DK42" s="384" t="n"/>
      <c r="DL42" s="384" t="n"/>
      <c r="DM42" s="385" t="n"/>
      <c r="DN42" s="386">
        <f>IF(Q40="作業者4",K43-K40,0)</f>
        <v/>
      </c>
      <c r="DO42" s="387" t="n"/>
      <c r="DP42" s="387" t="n"/>
      <c r="DQ42" s="387" t="n"/>
      <c r="DR42" s="388" t="n"/>
      <c r="DT42" s="253" t="inlineStr">
        <is>
          <t>時間外</t>
        </is>
      </c>
      <c r="DU42" s="384" t="n"/>
      <c r="DV42" s="384" t="n"/>
      <c r="DW42" s="385" t="n"/>
      <c r="DX42" s="386">
        <f>IF(Q40="作業者5",K43-K40,0)</f>
        <v/>
      </c>
      <c r="DY42" s="387" t="n"/>
      <c r="DZ42" s="387" t="n"/>
      <c r="EA42" s="387" t="n"/>
      <c r="EB42" s="388" t="n"/>
    </row>
    <row r="43" ht="9" customHeight="1" s="337">
      <c r="B43" s="389" t="n"/>
      <c r="C43" s="390" t="n"/>
      <c r="D43" s="391" t="n"/>
      <c r="E43" s="392" t="n"/>
      <c r="F43" s="390" t="n"/>
      <c r="G43" s="391" t="n"/>
      <c r="H43" s="392" t="n"/>
      <c r="I43" s="390" t="n"/>
      <c r="J43" s="391" t="n"/>
      <c r="K43" s="392" t="n"/>
      <c r="L43" s="390" t="n"/>
      <c r="M43" s="391" t="n"/>
      <c r="N43" s="392" t="n"/>
      <c r="O43" s="390" t="n"/>
      <c r="P43" s="391" t="n"/>
      <c r="Q43" s="393" t="n"/>
      <c r="R43" s="390" t="n"/>
      <c r="S43" s="391" t="n"/>
      <c r="T43" s="393" t="n"/>
      <c r="U43" s="390" t="n"/>
      <c r="V43" s="391" t="n"/>
      <c r="W43" s="393" t="n"/>
      <c r="X43" s="390" t="n"/>
      <c r="Y43" s="390" t="n"/>
      <c r="Z43" s="390" t="n"/>
      <c r="AA43" s="390" t="n"/>
      <c r="AB43" s="390" t="n"/>
      <c r="AC43" s="390" t="n"/>
      <c r="AD43" s="390" t="n"/>
      <c r="AE43" s="390" t="n"/>
      <c r="AF43" s="390" t="n"/>
      <c r="AG43" s="390" t="n"/>
      <c r="AH43" s="390" t="n"/>
      <c r="AI43" s="390" t="n"/>
      <c r="AJ43" s="390" t="n"/>
      <c r="AK43" s="390" t="n"/>
      <c r="AL43" s="390" t="n"/>
      <c r="AM43" s="390" t="n"/>
      <c r="AN43" s="390" t="n"/>
      <c r="AO43" s="390" t="n"/>
      <c r="AP43" s="390" t="n"/>
      <c r="AQ43" s="390" t="n"/>
      <c r="AR43" s="390" t="n"/>
      <c r="AS43" s="390" t="n"/>
      <c r="AT43" s="390" t="n"/>
      <c r="AU43" s="390" t="n"/>
      <c r="AV43" s="390" t="n"/>
      <c r="AW43" s="390" t="n"/>
      <c r="AX43" s="390" t="n"/>
      <c r="AY43" s="390" t="n"/>
      <c r="AZ43" s="390" t="n"/>
      <c r="BA43" s="390" t="n"/>
      <c r="BB43" s="390" t="n"/>
      <c r="BC43" s="390" t="n"/>
      <c r="BD43" s="390" t="n"/>
      <c r="BE43" s="390" t="n"/>
      <c r="BF43" s="390" t="n"/>
      <c r="BG43" s="390" t="n"/>
      <c r="BH43" s="390" t="n"/>
      <c r="BI43" s="390" t="n"/>
      <c r="BJ43" s="390" t="n"/>
      <c r="BK43" s="390" t="n"/>
      <c r="BL43" s="390" t="n"/>
      <c r="BM43" s="390" t="n"/>
      <c r="BN43" s="390" t="n"/>
      <c r="BO43" s="390" t="n"/>
      <c r="BP43" s="390" t="n"/>
      <c r="BQ43" s="390" t="n"/>
      <c r="BR43" s="390" t="n"/>
      <c r="BS43" s="390" t="n"/>
      <c r="BT43" s="390" t="n"/>
      <c r="BU43" s="390" t="n"/>
      <c r="BV43" s="390" t="n"/>
      <c r="BW43" s="390" t="n"/>
      <c r="BX43" s="390" t="n"/>
      <c r="BY43" s="390" t="n"/>
      <c r="BZ43" s="390" t="n"/>
      <c r="CA43" s="390" t="n"/>
      <c r="CB43" s="390" t="n"/>
      <c r="CC43" s="394" t="n"/>
      <c r="CF43" s="254" t="inlineStr">
        <is>
          <t>休日</t>
        </is>
      </c>
      <c r="CG43" s="395" t="n"/>
      <c r="CH43" s="395" t="n"/>
      <c r="CI43" s="396" t="n"/>
      <c r="CJ43" s="397">
        <f>IF(Q40="作業者1",N43-N40,0)</f>
        <v/>
      </c>
      <c r="CK43" s="395" t="n"/>
      <c r="CL43" s="395" t="n"/>
      <c r="CM43" s="395" t="n"/>
      <c r="CN43" s="396" t="n"/>
      <c r="CP43" s="254" t="inlineStr">
        <is>
          <t>休日</t>
        </is>
      </c>
      <c r="CQ43" s="395" t="n"/>
      <c r="CR43" s="395" t="n"/>
      <c r="CS43" s="396" t="n"/>
      <c r="CT43" s="397">
        <f>IF(Q40="作業者2",N43-N40,0)</f>
        <v/>
      </c>
      <c r="CU43" s="395" t="n"/>
      <c r="CV43" s="395" t="n"/>
      <c r="CW43" s="395" t="n"/>
      <c r="CX43" s="396" t="n"/>
      <c r="CZ43" s="254" t="inlineStr">
        <is>
          <t>休日</t>
        </is>
      </c>
      <c r="DA43" s="395" t="n"/>
      <c r="DB43" s="395" t="n"/>
      <c r="DC43" s="396" t="n"/>
      <c r="DD43" s="397">
        <f>IF(Q40="作業者3",N43-N40,0)</f>
        <v/>
      </c>
      <c r="DE43" s="395" t="n"/>
      <c r="DF43" s="395" t="n"/>
      <c r="DG43" s="395" t="n"/>
      <c r="DH43" s="396" t="n"/>
      <c r="DJ43" s="254" t="inlineStr">
        <is>
          <t>休日</t>
        </is>
      </c>
      <c r="DK43" s="395" t="n"/>
      <c r="DL43" s="395" t="n"/>
      <c r="DM43" s="396" t="n"/>
      <c r="DN43" s="397">
        <f>IF(Q40="作業者4",N43-N40,0)</f>
        <v/>
      </c>
      <c r="DO43" s="395" t="n"/>
      <c r="DP43" s="395" t="n"/>
      <c r="DQ43" s="395" t="n"/>
      <c r="DR43" s="396" t="n"/>
      <c r="DT43" s="254" t="inlineStr">
        <is>
          <t>休日</t>
        </is>
      </c>
      <c r="DU43" s="395" t="n"/>
      <c r="DV43" s="395" t="n"/>
      <c r="DW43" s="396" t="n"/>
      <c r="DX43" s="397">
        <f>IF(Q40="作業者5",N43-N40,0)</f>
        <v/>
      </c>
      <c r="DY43" s="395" t="n"/>
      <c r="DZ43" s="395" t="n"/>
      <c r="EA43" s="395" t="n"/>
      <c r="EB43" s="396" t="n"/>
    </row>
    <row r="44" ht="9" customHeight="1" s="337">
      <c r="B44" s="398" t="n"/>
      <c r="C44" s="372" t="n"/>
      <c r="D44" s="373" t="n"/>
      <c r="E44" s="399" t="n"/>
      <c r="F44" s="372" t="n"/>
      <c r="G44" s="373" t="n"/>
      <c r="H44" s="399" t="n"/>
      <c r="I44" s="372" t="n"/>
      <c r="J44" s="373" t="n"/>
      <c r="K44" s="399" t="n"/>
      <c r="L44" s="372" t="n"/>
      <c r="M44" s="373" t="n"/>
      <c r="N44" s="399" t="n"/>
      <c r="O44" s="372" t="n"/>
      <c r="P44" s="373" t="n"/>
      <c r="Q44" s="371" t="n"/>
      <c r="R44" s="372" t="n"/>
      <c r="S44" s="373" t="n"/>
      <c r="T44" s="371" t="n"/>
      <c r="U44" s="372" t="n"/>
      <c r="V44" s="373" t="n"/>
      <c r="W44" s="443" t="n"/>
      <c r="X44" s="372" t="n"/>
      <c r="Y44" s="372" t="n"/>
      <c r="Z44" s="372" t="n"/>
      <c r="AA44" s="372" t="n"/>
      <c r="AB44" s="372" t="n"/>
      <c r="AC44" s="372" t="n"/>
      <c r="AD44" s="372" t="n"/>
      <c r="AE44" s="372" t="n"/>
      <c r="AF44" s="372" t="n"/>
      <c r="AG44" s="372" t="n"/>
      <c r="AH44" s="372" t="n"/>
      <c r="AI44" s="372" t="n"/>
      <c r="AJ44" s="372" t="n"/>
      <c r="AK44" s="372" t="n"/>
      <c r="AL44" s="372" t="n"/>
      <c r="AM44" s="372" t="n"/>
      <c r="AN44" s="372" t="n"/>
      <c r="AO44" s="372" t="n"/>
      <c r="AP44" s="372" t="n"/>
      <c r="AQ44" s="372" t="n"/>
      <c r="AR44" s="372" t="n"/>
      <c r="AS44" s="372" t="n"/>
      <c r="AT44" s="372" t="n"/>
      <c r="AU44" s="372" t="n"/>
      <c r="AV44" s="372" t="n"/>
      <c r="AW44" s="372" t="n"/>
      <c r="AX44" s="372" t="n"/>
      <c r="AY44" s="372" t="n"/>
      <c r="AZ44" s="372" t="n"/>
      <c r="BA44" s="372" t="n"/>
      <c r="BB44" s="372" t="n"/>
      <c r="BC44" s="372" t="n"/>
      <c r="BD44" s="372" t="n"/>
      <c r="BE44" s="372" t="n"/>
      <c r="BF44" s="372" t="n"/>
      <c r="BG44" s="372" t="n"/>
      <c r="BH44" s="372" t="n"/>
      <c r="BI44" s="372" t="n"/>
      <c r="BJ44" s="372" t="n"/>
      <c r="BK44" s="372" t="n"/>
      <c r="BL44" s="372" t="n"/>
      <c r="BM44" s="372" t="n"/>
      <c r="BN44" s="372" t="n"/>
      <c r="BO44" s="372" t="n"/>
      <c r="BP44" s="372" t="n"/>
      <c r="BQ44" s="372" t="n"/>
      <c r="BR44" s="372" t="n"/>
      <c r="BS44" s="372" t="n"/>
      <c r="BT44" s="372" t="n"/>
      <c r="BU44" s="372" t="n"/>
      <c r="BV44" s="372" t="n"/>
      <c r="BW44" s="372" t="n"/>
      <c r="BX44" s="372" t="n"/>
      <c r="BY44" s="372" t="n"/>
      <c r="BZ44" s="372" t="n"/>
      <c r="CA44" s="372" t="n"/>
      <c r="CB44" s="372" t="n"/>
      <c r="CC44" s="402" t="n"/>
      <c r="CF44" s="248" t="inlineStr">
        <is>
          <t>移動</t>
        </is>
      </c>
      <c r="CG44" s="377" t="n"/>
      <c r="CH44" s="377" t="n"/>
      <c r="CI44" s="378" t="n"/>
      <c r="CJ44" s="379">
        <f>IF(Q44="作業者1",E47-E44,0)</f>
        <v/>
      </c>
      <c r="CK44" s="377" t="n"/>
      <c r="CL44" s="377" t="n"/>
      <c r="CM44" s="377" t="n"/>
      <c r="CN44" s="378" t="n"/>
      <c r="CP44" s="248" t="inlineStr">
        <is>
          <t>移動</t>
        </is>
      </c>
      <c r="CQ44" s="377" t="n"/>
      <c r="CR44" s="377" t="n"/>
      <c r="CS44" s="378" t="n"/>
      <c r="CT44" s="379">
        <f>IF(Q44="作業者2",E47-E44,0)</f>
        <v/>
      </c>
      <c r="CU44" s="377" t="n"/>
      <c r="CV44" s="377" t="n"/>
      <c r="CW44" s="377" t="n"/>
      <c r="CX44" s="378" t="n"/>
      <c r="CZ44" s="259" t="inlineStr">
        <is>
          <t>移動</t>
        </is>
      </c>
      <c r="DA44" s="403" t="n"/>
      <c r="DB44" s="403" t="n"/>
      <c r="DC44" s="404" t="n"/>
      <c r="DD44" s="405">
        <f>IF(Q44="作業者3",E47-E44,0)</f>
        <v/>
      </c>
      <c r="DE44" s="406" t="n"/>
      <c r="DF44" s="406" t="n"/>
      <c r="DG44" s="406" t="n"/>
      <c r="DH44" s="407" t="n"/>
      <c r="DJ44" s="259" t="inlineStr">
        <is>
          <t>移動</t>
        </is>
      </c>
      <c r="DK44" s="403" t="n"/>
      <c r="DL44" s="403" t="n"/>
      <c r="DM44" s="404" t="n"/>
      <c r="DN44" s="379">
        <f>IF(Q44="作業者4",E47-E44,0)</f>
        <v/>
      </c>
      <c r="DO44" s="377" t="n"/>
      <c r="DP44" s="377" t="n"/>
      <c r="DQ44" s="377" t="n"/>
      <c r="DR44" s="378" t="n"/>
      <c r="DT44" s="259" t="inlineStr">
        <is>
          <t>移動</t>
        </is>
      </c>
      <c r="DU44" s="403" t="n"/>
      <c r="DV44" s="403" t="n"/>
      <c r="DW44" s="404" t="n"/>
      <c r="DX44" s="379">
        <f>IF(Q44="作業者5",E47-E44,0)</f>
        <v/>
      </c>
      <c r="DY44" s="377" t="n"/>
      <c r="DZ44" s="377" t="n"/>
      <c r="EA44" s="377" t="n"/>
      <c r="EB44" s="378" t="n"/>
    </row>
    <row r="45" ht="9" customHeight="1" s="337">
      <c r="B45" s="350" t="n"/>
      <c r="C45" s="338" t="n"/>
      <c r="D45" s="380" t="n"/>
      <c r="E45" s="381" t="n"/>
      <c r="F45" s="122" t="inlineStr">
        <is>
          <t>～</t>
        </is>
      </c>
      <c r="G45" s="22" t="n"/>
      <c r="H45" s="381" t="n"/>
      <c r="I45" s="122" t="inlineStr">
        <is>
          <t>～</t>
        </is>
      </c>
      <c r="J45" s="22" t="n"/>
      <c r="K45" s="381" t="n"/>
      <c r="L45" s="122" t="inlineStr">
        <is>
          <t>～</t>
        </is>
      </c>
      <c r="M45" s="22" t="n"/>
      <c r="N45" s="381" t="n"/>
      <c r="O45" s="122" t="inlineStr">
        <is>
          <t>～</t>
        </is>
      </c>
      <c r="P45" s="22" t="n"/>
      <c r="Q45" s="382" t="n"/>
      <c r="R45" s="338" t="n"/>
      <c r="S45" s="380" t="n"/>
      <c r="T45" s="382" t="n"/>
      <c r="U45" s="338" t="n"/>
      <c r="V45" s="380" t="n"/>
      <c r="W45" s="382" t="n"/>
      <c r="X45" s="338" t="n"/>
      <c r="Y45" s="338" t="n"/>
      <c r="Z45" s="338" t="n"/>
      <c r="AA45" s="338" t="n"/>
      <c r="AB45" s="338" t="n"/>
      <c r="AC45" s="338" t="n"/>
      <c r="AD45" s="338" t="n"/>
      <c r="AE45" s="338" t="n"/>
      <c r="AF45" s="338" t="n"/>
      <c r="AG45" s="338" t="n"/>
      <c r="AH45" s="338" t="n"/>
      <c r="AI45" s="338" t="n"/>
      <c r="AJ45" s="338" t="n"/>
      <c r="AK45" s="338" t="n"/>
      <c r="AL45" s="338" t="n"/>
      <c r="AM45" s="338" t="n"/>
      <c r="AN45" s="338" t="n"/>
      <c r="AO45" s="338" t="n"/>
      <c r="AP45" s="338" t="n"/>
      <c r="AQ45" s="338" t="n"/>
      <c r="AR45" s="338" t="n"/>
      <c r="AS45" s="338" t="n"/>
      <c r="AT45" s="338" t="n"/>
      <c r="AU45" s="338" t="n"/>
      <c r="AV45" s="338" t="n"/>
      <c r="AW45" s="338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8" t="n"/>
      <c r="BH45" s="338" t="n"/>
      <c r="BI45" s="338" t="n"/>
      <c r="BJ45" s="338" t="n"/>
      <c r="BK45" s="338" t="n"/>
      <c r="BL45" s="338" t="n"/>
      <c r="BM45" s="338" t="n"/>
      <c r="BN45" s="338" t="n"/>
      <c r="BO45" s="338" t="n"/>
      <c r="BP45" s="338" t="n"/>
      <c r="BQ45" s="338" t="n"/>
      <c r="BR45" s="338" t="n"/>
      <c r="BS45" s="338" t="n"/>
      <c r="BT45" s="338" t="n"/>
      <c r="BU45" s="338" t="n"/>
      <c r="BV45" s="338" t="n"/>
      <c r="BW45" s="338" t="n"/>
      <c r="BX45" s="338" t="n"/>
      <c r="BY45" s="338" t="n"/>
      <c r="BZ45" s="338" t="n"/>
      <c r="CA45" s="338" t="n"/>
      <c r="CB45" s="338" t="n"/>
      <c r="CC45" s="383" t="n"/>
      <c r="CF45" s="253" t="inlineStr">
        <is>
          <t>時間内</t>
        </is>
      </c>
      <c r="CG45" s="384" t="n"/>
      <c r="CH45" s="384" t="n"/>
      <c r="CI45" s="385" t="n"/>
      <c r="CJ45" s="386">
        <f>IF(Q44="作業者1",H47-H44,0)</f>
        <v/>
      </c>
      <c r="CK45" s="387" t="n"/>
      <c r="CL45" s="387" t="n"/>
      <c r="CM45" s="387" t="n"/>
      <c r="CN45" s="388" t="n"/>
      <c r="CP45" s="253" t="inlineStr">
        <is>
          <t>時間内</t>
        </is>
      </c>
      <c r="CQ45" s="384" t="n"/>
      <c r="CR45" s="384" t="n"/>
      <c r="CS45" s="385" t="n"/>
      <c r="CT45" s="386">
        <f>IF(Q44="作業者2",H47-H44,0)</f>
        <v/>
      </c>
      <c r="CU45" s="387" t="n"/>
      <c r="CV45" s="387" t="n"/>
      <c r="CW45" s="387" t="n"/>
      <c r="CX45" s="388" t="n"/>
      <c r="CZ45" s="253" t="inlineStr">
        <is>
          <t>時間内</t>
        </is>
      </c>
      <c r="DA45" s="384" t="n"/>
      <c r="DB45" s="384" t="n"/>
      <c r="DC45" s="385" t="n"/>
      <c r="DD45" s="386">
        <f>IF(Q44="作業者3",H47-H44,0)</f>
        <v/>
      </c>
      <c r="DE45" s="387" t="n"/>
      <c r="DF45" s="387" t="n"/>
      <c r="DG45" s="387" t="n"/>
      <c r="DH45" s="388" t="n"/>
      <c r="DJ45" s="253" t="inlineStr">
        <is>
          <t>時間内</t>
        </is>
      </c>
      <c r="DK45" s="384" t="n"/>
      <c r="DL45" s="384" t="n"/>
      <c r="DM45" s="385" t="n"/>
      <c r="DN45" s="386">
        <f>IF(Q44="作業者4",H47-H44,0)</f>
        <v/>
      </c>
      <c r="DO45" s="387" t="n"/>
      <c r="DP45" s="387" t="n"/>
      <c r="DQ45" s="387" t="n"/>
      <c r="DR45" s="388" t="n"/>
      <c r="DT45" s="253" t="inlineStr">
        <is>
          <t>時間内</t>
        </is>
      </c>
      <c r="DU45" s="384" t="n"/>
      <c r="DV45" s="384" t="n"/>
      <c r="DW45" s="385" t="n"/>
      <c r="DX45" s="386">
        <f>IF(Q44="作業者5",H47-H44,0)</f>
        <v/>
      </c>
      <c r="DY45" s="387" t="n"/>
      <c r="DZ45" s="387" t="n"/>
      <c r="EA45" s="387" t="n"/>
      <c r="EB45" s="388" t="n"/>
    </row>
    <row r="46" ht="9" customHeight="1" s="337">
      <c r="B46" s="350" t="n"/>
      <c r="C46" s="338" t="n"/>
      <c r="D46" s="380" t="n"/>
      <c r="E46" s="23" t="n"/>
      <c r="F46" s="338" t="n"/>
      <c r="G46" s="24" t="n"/>
      <c r="H46" s="23" t="n"/>
      <c r="I46" s="338" t="n"/>
      <c r="J46" s="24" t="n"/>
      <c r="K46" s="23" t="n"/>
      <c r="L46" s="338" t="n"/>
      <c r="M46" s="24" t="n"/>
      <c r="N46" s="23" t="n"/>
      <c r="O46" s="338" t="n"/>
      <c r="P46" s="24" t="n"/>
      <c r="Q46" s="382" t="n"/>
      <c r="R46" s="338" t="n"/>
      <c r="S46" s="380" t="n"/>
      <c r="T46" s="382" t="n"/>
      <c r="U46" s="338" t="n"/>
      <c r="V46" s="380" t="n"/>
      <c r="W46" s="382" t="n"/>
      <c r="X46" s="338" t="n"/>
      <c r="Y46" s="338" t="n"/>
      <c r="Z46" s="338" t="n"/>
      <c r="AA46" s="338" t="n"/>
      <c r="AB46" s="338" t="n"/>
      <c r="AC46" s="338" t="n"/>
      <c r="AD46" s="338" t="n"/>
      <c r="AE46" s="338" t="n"/>
      <c r="AF46" s="338" t="n"/>
      <c r="AG46" s="338" t="n"/>
      <c r="AH46" s="338" t="n"/>
      <c r="AI46" s="338" t="n"/>
      <c r="AJ46" s="338" t="n"/>
      <c r="AK46" s="338" t="n"/>
      <c r="AL46" s="338" t="n"/>
      <c r="AM46" s="338" t="n"/>
      <c r="AN46" s="338" t="n"/>
      <c r="AO46" s="338" t="n"/>
      <c r="AP46" s="338" t="n"/>
      <c r="AQ46" s="338" t="n"/>
      <c r="AR46" s="338" t="n"/>
      <c r="AS46" s="338" t="n"/>
      <c r="AT46" s="338" t="n"/>
      <c r="AU46" s="338" t="n"/>
      <c r="AV46" s="338" t="n"/>
      <c r="AW46" s="338" t="n"/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8" t="n"/>
      <c r="BH46" s="338" t="n"/>
      <c r="BI46" s="338" t="n"/>
      <c r="BJ46" s="338" t="n"/>
      <c r="BK46" s="338" t="n"/>
      <c r="BL46" s="338" t="n"/>
      <c r="BM46" s="338" t="n"/>
      <c r="BN46" s="338" t="n"/>
      <c r="BO46" s="338" t="n"/>
      <c r="BP46" s="338" t="n"/>
      <c r="BQ46" s="338" t="n"/>
      <c r="BR46" s="338" t="n"/>
      <c r="BS46" s="338" t="n"/>
      <c r="BT46" s="338" t="n"/>
      <c r="BU46" s="338" t="n"/>
      <c r="BV46" s="338" t="n"/>
      <c r="BW46" s="338" t="n"/>
      <c r="BX46" s="338" t="n"/>
      <c r="BY46" s="338" t="n"/>
      <c r="BZ46" s="338" t="n"/>
      <c r="CA46" s="338" t="n"/>
      <c r="CB46" s="338" t="n"/>
      <c r="CC46" s="383" t="n"/>
      <c r="CF46" s="253" t="inlineStr">
        <is>
          <t>時間外</t>
        </is>
      </c>
      <c r="CG46" s="384" t="n"/>
      <c r="CH46" s="384" t="n"/>
      <c r="CI46" s="385" t="n"/>
      <c r="CJ46" s="386">
        <f>IF(Q44="作業者1",K47-K44,0)</f>
        <v/>
      </c>
      <c r="CK46" s="387" t="n"/>
      <c r="CL46" s="387" t="n"/>
      <c r="CM46" s="387" t="n"/>
      <c r="CN46" s="388" t="n"/>
      <c r="CP46" s="253" t="inlineStr">
        <is>
          <t>時間外</t>
        </is>
      </c>
      <c r="CQ46" s="384" t="n"/>
      <c r="CR46" s="384" t="n"/>
      <c r="CS46" s="385" t="n"/>
      <c r="CT46" s="386">
        <f>IF(Q44="作業者2",K47-K44,0)</f>
        <v/>
      </c>
      <c r="CU46" s="387" t="n"/>
      <c r="CV46" s="387" t="n"/>
      <c r="CW46" s="387" t="n"/>
      <c r="CX46" s="388" t="n"/>
      <c r="CZ46" s="253" t="inlineStr">
        <is>
          <t>時間外</t>
        </is>
      </c>
      <c r="DA46" s="384" t="n"/>
      <c r="DB46" s="384" t="n"/>
      <c r="DC46" s="385" t="n"/>
      <c r="DD46" s="386">
        <f>IF(Q44="作業者3",K47-K44,0)</f>
        <v/>
      </c>
      <c r="DE46" s="387" t="n"/>
      <c r="DF46" s="387" t="n"/>
      <c r="DG46" s="387" t="n"/>
      <c r="DH46" s="388" t="n"/>
      <c r="DJ46" s="253" t="inlineStr">
        <is>
          <t>時間外</t>
        </is>
      </c>
      <c r="DK46" s="384" t="n"/>
      <c r="DL46" s="384" t="n"/>
      <c r="DM46" s="385" t="n"/>
      <c r="DN46" s="386">
        <f>IF(Q44="作業者4",K47-K44,0)</f>
        <v/>
      </c>
      <c r="DO46" s="387" t="n"/>
      <c r="DP46" s="387" t="n"/>
      <c r="DQ46" s="387" t="n"/>
      <c r="DR46" s="388" t="n"/>
      <c r="DT46" s="253" t="inlineStr">
        <is>
          <t>時間外</t>
        </is>
      </c>
      <c r="DU46" s="384" t="n"/>
      <c r="DV46" s="384" t="n"/>
      <c r="DW46" s="385" t="n"/>
      <c r="DX46" s="386">
        <f>IF(Q44="作業者5",K47-K44,0)</f>
        <v/>
      </c>
      <c r="DY46" s="387" t="n"/>
      <c r="DZ46" s="387" t="n"/>
      <c r="EA46" s="387" t="n"/>
      <c r="EB46" s="388" t="n"/>
    </row>
    <row r="47" ht="9" customHeight="1" s="337">
      <c r="B47" s="389" t="n"/>
      <c r="C47" s="390" t="n"/>
      <c r="D47" s="391" t="n"/>
      <c r="E47" s="392" t="n"/>
      <c r="F47" s="390" t="n"/>
      <c r="G47" s="391" t="n"/>
      <c r="H47" s="392" t="n"/>
      <c r="I47" s="390" t="n"/>
      <c r="J47" s="391" t="n"/>
      <c r="K47" s="392" t="n"/>
      <c r="L47" s="390" t="n"/>
      <c r="M47" s="391" t="n"/>
      <c r="N47" s="392" t="n"/>
      <c r="O47" s="390" t="n"/>
      <c r="P47" s="391" t="n"/>
      <c r="Q47" s="393" t="n"/>
      <c r="R47" s="390" t="n"/>
      <c r="S47" s="391" t="n"/>
      <c r="T47" s="393" t="n"/>
      <c r="U47" s="390" t="n"/>
      <c r="V47" s="391" t="n"/>
      <c r="W47" s="393" t="n"/>
      <c r="X47" s="390" t="n"/>
      <c r="Y47" s="390" t="n"/>
      <c r="Z47" s="390" t="n"/>
      <c r="AA47" s="390" t="n"/>
      <c r="AB47" s="390" t="n"/>
      <c r="AC47" s="390" t="n"/>
      <c r="AD47" s="390" t="n"/>
      <c r="AE47" s="390" t="n"/>
      <c r="AF47" s="390" t="n"/>
      <c r="AG47" s="390" t="n"/>
      <c r="AH47" s="390" t="n"/>
      <c r="AI47" s="390" t="n"/>
      <c r="AJ47" s="390" t="n"/>
      <c r="AK47" s="390" t="n"/>
      <c r="AL47" s="390" t="n"/>
      <c r="AM47" s="390" t="n"/>
      <c r="AN47" s="390" t="n"/>
      <c r="AO47" s="390" t="n"/>
      <c r="AP47" s="390" t="n"/>
      <c r="AQ47" s="390" t="n"/>
      <c r="AR47" s="390" t="n"/>
      <c r="AS47" s="390" t="n"/>
      <c r="AT47" s="390" t="n"/>
      <c r="AU47" s="390" t="n"/>
      <c r="AV47" s="390" t="n"/>
      <c r="AW47" s="390" t="n"/>
      <c r="AX47" s="390" t="n"/>
      <c r="AY47" s="390" t="n"/>
      <c r="AZ47" s="390" t="n"/>
      <c r="BA47" s="390" t="n"/>
      <c r="BB47" s="390" t="n"/>
      <c r="BC47" s="390" t="n"/>
      <c r="BD47" s="390" t="n"/>
      <c r="BE47" s="390" t="n"/>
      <c r="BF47" s="390" t="n"/>
      <c r="BG47" s="390" t="n"/>
      <c r="BH47" s="390" t="n"/>
      <c r="BI47" s="390" t="n"/>
      <c r="BJ47" s="390" t="n"/>
      <c r="BK47" s="390" t="n"/>
      <c r="BL47" s="390" t="n"/>
      <c r="BM47" s="390" t="n"/>
      <c r="BN47" s="390" t="n"/>
      <c r="BO47" s="390" t="n"/>
      <c r="BP47" s="390" t="n"/>
      <c r="BQ47" s="390" t="n"/>
      <c r="BR47" s="390" t="n"/>
      <c r="BS47" s="390" t="n"/>
      <c r="BT47" s="390" t="n"/>
      <c r="BU47" s="390" t="n"/>
      <c r="BV47" s="390" t="n"/>
      <c r="BW47" s="390" t="n"/>
      <c r="BX47" s="390" t="n"/>
      <c r="BY47" s="390" t="n"/>
      <c r="BZ47" s="390" t="n"/>
      <c r="CA47" s="390" t="n"/>
      <c r="CB47" s="390" t="n"/>
      <c r="CC47" s="394" t="n"/>
      <c r="CF47" s="254" t="inlineStr">
        <is>
          <t>休日</t>
        </is>
      </c>
      <c r="CG47" s="395" t="n"/>
      <c r="CH47" s="395" t="n"/>
      <c r="CI47" s="396" t="n"/>
      <c r="CJ47" s="397">
        <f>IF(Q44="作業者1",N47-N44,0)</f>
        <v/>
      </c>
      <c r="CK47" s="395" t="n"/>
      <c r="CL47" s="395" t="n"/>
      <c r="CM47" s="395" t="n"/>
      <c r="CN47" s="396" t="n"/>
      <c r="CP47" s="254" t="inlineStr">
        <is>
          <t>休日</t>
        </is>
      </c>
      <c r="CQ47" s="395" t="n"/>
      <c r="CR47" s="395" t="n"/>
      <c r="CS47" s="396" t="n"/>
      <c r="CT47" s="397">
        <f>IF(Q44="作業者2",N47-N44,0)</f>
        <v/>
      </c>
      <c r="CU47" s="395" t="n"/>
      <c r="CV47" s="395" t="n"/>
      <c r="CW47" s="395" t="n"/>
      <c r="CX47" s="396" t="n"/>
      <c r="CZ47" s="254" t="inlineStr">
        <is>
          <t>休日</t>
        </is>
      </c>
      <c r="DA47" s="395" t="n"/>
      <c r="DB47" s="395" t="n"/>
      <c r="DC47" s="396" t="n"/>
      <c r="DD47" s="397">
        <f>IF(Q44="作業者3",N47-N44,0)</f>
        <v/>
      </c>
      <c r="DE47" s="395" t="n"/>
      <c r="DF47" s="395" t="n"/>
      <c r="DG47" s="395" t="n"/>
      <c r="DH47" s="396" t="n"/>
      <c r="DJ47" s="254" t="inlineStr">
        <is>
          <t>休日</t>
        </is>
      </c>
      <c r="DK47" s="395" t="n"/>
      <c r="DL47" s="395" t="n"/>
      <c r="DM47" s="396" t="n"/>
      <c r="DN47" s="397">
        <f>IF(Q44="作業者4",N47-N44,0)</f>
        <v/>
      </c>
      <c r="DO47" s="395" t="n"/>
      <c r="DP47" s="395" t="n"/>
      <c r="DQ47" s="395" t="n"/>
      <c r="DR47" s="396" t="n"/>
      <c r="DT47" s="254" t="inlineStr">
        <is>
          <t>休日</t>
        </is>
      </c>
      <c r="DU47" s="395" t="n"/>
      <c r="DV47" s="395" t="n"/>
      <c r="DW47" s="396" t="n"/>
      <c r="DX47" s="397">
        <f>IF(Q44="作業者5",N47-N44,0)</f>
        <v/>
      </c>
      <c r="DY47" s="395" t="n"/>
      <c r="DZ47" s="395" t="n"/>
      <c r="EA47" s="395" t="n"/>
      <c r="EB47" s="396" t="n"/>
    </row>
    <row r="48" ht="9" customHeight="1" s="337">
      <c r="B48" s="398" t="n"/>
      <c r="C48" s="372" t="n"/>
      <c r="D48" s="373" t="n"/>
      <c r="E48" s="399" t="n"/>
      <c r="F48" s="372" t="n"/>
      <c r="G48" s="373" t="n"/>
      <c r="H48" s="399" t="n"/>
      <c r="I48" s="372" t="n"/>
      <c r="J48" s="373" t="n"/>
      <c r="K48" s="399" t="n"/>
      <c r="L48" s="372" t="n"/>
      <c r="M48" s="373" t="n"/>
      <c r="N48" s="399" t="n"/>
      <c r="O48" s="372" t="n"/>
      <c r="P48" s="373" t="n"/>
      <c r="Q48" s="371" t="n"/>
      <c r="R48" s="372" t="n"/>
      <c r="S48" s="373" t="n"/>
      <c r="T48" s="371" t="n"/>
      <c r="U48" s="372" t="n"/>
      <c r="V48" s="373" t="n"/>
      <c r="W48" s="443" t="n"/>
      <c r="X48" s="372" t="n"/>
      <c r="Y48" s="372" t="n"/>
      <c r="Z48" s="372" t="n"/>
      <c r="AA48" s="372" t="n"/>
      <c r="AB48" s="372" t="n"/>
      <c r="AC48" s="372" t="n"/>
      <c r="AD48" s="372" t="n"/>
      <c r="AE48" s="372" t="n"/>
      <c r="AF48" s="372" t="n"/>
      <c r="AG48" s="372" t="n"/>
      <c r="AH48" s="372" t="n"/>
      <c r="AI48" s="372" t="n"/>
      <c r="AJ48" s="372" t="n"/>
      <c r="AK48" s="372" t="n"/>
      <c r="AL48" s="372" t="n"/>
      <c r="AM48" s="372" t="n"/>
      <c r="AN48" s="372" t="n"/>
      <c r="AO48" s="372" t="n"/>
      <c r="AP48" s="372" t="n"/>
      <c r="AQ48" s="372" t="n"/>
      <c r="AR48" s="372" t="n"/>
      <c r="AS48" s="372" t="n"/>
      <c r="AT48" s="372" t="n"/>
      <c r="AU48" s="372" t="n"/>
      <c r="AV48" s="372" t="n"/>
      <c r="AW48" s="372" t="n"/>
      <c r="AX48" s="372" t="n"/>
      <c r="AY48" s="372" t="n"/>
      <c r="AZ48" s="372" t="n"/>
      <c r="BA48" s="372" t="n"/>
      <c r="BB48" s="372" t="n"/>
      <c r="BC48" s="372" t="n"/>
      <c r="BD48" s="372" t="n"/>
      <c r="BE48" s="372" t="n"/>
      <c r="BF48" s="372" t="n"/>
      <c r="BG48" s="372" t="n"/>
      <c r="BH48" s="372" t="n"/>
      <c r="BI48" s="372" t="n"/>
      <c r="BJ48" s="372" t="n"/>
      <c r="BK48" s="372" t="n"/>
      <c r="BL48" s="372" t="n"/>
      <c r="BM48" s="372" t="n"/>
      <c r="BN48" s="372" t="n"/>
      <c r="BO48" s="372" t="n"/>
      <c r="BP48" s="372" t="n"/>
      <c r="BQ48" s="372" t="n"/>
      <c r="BR48" s="372" t="n"/>
      <c r="BS48" s="372" t="n"/>
      <c r="BT48" s="372" t="n"/>
      <c r="BU48" s="372" t="n"/>
      <c r="BV48" s="372" t="n"/>
      <c r="BW48" s="372" t="n"/>
      <c r="BX48" s="372" t="n"/>
      <c r="BY48" s="372" t="n"/>
      <c r="BZ48" s="372" t="n"/>
      <c r="CA48" s="372" t="n"/>
      <c r="CB48" s="372" t="n"/>
      <c r="CC48" s="402" t="n"/>
      <c r="CF48" s="248" t="inlineStr">
        <is>
          <t>移動</t>
        </is>
      </c>
      <c r="CG48" s="377" t="n"/>
      <c r="CH48" s="377" t="n"/>
      <c r="CI48" s="378" t="n"/>
      <c r="CJ48" s="379">
        <f>IF(Q48="作業者1",E51-E48,0)</f>
        <v/>
      </c>
      <c r="CK48" s="377" t="n"/>
      <c r="CL48" s="377" t="n"/>
      <c r="CM48" s="377" t="n"/>
      <c r="CN48" s="378" t="n"/>
      <c r="CP48" s="248" t="inlineStr">
        <is>
          <t>移動</t>
        </is>
      </c>
      <c r="CQ48" s="377" t="n"/>
      <c r="CR48" s="377" t="n"/>
      <c r="CS48" s="378" t="n"/>
      <c r="CT48" s="379">
        <f>IF(Q48="作業者2",E51-E48,0)</f>
        <v/>
      </c>
      <c r="CU48" s="377" t="n"/>
      <c r="CV48" s="377" t="n"/>
      <c r="CW48" s="377" t="n"/>
      <c r="CX48" s="378" t="n"/>
      <c r="CZ48" s="259" t="inlineStr">
        <is>
          <t>移動</t>
        </is>
      </c>
      <c r="DA48" s="403" t="n"/>
      <c r="DB48" s="403" t="n"/>
      <c r="DC48" s="404" t="n"/>
      <c r="DD48" s="405">
        <f>IF(Q48="作業者3",E51-E48,0)</f>
        <v/>
      </c>
      <c r="DE48" s="406" t="n"/>
      <c r="DF48" s="406" t="n"/>
      <c r="DG48" s="406" t="n"/>
      <c r="DH48" s="407" t="n"/>
      <c r="DJ48" s="259" t="inlineStr">
        <is>
          <t>移動</t>
        </is>
      </c>
      <c r="DK48" s="403" t="n"/>
      <c r="DL48" s="403" t="n"/>
      <c r="DM48" s="404" t="n"/>
      <c r="DN48" s="379">
        <f>IF(Q48="作業者4",E51-E48,0)</f>
        <v/>
      </c>
      <c r="DO48" s="377" t="n"/>
      <c r="DP48" s="377" t="n"/>
      <c r="DQ48" s="377" t="n"/>
      <c r="DR48" s="378" t="n"/>
      <c r="DT48" s="259" t="inlineStr">
        <is>
          <t>移動</t>
        </is>
      </c>
      <c r="DU48" s="403" t="n"/>
      <c r="DV48" s="403" t="n"/>
      <c r="DW48" s="404" t="n"/>
      <c r="DX48" s="379">
        <f>IF(Q48="作業者5",E51-E48,0)</f>
        <v/>
      </c>
      <c r="DY48" s="377" t="n"/>
      <c r="DZ48" s="377" t="n"/>
      <c r="EA48" s="377" t="n"/>
      <c r="EB48" s="378" t="n"/>
    </row>
    <row r="49" ht="9" customHeight="1" s="337">
      <c r="B49" s="350" t="n"/>
      <c r="C49" s="338" t="n"/>
      <c r="D49" s="380" t="n"/>
      <c r="E49" s="381" t="n"/>
      <c r="F49" s="122" t="inlineStr">
        <is>
          <t>～</t>
        </is>
      </c>
      <c r="G49" s="22" t="n"/>
      <c r="H49" s="381" t="n"/>
      <c r="I49" s="122" t="inlineStr">
        <is>
          <t>～</t>
        </is>
      </c>
      <c r="J49" s="22" t="n"/>
      <c r="K49" s="381" t="n"/>
      <c r="L49" s="122" t="inlineStr">
        <is>
          <t>～</t>
        </is>
      </c>
      <c r="M49" s="22" t="n"/>
      <c r="N49" s="381" t="n"/>
      <c r="O49" s="122" t="inlineStr">
        <is>
          <t>～</t>
        </is>
      </c>
      <c r="P49" s="22" t="n"/>
      <c r="Q49" s="382" t="n"/>
      <c r="R49" s="338" t="n"/>
      <c r="S49" s="380" t="n"/>
      <c r="T49" s="382" t="n"/>
      <c r="U49" s="338" t="n"/>
      <c r="V49" s="380" t="n"/>
      <c r="W49" s="382" t="n"/>
      <c r="X49" s="338" t="n"/>
      <c r="Y49" s="338" t="n"/>
      <c r="Z49" s="338" t="n"/>
      <c r="AA49" s="338" t="n"/>
      <c r="AB49" s="338" t="n"/>
      <c r="AC49" s="338" t="n"/>
      <c r="AD49" s="338" t="n"/>
      <c r="AE49" s="338" t="n"/>
      <c r="AF49" s="338" t="n"/>
      <c r="AG49" s="338" t="n"/>
      <c r="AH49" s="338" t="n"/>
      <c r="AI49" s="338" t="n"/>
      <c r="AJ49" s="338" t="n"/>
      <c r="AK49" s="338" t="n"/>
      <c r="AL49" s="338" t="n"/>
      <c r="AM49" s="338" t="n"/>
      <c r="AN49" s="338" t="n"/>
      <c r="AO49" s="338" t="n"/>
      <c r="AP49" s="338" t="n"/>
      <c r="AQ49" s="338" t="n"/>
      <c r="AR49" s="338" t="n"/>
      <c r="AS49" s="338" t="n"/>
      <c r="AT49" s="338" t="n"/>
      <c r="AU49" s="338" t="n"/>
      <c r="AV49" s="338" t="n"/>
      <c r="AW49" s="338" t="n"/>
      <c r="AX49" s="338" t="n"/>
      <c r="AY49" s="338" t="n"/>
      <c r="AZ49" s="338" t="n"/>
      <c r="BA49" s="338" t="n"/>
      <c r="BB49" s="338" t="n"/>
      <c r="BC49" s="338" t="n"/>
      <c r="BD49" s="338" t="n"/>
      <c r="BE49" s="338" t="n"/>
      <c r="BF49" s="338" t="n"/>
      <c r="BG49" s="338" t="n"/>
      <c r="BH49" s="338" t="n"/>
      <c r="BI49" s="338" t="n"/>
      <c r="BJ49" s="338" t="n"/>
      <c r="BK49" s="338" t="n"/>
      <c r="BL49" s="338" t="n"/>
      <c r="BM49" s="338" t="n"/>
      <c r="BN49" s="338" t="n"/>
      <c r="BO49" s="338" t="n"/>
      <c r="BP49" s="338" t="n"/>
      <c r="BQ49" s="338" t="n"/>
      <c r="BR49" s="338" t="n"/>
      <c r="BS49" s="338" t="n"/>
      <c r="BT49" s="338" t="n"/>
      <c r="BU49" s="338" t="n"/>
      <c r="BV49" s="338" t="n"/>
      <c r="BW49" s="338" t="n"/>
      <c r="BX49" s="338" t="n"/>
      <c r="BY49" s="338" t="n"/>
      <c r="BZ49" s="338" t="n"/>
      <c r="CA49" s="338" t="n"/>
      <c r="CB49" s="338" t="n"/>
      <c r="CC49" s="383" t="n"/>
      <c r="CF49" s="253" t="inlineStr">
        <is>
          <t>時間内</t>
        </is>
      </c>
      <c r="CG49" s="384" t="n"/>
      <c r="CH49" s="384" t="n"/>
      <c r="CI49" s="385" t="n"/>
      <c r="CJ49" s="386">
        <f>IF(Q48="作業者1",H51-H48,0)</f>
        <v/>
      </c>
      <c r="CK49" s="387" t="n"/>
      <c r="CL49" s="387" t="n"/>
      <c r="CM49" s="387" t="n"/>
      <c r="CN49" s="388" t="n"/>
      <c r="CP49" s="253" t="inlineStr">
        <is>
          <t>時間内</t>
        </is>
      </c>
      <c r="CQ49" s="384" t="n"/>
      <c r="CR49" s="384" t="n"/>
      <c r="CS49" s="385" t="n"/>
      <c r="CT49" s="386">
        <f>IF(Q48="作業者2",H51-H48,0)</f>
        <v/>
      </c>
      <c r="CU49" s="387" t="n"/>
      <c r="CV49" s="387" t="n"/>
      <c r="CW49" s="387" t="n"/>
      <c r="CX49" s="388" t="n"/>
      <c r="CZ49" s="253" t="inlineStr">
        <is>
          <t>時間内</t>
        </is>
      </c>
      <c r="DA49" s="384" t="n"/>
      <c r="DB49" s="384" t="n"/>
      <c r="DC49" s="385" t="n"/>
      <c r="DD49" s="386">
        <f>IF(Q48="作業者3",H51-H48,0)</f>
        <v/>
      </c>
      <c r="DE49" s="387" t="n"/>
      <c r="DF49" s="387" t="n"/>
      <c r="DG49" s="387" t="n"/>
      <c r="DH49" s="388" t="n"/>
      <c r="DJ49" s="253" t="inlineStr">
        <is>
          <t>時間内</t>
        </is>
      </c>
      <c r="DK49" s="384" t="n"/>
      <c r="DL49" s="384" t="n"/>
      <c r="DM49" s="385" t="n"/>
      <c r="DN49" s="386">
        <f>IF(Q48="作業者4",H51-H48,0)</f>
        <v/>
      </c>
      <c r="DO49" s="387" t="n"/>
      <c r="DP49" s="387" t="n"/>
      <c r="DQ49" s="387" t="n"/>
      <c r="DR49" s="388" t="n"/>
      <c r="DT49" s="253" t="inlineStr">
        <is>
          <t>時間内</t>
        </is>
      </c>
      <c r="DU49" s="384" t="n"/>
      <c r="DV49" s="384" t="n"/>
      <c r="DW49" s="385" t="n"/>
      <c r="DX49" s="386">
        <f>IF(Q48="作業者5",H51-H48,0)</f>
        <v/>
      </c>
      <c r="DY49" s="387" t="n"/>
      <c r="DZ49" s="387" t="n"/>
      <c r="EA49" s="387" t="n"/>
      <c r="EB49" s="388" t="n"/>
    </row>
    <row r="50" ht="9" customHeight="1" s="337">
      <c r="B50" s="350" t="n"/>
      <c r="C50" s="338" t="n"/>
      <c r="D50" s="380" t="n"/>
      <c r="E50" s="23" t="n"/>
      <c r="F50" s="338" t="n"/>
      <c r="G50" s="24" t="n"/>
      <c r="H50" s="23" t="n"/>
      <c r="I50" s="338" t="n"/>
      <c r="J50" s="24" t="n"/>
      <c r="K50" s="23" t="n"/>
      <c r="L50" s="338" t="n"/>
      <c r="M50" s="24" t="n"/>
      <c r="N50" s="23" t="n"/>
      <c r="O50" s="338" t="n"/>
      <c r="P50" s="24" t="n"/>
      <c r="Q50" s="382" t="n"/>
      <c r="R50" s="338" t="n"/>
      <c r="S50" s="380" t="n"/>
      <c r="T50" s="382" t="n"/>
      <c r="U50" s="338" t="n"/>
      <c r="V50" s="380" t="n"/>
      <c r="W50" s="382" t="n"/>
      <c r="X50" s="338" t="n"/>
      <c r="Y50" s="338" t="n"/>
      <c r="Z50" s="338" t="n"/>
      <c r="AA50" s="338" t="n"/>
      <c r="AB50" s="338" t="n"/>
      <c r="AC50" s="338" t="n"/>
      <c r="AD50" s="338" t="n"/>
      <c r="AE50" s="338" t="n"/>
      <c r="AF50" s="338" t="n"/>
      <c r="AG50" s="338" t="n"/>
      <c r="AH50" s="338" t="n"/>
      <c r="AI50" s="338" t="n"/>
      <c r="AJ50" s="338" t="n"/>
      <c r="AK50" s="338" t="n"/>
      <c r="AL50" s="338" t="n"/>
      <c r="AM50" s="338" t="n"/>
      <c r="AN50" s="338" t="n"/>
      <c r="AO50" s="338" t="n"/>
      <c r="AP50" s="338" t="n"/>
      <c r="AQ50" s="338" t="n"/>
      <c r="AR50" s="338" t="n"/>
      <c r="AS50" s="338" t="n"/>
      <c r="AT50" s="338" t="n"/>
      <c r="AU50" s="338" t="n"/>
      <c r="AV50" s="338" t="n"/>
      <c r="AW50" s="338" t="n"/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8" t="n"/>
      <c r="BH50" s="338" t="n"/>
      <c r="BI50" s="338" t="n"/>
      <c r="BJ50" s="338" t="n"/>
      <c r="BK50" s="338" t="n"/>
      <c r="BL50" s="338" t="n"/>
      <c r="BM50" s="338" t="n"/>
      <c r="BN50" s="338" t="n"/>
      <c r="BO50" s="338" t="n"/>
      <c r="BP50" s="338" t="n"/>
      <c r="BQ50" s="338" t="n"/>
      <c r="BR50" s="338" t="n"/>
      <c r="BS50" s="338" t="n"/>
      <c r="BT50" s="338" t="n"/>
      <c r="BU50" s="338" t="n"/>
      <c r="BV50" s="338" t="n"/>
      <c r="BW50" s="338" t="n"/>
      <c r="BX50" s="338" t="n"/>
      <c r="BY50" s="338" t="n"/>
      <c r="BZ50" s="338" t="n"/>
      <c r="CA50" s="338" t="n"/>
      <c r="CB50" s="338" t="n"/>
      <c r="CC50" s="383" t="n"/>
      <c r="CF50" s="253" t="inlineStr">
        <is>
          <t>時間外</t>
        </is>
      </c>
      <c r="CG50" s="384" t="n"/>
      <c r="CH50" s="384" t="n"/>
      <c r="CI50" s="385" t="n"/>
      <c r="CJ50" s="386">
        <f>IF(Q48="作業者1",K51-K48,0)</f>
        <v/>
      </c>
      <c r="CK50" s="387" t="n"/>
      <c r="CL50" s="387" t="n"/>
      <c r="CM50" s="387" t="n"/>
      <c r="CN50" s="388" t="n"/>
      <c r="CP50" s="253" t="inlineStr">
        <is>
          <t>時間外</t>
        </is>
      </c>
      <c r="CQ50" s="384" t="n"/>
      <c r="CR50" s="384" t="n"/>
      <c r="CS50" s="385" t="n"/>
      <c r="CT50" s="386">
        <f>IF(Q48="作業者2",K51-K48,0)</f>
        <v/>
      </c>
      <c r="CU50" s="387" t="n"/>
      <c r="CV50" s="387" t="n"/>
      <c r="CW50" s="387" t="n"/>
      <c r="CX50" s="388" t="n"/>
      <c r="CZ50" s="253" t="inlineStr">
        <is>
          <t>時間外</t>
        </is>
      </c>
      <c r="DA50" s="384" t="n"/>
      <c r="DB50" s="384" t="n"/>
      <c r="DC50" s="385" t="n"/>
      <c r="DD50" s="386">
        <f>IF(Q48="作業者3",K51-K48,0)</f>
        <v/>
      </c>
      <c r="DE50" s="387" t="n"/>
      <c r="DF50" s="387" t="n"/>
      <c r="DG50" s="387" t="n"/>
      <c r="DH50" s="388" t="n"/>
      <c r="DJ50" s="253" t="inlineStr">
        <is>
          <t>時間外</t>
        </is>
      </c>
      <c r="DK50" s="384" t="n"/>
      <c r="DL50" s="384" t="n"/>
      <c r="DM50" s="385" t="n"/>
      <c r="DN50" s="386">
        <f>IF(Q48="作業者4",K51-K48,0)</f>
        <v/>
      </c>
      <c r="DO50" s="387" t="n"/>
      <c r="DP50" s="387" t="n"/>
      <c r="DQ50" s="387" t="n"/>
      <c r="DR50" s="388" t="n"/>
      <c r="DT50" s="253" t="inlineStr">
        <is>
          <t>時間外</t>
        </is>
      </c>
      <c r="DU50" s="384" t="n"/>
      <c r="DV50" s="384" t="n"/>
      <c r="DW50" s="385" t="n"/>
      <c r="DX50" s="386">
        <f>IF(Q48="作業者5",K51-K48,0)</f>
        <v/>
      </c>
      <c r="DY50" s="387" t="n"/>
      <c r="DZ50" s="387" t="n"/>
      <c r="EA50" s="387" t="n"/>
      <c r="EB50" s="388" t="n"/>
    </row>
    <row r="51" ht="9" customHeight="1" s="337">
      <c r="B51" s="389" t="n"/>
      <c r="C51" s="390" t="n"/>
      <c r="D51" s="391" t="n"/>
      <c r="E51" s="392" t="n"/>
      <c r="F51" s="390" t="n"/>
      <c r="G51" s="391" t="n"/>
      <c r="H51" s="392" t="n"/>
      <c r="I51" s="390" t="n"/>
      <c r="J51" s="391" t="n"/>
      <c r="K51" s="392" t="n"/>
      <c r="L51" s="390" t="n"/>
      <c r="M51" s="391" t="n"/>
      <c r="N51" s="392" t="n"/>
      <c r="O51" s="390" t="n"/>
      <c r="P51" s="391" t="n"/>
      <c r="Q51" s="393" t="n"/>
      <c r="R51" s="390" t="n"/>
      <c r="S51" s="391" t="n"/>
      <c r="T51" s="393" t="n"/>
      <c r="U51" s="390" t="n"/>
      <c r="V51" s="391" t="n"/>
      <c r="W51" s="393" t="n"/>
      <c r="X51" s="390" t="n"/>
      <c r="Y51" s="390" t="n"/>
      <c r="Z51" s="390" t="n"/>
      <c r="AA51" s="390" t="n"/>
      <c r="AB51" s="390" t="n"/>
      <c r="AC51" s="390" t="n"/>
      <c r="AD51" s="390" t="n"/>
      <c r="AE51" s="390" t="n"/>
      <c r="AF51" s="390" t="n"/>
      <c r="AG51" s="390" t="n"/>
      <c r="AH51" s="390" t="n"/>
      <c r="AI51" s="390" t="n"/>
      <c r="AJ51" s="390" t="n"/>
      <c r="AK51" s="390" t="n"/>
      <c r="AL51" s="390" t="n"/>
      <c r="AM51" s="390" t="n"/>
      <c r="AN51" s="390" t="n"/>
      <c r="AO51" s="390" t="n"/>
      <c r="AP51" s="390" t="n"/>
      <c r="AQ51" s="390" t="n"/>
      <c r="AR51" s="390" t="n"/>
      <c r="AS51" s="390" t="n"/>
      <c r="AT51" s="390" t="n"/>
      <c r="AU51" s="390" t="n"/>
      <c r="AV51" s="390" t="n"/>
      <c r="AW51" s="390" t="n"/>
      <c r="AX51" s="390" t="n"/>
      <c r="AY51" s="390" t="n"/>
      <c r="AZ51" s="390" t="n"/>
      <c r="BA51" s="390" t="n"/>
      <c r="BB51" s="390" t="n"/>
      <c r="BC51" s="390" t="n"/>
      <c r="BD51" s="390" t="n"/>
      <c r="BE51" s="390" t="n"/>
      <c r="BF51" s="390" t="n"/>
      <c r="BG51" s="390" t="n"/>
      <c r="BH51" s="390" t="n"/>
      <c r="BI51" s="390" t="n"/>
      <c r="BJ51" s="390" t="n"/>
      <c r="BK51" s="390" t="n"/>
      <c r="BL51" s="390" t="n"/>
      <c r="BM51" s="390" t="n"/>
      <c r="BN51" s="390" t="n"/>
      <c r="BO51" s="390" t="n"/>
      <c r="BP51" s="390" t="n"/>
      <c r="BQ51" s="390" t="n"/>
      <c r="BR51" s="390" t="n"/>
      <c r="BS51" s="390" t="n"/>
      <c r="BT51" s="390" t="n"/>
      <c r="BU51" s="390" t="n"/>
      <c r="BV51" s="390" t="n"/>
      <c r="BW51" s="390" t="n"/>
      <c r="BX51" s="390" t="n"/>
      <c r="BY51" s="390" t="n"/>
      <c r="BZ51" s="390" t="n"/>
      <c r="CA51" s="390" t="n"/>
      <c r="CB51" s="390" t="n"/>
      <c r="CC51" s="394" t="n"/>
      <c r="CF51" s="254" t="inlineStr">
        <is>
          <t>休日</t>
        </is>
      </c>
      <c r="CG51" s="395" t="n"/>
      <c r="CH51" s="395" t="n"/>
      <c r="CI51" s="396" t="n"/>
      <c r="CJ51" s="397">
        <f>IF(Q48="作業者1",N51-N48,0)</f>
        <v/>
      </c>
      <c r="CK51" s="395" t="n"/>
      <c r="CL51" s="395" t="n"/>
      <c r="CM51" s="395" t="n"/>
      <c r="CN51" s="396" t="n"/>
      <c r="CP51" s="254" t="inlineStr">
        <is>
          <t>休日</t>
        </is>
      </c>
      <c r="CQ51" s="395" t="n"/>
      <c r="CR51" s="395" t="n"/>
      <c r="CS51" s="396" t="n"/>
      <c r="CT51" s="397">
        <f>IF(Q48="作業者2",N51-N48,0)</f>
        <v/>
      </c>
      <c r="CU51" s="395" t="n"/>
      <c r="CV51" s="395" t="n"/>
      <c r="CW51" s="395" t="n"/>
      <c r="CX51" s="396" t="n"/>
      <c r="CZ51" s="254" t="inlineStr">
        <is>
          <t>休日</t>
        </is>
      </c>
      <c r="DA51" s="395" t="n"/>
      <c r="DB51" s="395" t="n"/>
      <c r="DC51" s="396" t="n"/>
      <c r="DD51" s="397">
        <f>IF(Q48="作業者3",N51-N48,0)</f>
        <v/>
      </c>
      <c r="DE51" s="395" t="n"/>
      <c r="DF51" s="395" t="n"/>
      <c r="DG51" s="395" t="n"/>
      <c r="DH51" s="396" t="n"/>
      <c r="DJ51" s="254" t="inlineStr">
        <is>
          <t>休日</t>
        </is>
      </c>
      <c r="DK51" s="395" t="n"/>
      <c r="DL51" s="395" t="n"/>
      <c r="DM51" s="396" t="n"/>
      <c r="DN51" s="397">
        <f>IF(Q48="作業者4",N51-N48,0)</f>
        <v/>
      </c>
      <c r="DO51" s="395" t="n"/>
      <c r="DP51" s="395" t="n"/>
      <c r="DQ51" s="395" t="n"/>
      <c r="DR51" s="396" t="n"/>
      <c r="DT51" s="254" t="inlineStr">
        <is>
          <t>休日</t>
        </is>
      </c>
      <c r="DU51" s="395" t="n"/>
      <c r="DV51" s="395" t="n"/>
      <c r="DW51" s="396" t="n"/>
      <c r="DX51" s="397">
        <f>IF(Q48="作業者5",N51-N48,0)</f>
        <v/>
      </c>
      <c r="DY51" s="395" t="n"/>
      <c r="DZ51" s="395" t="n"/>
      <c r="EA51" s="395" t="n"/>
      <c r="EB51" s="396" t="n"/>
    </row>
    <row r="52" ht="9" customHeight="1" s="337">
      <c r="B52" s="398" t="n"/>
      <c r="C52" s="372" t="n"/>
      <c r="D52" s="373" t="n"/>
      <c r="E52" s="399" t="n"/>
      <c r="F52" s="372" t="n"/>
      <c r="G52" s="373" t="n"/>
      <c r="H52" s="399" t="n"/>
      <c r="I52" s="372" t="n"/>
      <c r="J52" s="373" t="n"/>
      <c r="K52" s="399" t="n"/>
      <c r="L52" s="372" t="n"/>
      <c r="M52" s="373" t="n"/>
      <c r="N52" s="399" t="n"/>
      <c r="O52" s="372" t="n"/>
      <c r="P52" s="373" t="n"/>
      <c r="Q52" s="371" t="n"/>
      <c r="R52" s="372" t="n"/>
      <c r="S52" s="373" t="n"/>
      <c r="T52" s="371" t="n"/>
      <c r="U52" s="372" t="n"/>
      <c r="V52" s="373" t="n"/>
      <c r="W52" s="443" t="n"/>
      <c r="X52" s="372" t="n"/>
      <c r="Y52" s="372" t="n"/>
      <c r="Z52" s="372" t="n"/>
      <c r="AA52" s="372" t="n"/>
      <c r="AB52" s="372" t="n"/>
      <c r="AC52" s="372" t="n"/>
      <c r="AD52" s="372" t="n"/>
      <c r="AE52" s="372" t="n"/>
      <c r="AF52" s="372" t="n"/>
      <c r="AG52" s="372" t="n"/>
      <c r="AH52" s="372" t="n"/>
      <c r="AI52" s="372" t="n"/>
      <c r="AJ52" s="372" t="n"/>
      <c r="AK52" s="372" t="n"/>
      <c r="AL52" s="372" t="n"/>
      <c r="AM52" s="372" t="n"/>
      <c r="AN52" s="372" t="n"/>
      <c r="AO52" s="372" t="n"/>
      <c r="AP52" s="372" t="n"/>
      <c r="AQ52" s="372" t="n"/>
      <c r="AR52" s="372" t="n"/>
      <c r="AS52" s="372" t="n"/>
      <c r="AT52" s="372" t="n"/>
      <c r="AU52" s="372" t="n"/>
      <c r="AV52" s="372" t="n"/>
      <c r="AW52" s="372" t="n"/>
      <c r="AX52" s="372" t="n"/>
      <c r="AY52" s="372" t="n"/>
      <c r="AZ52" s="372" t="n"/>
      <c r="BA52" s="372" t="n"/>
      <c r="BB52" s="372" t="n"/>
      <c r="BC52" s="372" t="n"/>
      <c r="BD52" s="372" t="n"/>
      <c r="BE52" s="372" t="n"/>
      <c r="BF52" s="372" t="n"/>
      <c r="BG52" s="372" t="n"/>
      <c r="BH52" s="372" t="n"/>
      <c r="BI52" s="372" t="n"/>
      <c r="BJ52" s="372" t="n"/>
      <c r="BK52" s="372" t="n"/>
      <c r="BL52" s="372" t="n"/>
      <c r="BM52" s="372" t="n"/>
      <c r="BN52" s="372" t="n"/>
      <c r="BO52" s="372" t="n"/>
      <c r="BP52" s="372" t="n"/>
      <c r="BQ52" s="372" t="n"/>
      <c r="BR52" s="372" t="n"/>
      <c r="BS52" s="372" t="n"/>
      <c r="BT52" s="372" t="n"/>
      <c r="BU52" s="372" t="n"/>
      <c r="BV52" s="372" t="n"/>
      <c r="BW52" s="372" t="n"/>
      <c r="BX52" s="372" t="n"/>
      <c r="BY52" s="372" t="n"/>
      <c r="BZ52" s="372" t="n"/>
      <c r="CA52" s="372" t="n"/>
      <c r="CB52" s="372" t="n"/>
      <c r="CC52" s="402" t="n"/>
      <c r="CF52" s="248" t="inlineStr">
        <is>
          <t>移動</t>
        </is>
      </c>
      <c r="CG52" s="377" t="n"/>
      <c r="CH52" s="377" t="n"/>
      <c r="CI52" s="378" t="n"/>
      <c r="CJ52" s="379">
        <f>IF(Q52="作業者1",E55-E52,0)</f>
        <v/>
      </c>
      <c r="CK52" s="377" t="n"/>
      <c r="CL52" s="377" t="n"/>
      <c r="CM52" s="377" t="n"/>
      <c r="CN52" s="378" t="n"/>
      <c r="CP52" s="248" t="inlineStr">
        <is>
          <t>移動</t>
        </is>
      </c>
      <c r="CQ52" s="377" t="n"/>
      <c r="CR52" s="377" t="n"/>
      <c r="CS52" s="378" t="n"/>
      <c r="CT52" s="379">
        <f>IF(Q52="作業者2",E55-E52,0)</f>
        <v/>
      </c>
      <c r="CU52" s="377" t="n"/>
      <c r="CV52" s="377" t="n"/>
      <c r="CW52" s="377" t="n"/>
      <c r="CX52" s="378" t="n"/>
      <c r="CZ52" s="259" t="inlineStr">
        <is>
          <t>移動</t>
        </is>
      </c>
      <c r="DA52" s="403" t="n"/>
      <c r="DB52" s="403" t="n"/>
      <c r="DC52" s="404" t="n"/>
      <c r="DD52" s="405">
        <f>IF(Q52="作業者3",E55-E52,0)</f>
        <v/>
      </c>
      <c r="DE52" s="406" t="n"/>
      <c r="DF52" s="406" t="n"/>
      <c r="DG52" s="406" t="n"/>
      <c r="DH52" s="407" t="n"/>
      <c r="DJ52" s="259" t="inlineStr">
        <is>
          <t>移動</t>
        </is>
      </c>
      <c r="DK52" s="403" t="n"/>
      <c r="DL52" s="403" t="n"/>
      <c r="DM52" s="404" t="n"/>
      <c r="DN52" s="379">
        <f>IF(Q52="作業者4",E55-E52,0)</f>
        <v/>
      </c>
      <c r="DO52" s="377" t="n"/>
      <c r="DP52" s="377" t="n"/>
      <c r="DQ52" s="377" t="n"/>
      <c r="DR52" s="378" t="n"/>
      <c r="DT52" s="259" t="inlineStr">
        <is>
          <t>移動</t>
        </is>
      </c>
      <c r="DU52" s="403" t="n"/>
      <c r="DV52" s="403" t="n"/>
      <c r="DW52" s="404" t="n"/>
      <c r="DX52" s="379">
        <f>IF(Q52="作業者5",E55-E52,0)</f>
        <v/>
      </c>
      <c r="DY52" s="377" t="n"/>
      <c r="DZ52" s="377" t="n"/>
      <c r="EA52" s="377" t="n"/>
      <c r="EB52" s="378" t="n"/>
    </row>
    <row r="53" ht="9" customHeight="1" s="337">
      <c r="B53" s="350" t="n"/>
      <c r="C53" s="338" t="n"/>
      <c r="D53" s="380" t="n"/>
      <c r="E53" s="381" t="n"/>
      <c r="F53" s="122" t="inlineStr">
        <is>
          <t>～</t>
        </is>
      </c>
      <c r="G53" s="22" t="n"/>
      <c r="H53" s="381" t="n"/>
      <c r="I53" s="122" t="inlineStr">
        <is>
          <t>～</t>
        </is>
      </c>
      <c r="J53" s="22" t="n"/>
      <c r="K53" s="381" t="n"/>
      <c r="L53" s="122" t="inlineStr">
        <is>
          <t>～</t>
        </is>
      </c>
      <c r="M53" s="22" t="n"/>
      <c r="N53" s="381" t="n"/>
      <c r="O53" s="122" t="inlineStr">
        <is>
          <t>～</t>
        </is>
      </c>
      <c r="P53" s="22" t="n"/>
      <c r="Q53" s="382" t="n"/>
      <c r="R53" s="338" t="n"/>
      <c r="S53" s="380" t="n"/>
      <c r="T53" s="382" t="n"/>
      <c r="U53" s="338" t="n"/>
      <c r="V53" s="380" t="n"/>
      <c r="W53" s="382" t="n"/>
      <c r="X53" s="338" t="n"/>
      <c r="Y53" s="338" t="n"/>
      <c r="Z53" s="338" t="n"/>
      <c r="AA53" s="338" t="n"/>
      <c r="AB53" s="338" t="n"/>
      <c r="AC53" s="338" t="n"/>
      <c r="AD53" s="338" t="n"/>
      <c r="AE53" s="338" t="n"/>
      <c r="AF53" s="338" t="n"/>
      <c r="AG53" s="338" t="n"/>
      <c r="AH53" s="338" t="n"/>
      <c r="AI53" s="338" t="n"/>
      <c r="AJ53" s="338" t="n"/>
      <c r="AK53" s="338" t="n"/>
      <c r="AL53" s="338" t="n"/>
      <c r="AM53" s="338" t="n"/>
      <c r="AN53" s="338" t="n"/>
      <c r="AO53" s="338" t="n"/>
      <c r="AP53" s="338" t="n"/>
      <c r="AQ53" s="338" t="n"/>
      <c r="AR53" s="338" t="n"/>
      <c r="AS53" s="338" t="n"/>
      <c r="AT53" s="338" t="n"/>
      <c r="AU53" s="338" t="n"/>
      <c r="AV53" s="338" t="n"/>
      <c r="AW53" s="338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8" t="n"/>
      <c r="BH53" s="338" t="n"/>
      <c r="BI53" s="338" t="n"/>
      <c r="BJ53" s="338" t="n"/>
      <c r="BK53" s="338" t="n"/>
      <c r="BL53" s="338" t="n"/>
      <c r="BM53" s="338" t="n"/>
      <c r="BN53" s="338" t="n"/>
      <c r="BO53" s="338" t="n"/>
      <c r="BP53" s="338" t="n"/>
      <c r="BQ53" s="338" t="n"/>
      <c r="BR53" s="338" t="n"/>
      <c r="BS53" s="338" t="n"/>
      <c r="BT53" s="338" t="n"/>
      <c r="BU53" s="338" t="n"/>
      <c r="BV53" s="338" t="n"/>
      <c r="BW53" s="338" t="n"/>
      <c r="BX53" s="338" t="n"/>
      <c r="BY53" s="338" t="n"/>
      <c r="BZ53" s="338" t="n"/>
      <c r="CA53" s="338" t="n"/>
      <c r="CB53" s="338" t="n"/>
      <c r="CC53" s="383" t="n"/>
      <c r="CF53" s="253" t="inlineStr">
        <is>
          <t>時間内</t>
        </is>
      </c>
      <c r="CG53" s="384" t="n"/>
      <c r="CH53" s="384" t="n"/>
      <c r="CI53" s="385" t="n"/>
      <c r="CJ53" s="386">
        <f>IF(Q52="作業者1",H55-H52,0)</f>
        <v/>
      </c>
      <c r="CK53" s="387" t="n"/>
      <c r="CL53" s="387" t="n"/>
      <c r="CM53" s="387" t="n"/>
      <c r="CN53" s="388" t="n"/>
      <c r="CP53" s="253" t="inlineStr">
        <is>
          <t>時間内</t>
        </is>
      </c>
      <c r="CQ53" s="384" t="n"/>
      <c r="CR53" s="384" t="n"/>
      <c r="CS53" s="385" t="n"/>
      <c r="CT53" s="386">
        <f>IF(Q52="作業者2",H55-H52,0)</f>
        <v/>
      </c>
      <c r="CU53" s="387" t="n"/>
      <c r="CV53" s="387" t="n"/>
      <c r="CW53" s="387" t="n"/>
      <c r="CX53" s="388" t="n"/>
      <c r="CZ53" s="253" t="inlineStr">
        <is>
          <t>時間内</t>
        </is>
      </c>
      <c r="DA53" s="384" t="n"/>
      <c r="DB53" s="384" t="n"/>
      <c r="DC53" s="385" t="n"/>
      <c r="DD53" s="386">
        <f>IF(Q52="作業者3",H55-H52,0)</f>
        <v/>
      </c>
      <c r="DE53" s="387" t="n"/>
      <c r="DF53" s="387" t="n"/>
      <c r="DG53" s="387" t="n"/>
      <c r="DH53" s="388" t="n"/>
      <c r="DJ53" s="253" t="inlineStr">
        <is>
          <t>時間内</t>
        </is>
      </c>
      <c r="DK53" s="384" t="n"/>
      <c r="DL53" s="384" t="n"/>
      <c r="DM53" s="385" t="n"/>
      <c r="DN53" s="386">
        <f>IF(Q52="作業者4",H55-H52,0)</f>
        <v/>
      </c>
      <c r="DO53" s="387" t="n"/>
      <c r="DP53" s="387" t="n"/>
      <c r="DQ53" s="387" t="n"/>
      <c r="DR53" s="388" t="n"/>
      <c r="DT53" s="253" t="inlineStr">
        <is>
          <t>時間内</t>
        </is>
      </c>
      <c r="DU53" s="384" t="n"/>
      <c r="DV53" s="384" t="n"/>
      <c r="DW53" s="385" t="n"/>
      <c r="DX53" s="386">
        <f>IF(Q52="作業者5",H55-H52,0)</f>
        <v/>
      </c>
      <c r="DY53" s="387" t="n"/>
      <c r="DZ53" s="387" t="n"/>
      <c r="EA53" s="387" t="n"/>
      <c r="EB53" s="388" t="n"/>
    </row>
    <row r="54" ht="9" customHeight="1" s="337">
      <c r="B54" s="350" t="n"/>
      <c r="C54" s="338" t="n"/>
      <c r="D54" s="380" t="n"/>
      <c r="E54" s="23" t="n"/>
      <c r="F54" s="338" t="n"/>
      <c r="G54" s="24" t="n"/>
      <c r="H54" s="23" t="n"/>
      <c r="I54" s="338" t="n"/>
      <c r="J54" s="24" t="n"/>
      <c r="K54" s="23" t="n"/>
      <c r="L54" s="338" t="n"/>
      <c r="M54" s="24" t="n"/>
      <c r="N54" s="23" t="n"/>
      <c r="O54" s="338" t="n"/>
      <c r="P54" s="24" t="n"/>
      <c r="Q54" s="382" t="n"/>
      <c r="R54" s="338" t="n"/>
      <c r="S54" s="380" t="n"/>
      <c r="T54" s="382" t="n"/>
      <c r="U54" s="338" t="n"/>
      <c r="V54" s="380" t="n"/>
      <c r="W54" s="382" t="n"/>
      <c r="X54" s="338" t="n"/>
      <c r="Y54" s="338" t="n"/>
      <c r="Z54" s="338" t="n"/>
      <c r="AA54" s="338" t="n"/>
      <c r="AB54" s="338" t="n"/>
      <c r="AC54" s="338" t="n"/>
      <c r="AD54" s="338" t="n"/>
      <c r="AE54" s="338" t="n"/>
      <c r="AF54" s="338" t="n"/>
      <c r="AG54" s="338" t="n"/>
      <c r="AH54" s="338" t="n"/>
      <c r="AI54" s="338" t="n"/>
      <c r="AJ54" s="338" t="n"/>
      <c r="AK54" s="338" t="n"/>
      <c r="AL54" s="338" t="n"/>
      <c r="AM54" s="338" t="n"/>
      <c r="AN54" s="338" t="n"/>
      <c r="AO54" s="338" t="n"/>
      <c r="AP54" s="338" t="n"/>
      <c r="AQ54" s="338" t="n"/>
      <c r="AR54" s="338" t="n"/>
      <c r="AS54" s="338" t="n"/>
      <c r="AT54" s="338" t="n"/>
      <c r="AU54" s="338" t="n"/>
      <c r="AV54" s="338" t="n"/>
      <c r="AW54" s="338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8" t="n"/>
      <c r="BH54" s="338" t="n"/>
      <c r="BI54" s="338" t="n"/>
      <c r="BJ54" s="338" t="n"/>
      <c r="BK54" s="338" t="n"/>
      <c r="BL54" s="338" t="n"/>
      <c r="BM54" s="338" t="n"/>
      <c r="BN54" s="338" t="n"/>
      <c r="BO54" s="338" t="n"/>
      <c r="BP54" s="338" t="n"/>
      <c r="BQ54" s="338" t="n"/>
      <c r="BR54" s="338" t="n"/>
      <c r="BS54" s="338" t="n"/>
      <c r="BT54" s="338" t="n"/>
      <c r="BU54" s="338" t="n"/>
      <c r="BV54" s="338" t="n"/>
      <c r="BW54" s="338" t="n"/>
      <c r="BX54" s="338" t="n"/>
      <c r="BY54" s="338" t="n"/>
      <c r="BZ54" s="338" t="n"/>
      <c r="CA54" s="338" t="n"/>
      <c r="CB54" s="338" t="n"/>
      <c r="CC54" s="383" t="n"/>
      <c r="CF54" s="253" t="inlineStr">
        <is>
          <t>時間外</t>
        </is>
      </c>
      <c r="CG54" s="384" t="n"/>
      <c r="CH54" s="384" t="n"/>
      <c r="CI54" s="385" t="n"/>
      <c r="CJ54" s="386">
        <f>IF(Q52="作業者1",K55-K52,0)</f>
        <v/>
      </c>
      <c r="CK54" s="387" t="n"/>
      <c r="CL54" s="387" t="n"/>
      <c r="CM54" s="387" t="n"/>
      <c r="CN54" s="388" t="n"/>
      <c r="CP54" s="253" t="inlineStr">
        <is>
          <t>時間外</t>
        </is>
      </c>
      <c r="CQ54" s="384" t="n"/>
      <c r="CR54" s="384" t="n"/>
      <c r="CS54" s="385" t="n"/>
      <c r="CT54" s="386">
        <f>IF(Q52="作業者2",K55-K52,0)</f>
        <v/>
      </c>
      <c r="CU54" s="387" t="n"/>
      <c r="CV54" s="387" t="n"/>
      <c r="CW54" s="387" t="n"/>
      <c r="CX54" s="388" t="n"/>
      <c r="CZ54" s="253" t="inlineStr">
        <is>
          <t>時間外</t>
        </is>
      </c>
      <c r="DA54" s="384" t="n"/>
      <c r="DB54" s="384" t="n"/>
      <c r="DC54" s="385" t="n"/>
      <c r="DD54" s="386">
        <f>IF(Q52="作業者3",K55-K52,0)</f>
        <v/>
      </c>
      <c r="DE54" s="387" t="n"/>
      <c r="DF54" s="387" t="n"/>
      <c r="DG54" s="387" t="n"/>
      <c r="DH54" s="388" t="n"/>
      <c r="DJ54" s="253" t="inlineStr">
        <is>
          <t>時間外</t>
        </is>
      </c>
      <c r="DK54" s="384" t="n"/>
      <c r="DL54" s="384" t="n"/>
      <c r="DM54" s="385" t="n"/>
      <c r="DN54" s="386">
        <f>IF(Q52="作業者4",K55-K52,0)</f>
        <v/>
      </c>
      <c r="DO54" s="387" t="n"/>
      <c r="DP54" s="387" t="n"/>
      <c r="DQ54" s="387" t="n"/>
      <c r="DR54" s="388" t="n"/>
      <c r="DT54" s="253" t="inlineStr">
        <is>
          <t>時間外</t>
        </is>
      </c>
      <c r="DU54" s="384" t="n"/>
      <c r="DV54" s="384" t="n"/>
      <c r="DW54" s="385" t="n"/>
      <c r="DX54" s="386">
        <f>IF(Q52="作業者5",K55-K52,0)</f>
        <v/>
      </c>
      <c r="DY54" s="387" t="n"/>
      <c r="DZ54" s="387" t="n"/>
      <c r="EA54" s="387" t="n"/>
      <c r="EB54" s="388" t="n"/>
    </row>
    <row r="55" ht="9" customHeight="1" s="337">
      <c r="B55" s="389" t="n"/>
      <c r="C55" s="390" t="n"/>
      <c r="D55" s="391" t="n"/>
      <c r="E55" s="392" t="n"/>
      <c r="F55" s="390" t="n"/>
      <c r="G55" s="391" t="n"/>
      <c r="H55" s="392" t="n"/>
      <c r="I55" s="390" t="n"/>
      <c r="J55" s="391" t="n"/>
      <c r="K55" s="392" t="n"/>
      <c r="L55" s="390" t="n"/>
      <c r="M55" s="391" t="n"/>
      <c r="N55" s="392" t="n"/>
      <c r="O55" s="390" t="n"/>
      <c r="P55" s="391" t="n"/>
      <c r="Q55" s="393" t="n"/>
      <c r="R55" s="390" t="n"/>
      <c r="S55" s="391" t="n"/>
      <c r="T55" s="393" t="n"/>
      <c r="U55" s="390" t="n"/>
      <c r="V55" s="391" t="n"/>
      <c r="W55" s="393" t="n"/>
      <c r="X55" s="390" t="n"/>
      <c r="Y55" s="390" t="n"/>
      <c r="Z55" s="390" t="n"/>
      <c r="AA55" s="390" t="n"/>
      <c r="AB55" s="390" t="n"/>
      <c r="AC55" s="390" t="n"/>
      <c r="AD55" s="390" t="n"/>
      <c r="AE55" s="390" t="n"/>
      <c r="AF55" s="390" t="n"/>
      <c r="AG55" s="390" t="n"/>
      <c r="AH55" s="390" t="n"/>
      <c r="AI55" s="390" t="n"/>
      <c r="AJ55" s="390" t="n"/>
      <c r="AK55" s="390" t="n"/>
      <c r="AL55" s="390" t="n"/>
      <c r="AM55" s="390" t="n"/>
      <c r="AN55" s="390" t="n"/>
      <c r="AO55" s="390" t="n"/>
      <c r="AP55" s="390" t="n"/>
      <c r="AQ55" s="390" t="n"/>
      <c r="AR55" s="390" t="n"/>
      <c r="AS55" s="390" t="n"/>
      <c r="AT55" s="390" t="n"/>
      <c r="AU55" s="390" t="n"/>
      <c r="AV55" s="390" t="n"/>
      <c r="AW55" s="390" t="n"/>
      <c r="AX55" s="390" t="n"/>
      <c r="AY55" s="390" t="n"/>
      <c r="AZ55" s="390" t="n"/>
      <c r="BA55" s="390" t="n"/>
      <c r="BB55" s="390" t="n"/>
      <c r="BC55" s="390" t="n"/>
      <c r="BD55" s="390" t="n"/>
      <c r="BE55" s="390" t="n"/>
      <c r="BF55" s="390" t="n"/>
      <c r="BG55" s="390" t="n"/>
      <c r="BH55" s="390" t="n"/>
      <c r="BI55" s="390" t="n"/>
      <c r="BJ55" s="390" t="n"/>
      <c r="BK55" s="390" t="n"/>
      <c r="BL55" s="390" t="n"/>
      <c r="BM55" s="390" t="n"/>
      <c r="BN55" s="390" t="n"/>
      <c r="BO55" s="390" t="n"/>
      <c r="BP55" s="390" t="n"/>
      <c r="BQ55" s="390" t="n"/>
      <c r="BR55" s="390" t="n"/>
      <c r="BS55" s="390" t="n"/>
      <c r="BT55" s="390" t="n"/>
      <c r="BU55" s="390" t="n"/>
      <c r="BV55" s="390" t="n"/>
      <c r="BW55" s="390" t="n"/>
      <c r="BX55" s="390" t="n"/>
      <c r="BY55" s="390" t="n"/>
      <c r="BZ55" s="390" t="n"/>
      <c r="CA55" s="390" t="n"/>
      <c r="CB55" s="390" t="n"/>
      <c r="CC55" s="394" t="n"/>
      <c r="CF55" s="254" t="inlineStr">
        <is>
          <t>休日</t>
        </is>
      </c>
      <c r="CG55" s="395" t="n"/>
      <c r="CH55" s="395" t="n"/>
      <c r="CI55" s="396" t="n"/>
      <c r="CJ55" s="397">
        <f>IF(Q52="作業者1",N55-N52,0)</f>
        <v/>
      </c>
      <c r="CK55" s="395" t="n"/>
      <c r="CL55" s="395" t="n"/>
      <c r="CM55" s="395" t="n"/>
      <c r="CN55" s="396" t="n"/>
      <c r="CP55" s="254" t="inlineStr">
        <is>
          <t>休日</t>
        </is>
      </c>
      <c r="CQ55" s="395" t="n"/>
      <c r="CR55" s="395" t="n"/>
      <c r="CS55" s="396" t="n"/>
      <c r="CT55" s="397">
        <f>IF(Q52="作業者2",N55-N52,0)</f>
        <v/>
      </c>
      <c r="CU55" s="395" t="n"/>
      <c r="CV55" s="395" t="n"/>
      <c r="CW55" s="395" t="n"/>
      <c r="CX55" s="396" t="n"/>
      <c r="CZ55" s="254" t="inlineStr">
        <is>
          <t>休日</t>
        </is>
      </c>
      <c r="DA55" s="395" t="n"/>
      <c r="DB55" s="395" t="n"/>
      <c r="DC55" s="396" t="n"/>
      <c r="DD55" s="397">
        <f>IF(Q52="作業者3",N55-N52,0)</f>
        <v/>
      </c>
      <c r="DE55" s="395" t="n"/>
      <c r="DF55" s="395" t="n"/>
      <c r="DG55" s="395" t="n"/>
      <c r="DH55" s="396" t="n"/>
      <c r="DJ55" s="254" t="inlineStr">
        <is>
          <t>休日</t>
        </is>
      </c>
      <c r="DK55" s="395" t="n"/>
      <c r="DL55" s="395" t="n"/>
      <c r="DM55" s="396" t="n"/>
      <c r="DN55" s="397">
        <f>IF(Q52="作業者4",N55-N52,0)</f>
        <v/>
      </c>
      <c r="DO55" s="395" t="n"/>
      <c r="DP55" s="395" t="n"/>
      <c r="DQ55" s="395" t="n"/>
      <c r="DR55" s="396" t="n"/>
      <c r="DT55" s="254" t="inlineStr">
        <is>
          <t>休日</t>
        </is>
      </c>
      <c r="DU55" s="395" t="n"/>
      <c r="DV55" s="395" t="n"/>
      <c r="DW55" s="396" t="n"/>
      <c r="DX55" s="397">
        <f>IF(Q52="作業者5",N55-N52,0)</f>
        <v/>
      </c>
      <c r="DY55" s="395" t="n"/>
      <c r="DZ55" s="395" t="n"/>
      <c r="EA55" s="395" t="n"/>
      <c r="EB55" s="396" t="n"/>
    </row>
    <row r="56" ht="9" customHeight="1" s="337">
      <c r="B56" s="398" t="n"/>
      <c r="C56" s="372" t="n"/>
      <c r="D56" s="373" t="n"/>
      <c r="E56" s="399" t="n"/>
      <c r="F56" s="372" t="n"/>
      <c r="G56" s="373" t="n"/>
      <c r="H56" s="399" t="n"/>
      <c r="I56" s="372" t="n"/>
      <c r="J56" s="373" t="n"/>
      <c r="K56" s="399" t="n"/>
      <c r="L56" s="372" t="n"/>
      <c r="M56" s="373" t="n"/>
      <c r="N56" s="399" t="n"/>
      <c r="O56" s="372" t="n"/>
      <c r="P56" s="373" t="n"/>
      <c r="Q56" s="371" t="n"/>
      <c r="R56" s="372" t="n"/>
      <c r="S56" s="373" t="n"/>
      <c r="T56" s="371" t="n"/>
      <c r="U56" s="372" t="n"/>
      <c r="V56" s="373" t="n"/>
      <c r="W56" s="443" t="n"/>
      <c r="X56" s="372" t="n"/>
      <c r="Y56" s="372" t="n"/>
      <c r="Z56" s="372" t="n"/>
      <c r="AA56" s="372" t="n"/>
      <c r="AB56" s="372" t="n"/>
      <c r="AC56" s="372" t="n"/>
      <c r="AD56" s="372" t="n"/>
      <c r="AE56" s="372" t="n"/>
      <c r="AF56" s="372" t="n"/>
      <c r="AG56" s="372" t="n"/>
      <c r="AH56" s="372" t="n"/>
      <c r="AI56" s="372" t="n"/>
      <c r="AJ56" s="372" t="n"/>
      <c r="AK56" s="372" t="n"/>
      <c r="AL56" s="372" t="n"/>
      <c r="AM56" s="372" t="n"/>
      <c r="AN56" s="372" t="n"/>
      <c r="AO56" s="372" t="n"/>
      <c r="AP56" s="372" t="n"/>
      <c r="AQ56" s="372" t="n"/>
      <c r="AR56" s="372" t="n"/>
      <c r="AS56" s="372" t="n"/>
      <c r="AT56" s="372" t="n"/>
      <c r="AU56" s="372" t="n"/>
      <c r="AV56" s="372" t="n"/>
      <c r="AW56" s="372" t="n"/>
      <c r="AX56" s="372" t="n"/>
      <c r="AY56" s="372" t="n"/>
      <c r="AZ56" s="372" t="n"/>
      <c r="BA56" s="372" t="n"/>
      <c r="BB56" s="372" t="n"/>
      <c r="BC56" s="372" t="n"/>
      <c r="BD56" s="372" t="n"/>
      <c r="BE56" s="372" t="n"/>
      <c r="BF56" s="372" t="n"/>
      <c r="BG56" s="372" t="n"/>
      <c r="BH56" s="372" t="n"/>
      <c r="BI56" s="372" t="n"/>
      <c r="BJ56" s="372" t="n"/>
      <c r="BK56" s="372" t="n"/>
      <c r="BL56" s="372" t="n"/>
      <c r="BM56" s="372" t="n"/>
      <c r="BN56" s="372" t="n"/>
      <c r="BO56" s="372" t="n"/>
      <c r="BP56" s="372" t="n"/>
      <c r="BQ56" s="372" t="n"/>
      <c r="BR56" s="372" t="n"/>
      <c r="BS56" s="372" t="n"/>
      <c r="BT56" s="372" t="n"/>
      <c r="BU56" s="372" t="n"/>
      <c r="BV56" s="372" t="n"/>
      <c r="BW56" s="372" t="n"/>
      <c r="BX56" s="372" t="n"/>
      <c r="BY56" s="372" t="n"/>
      <c r="BZ56" s="372" t="n"/>
      <c r="CA56" s="372" t="n"/>
      <c r="CB56" s="372" t="n"/>
      <c r="CC56" s="402" t="n"/>
      <c r="CF56" s="248" t="inlineStr">
        <is>
          <t>移動</t>
        </is>
      </c>
      <c r="CG56" s="377" t="n"/>
      <c r="CH56" s="377" t="n"/>
      <c r="CI56" s="378" t="n"/>
      <c r="CJ56" s="379">
        <f>IF(Q56="作業者1",E59-E56,0)</f>
        <v/>
      </c>
      <c r="CK56" s="377" t="n"/>
      <c r="CL56" s="377" t="n"/>
      <c r="CM56" s="377" t="n"/>
      <c r="CN56" s="378" t="n"/>
      <c r="CP56" s="248" t="inlineStr">
        <is>
          <t>移動</t>
        </is>
      </c>
      <c r="CQ56" s="377" t="n"/>
      <c r="CR56" s="377" t="n"/>
      <c r="CS56" s="378" t="n"/>
      <c r="CT56" s="379">
        <f>IF(Q56="作業者2",E59-E56,0)</f>
        <v/>
      </c>
      <c r="CU56" s="377" t="n"/>
      <c r="CV56" s="377" t="n"/>
      <c r="CW56" s="377" t="n"/>
      <c r="CX56" s="378" t="n"/>
      <c r="CZ56" s="259" t="inlineStr">
        <is>
          <t>移動</t>
        </is>
      </c>
      <c r="DA56" s="403" t="n"/>
      <c r="DB56" s="403" t="n"/>
      <c r="DC56" s="404" t="n"/>
      <c r="DD56" s="405">
        <f>IF(Q56="作業者3",E59-E56,0)</f>
        <v/>
      </c>
      <c r="DE56" s="406" t="n"/>
      <c r="DF56" s="406" t="n"/>
      <c r="DG56" s="406" t="n"/>
      <c r="DH56" s="407" t="n"/>
      <c r="DJ56" s="259" t="inlineStr">
        <is>
          <t>移動</t>
        </is>
      </c>
      <c r="DK56" s="403" t="n"/>
      <c r="DL56" s="403" t="n"/>
      <c r="DM56" s="404" t="n"/>
      <c r="DN56" s="379">
        <f>IF(Q56="作業者4",E59-E56,0)</f>
        <v/>
      </c>
      <c r="DO56" s="377" t="n"/>
      <c r="DP56" s="377" t="n"/>
      <c r="DQ56" s="377" t="n"/>
      <c r="DR56" s="378" t="n"/>
      <c r="DT56" s="259" t="inlineStr">
        <is>
          <t>移動</t>
        </is>
      </c>
      <c r="DU56" s="403" t="n"/>
      <c r="DV56" s="403" t="n"/>
      <c r="DW56" s="404" t="n"/>
      <c r="DX56" s="379">
        <f>IF(Q56="作業者5",E59-E56,0)</f>
        <v/>
      </c>
      <c r="DY56" s="377" t="n"/>
      <c r="DZ56" s="377" t="n"/>
      <c r="EA56" s="377" t="n"/>
      <c r="EB56" s="378" t="n"/>
    </row>
    <row r="57" ht="9" customHeight="1" s="337">
      <c r="B57" s="350" t="n"/>
      <c r="C57" s="338" t="n"/>
      <c r="D57" s="380" t="n"/>
      <c r="E57" s="381" t="n"/>
      <c r="F57" s="122" t="inlineStr">
        <is>
          <t>～</t>
        </is>
      </c>
      <c r="G57" s="22" t="n"/>
      <c r="H57" s="381" t="n"/>
      <c r="I57" s="122" t="inlineStr">
        <is>
          <t>～</t>
        </is>
      </c>
      <c r="J57" s="22" t="n"/>
      <c r="K57" s="381" t="n"/>
      <c r="L57" s="122" t="inlineStr">
        <is>
          <t>～</t>
        </is>
      </c>
      <c r="M57" s="22" t="n"/>
      <c r="N57" s="381" t="n"/>
      <c r="O57" s="122" t="inlineStr">
        <is>
          <t>～</t>
        </is>
      </c>
      <c r="P57" s="22" t="n"/>
      <c r="Q57" s="382" t="n"/>
      <c r="R57" s="338" t="n"/>
      <c r="S57" s="380" t="n"/>
      <c r="T57" s="382" t="n"/>
      <c r="U57" s="338" t="n"/>
      <c r="V57" s="380" t="n"/>
      <c r="W57" s="382" t="n"/>
      <c r="X57" s="338" t="n"/>
      <c r="Y57" s="338" t="n"/>
      <c r="Z57" s="338" t="n"/>
      <c r="AA57" s="338" t="n"/>
      <c r="AB57" s="338" t="n"/>
      <c r="AC57" s="338" t="n"/>
      <c r="AD57" s="338" t="n"/>
      <c r="AE57" s="338" t="n"/>
      <c r="AF57" s="338" t="n"/>
      <c r="AG57" s="338" t="n"/>
      <c r="AH57" s="338" t="n"/>
      <c r="AI57" s="338" t="n"/>
      <c r="AJ57" s="338" t="n"/>
      <c r="AK57" s="338" t="n"/>
      <c r="AL57" s="338" t="n"/>
      <c r="AM57" s="338" t="n"/>
      <c r="AN57" s="338" t="n"/>
      <c r="AO57" s="338" t="n"/>
      <c r="AP57" s="338" t="n"/>
      <c r="AQ57" s="338" t="n"/>
      <c r="AR57" s="338" t="n"/>
      <c r="AS57" s="338" t="n"/>
      <c r="AT57" s="338" t="n"/>
      <c r="AU57" s="338" t="n"/>
      <c r="AV57" s="338" t="n"/>
      <c r="AW57" s="338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8" t="n"/>
      <c r="BH57" s="338" t="n"/>
      <c r="BI57" s="338" t="n"/>
      <c r="BJ57" s="338" t="n"/>
      <c r="BK57" s="338" t="n"/>
      <c r="BL57" s="338" t="n"/>
      <c r="BM57" s="338" t="n"/>
      <c r="BN57" s="338" t="n"/>
      <c r="BO57" s="338" t="n"/>
      <c r="BP57" s="338" t="n"/>
      <c r="BQ57" s="338" t="n"/>
      <c r="BR57" s="338" t="n"/>
      <c r="BS57" s="338" t="n"/>
      <c r="BT57" s="338" t="n"/>
      <c r="BU57" s="338" t="n"/>
      <c r="BV57" s="338" t="n"/>
      <c r="BW57" s="338" t="n"/>
      <c r="BX57" s="338" t="n"/>
      <c r="BY57" s="338" t="n"/>
      <c r="BZ57" s="338" t="n"/>
      <c r="CA57" s="338" t="n"/>
      <c r="CB57" s="338" t="n"/>
      <c r="CC57" s="383" t="n"/>
      <c r="CF57" s="253" t="inlineStr">
        <is>
          <t>時間内</t>
        </is>
      </c>
      <c r="CG57" s="384" t="n"/>
      <c r="CH57" s="384" t="n"/>
      <c r="CI57" s="385" t="n"/>
      <c r="CJ57" s="386">
        <f>IF(Q56="作業者1",H59-H56,0)</f>
        <v/>
      </c>
      <c r="CK57" s="387" t="n"/>
      <c r="CL57" s="387" t="n"/>
      <c r="CM57" s="387" t="n"/>
      <c r="CN57" s="388" t="n"/>
      <c r="CP57" s="253" t="inlineStr">
        <is>
          <t>時間内</t>
        </is>
      </c>
      <c r="CQ57" s="384" t="n"/>
      <c r="CR57" s="384" t="n"/>
      <c r="CS57" s="385" t="n"/>
      <c r="CT57" s="386">
        <f>IF(Q56="作業者2",H59-H56,0)</f>
        <v/>
      </c>
      <c r="CU57" s="387" t="n"/>
      <c r="CV57" s="387" t="n"/>
      <c r="CW57" s="387" t="n"/>
      <c r="CX57" s="388" t="n"/>
      <c r="CZ57" s="253" t="inlineStr">
        <is>
          <t>時間内</t>
        </is>
      </c>
      <c r="DA57" s="384" t="n"/>
      <c r="DB57" s="384" t="n"/>
      <c r="DC57" s="385" t="n"/>
      <c r="DD57" s="386">
        <f>IF(Q56="作業者3",H59-H56,0)</f>
        <v/>
      </c>
      <c r="DE57" s="387" t="n"/>
      <c r="DF57" s="387" t="n"/>
      <c r="DG57" s="387" t="n"/>
      <c r="DH57" s="388" t="n"/>
      <c r="DJ57" s="253" t="inlineStr">
        <is>
          <t>時間内</t>
        </is>
      </c>
      <c r="DK57" s="384" t="n"/>
      <c r="DL57" s="384" t="n"/>
      <c r="DM57" s="385" t="n"/>
      <c r="DN57" s="386">
        <f>IF(Q56="作業者4",H59-H56,0)</f>
        <v/>
      </c>
      <c r="DO57" s="387" t="n"/>
      <c r="DP57" s="387" t="n"/>
      <c r="DQ57" s="387" t="n"/>
      <c r="DR57" s="388" t="n"/>
      <c r="DT57" s="253" t="inlineStr">
        <is>
          <t>時間内</t>
        </is>
      </c>
      <c r="DU57" s="384" t="n"/>
      <c r="DV57" s="384" t="n"/>
      <c r="DW57" s="385" t="n"/>
      <c r="DX57" s="386">
        <f>IF(Q56="作業者5",H59-H56,0)</f>
        <v/>
      </c>
      <c r="DY57" s="387" t="n"/>
      <c r="DZ57" s="387" t="n"/>
      <c r="EA57" s="387" t="n"/>
      <c r="EB57" s="388" t="n"/>
    </row>
    <row r="58" ht="9" customHeight="1" s="337">
      <c r="B58" s="350" t="n"/>
      <c r="C58" s="338" t="n"/>
      <c r="D58" s="380" t="n"/>
      <c r="E58" s="23" t="n"/>
      <c r="F58" s="338" t="n"/>
      <c r="G58" s="24" t="n"/>
      <c r="H58" s="23" t="n"/>
      <c r="I58" s="338" t="n"/>
      <c r="J58" s="24" t="n"/>
      <c r="K58" s="23" t="n"/>
      <c r="L58" s="338" t="n"/>
      <c r="M58" s="24" t="n"/>
      <c r="N58" s="23" t="n"/>
      <c r="O58" s="338" t="n"/>
      <c r="P58" s="24" t="n"/>
      <c r="Q58" s="382" t="n"/>
      <c r="R58" s="338" t="n"/>
      <c r="S58" s="380" t="n"/>
      <c r="T58" s="382" t="n"/>
      <c r="U58" s="338" t="n"/>
      <c r="V58" s="380" t="n"/>
      <c r="W58" s="382" t="n"/>
      <c r="X58" s="338" t="n"/>
      <c r="Y58" s="338" t="n"/>
      <c r="Z58" s="338" t="n"/>
      <c r="AA58" s="338" t="n"/>
      <c r="AB58" s="338" t="n"/>
      <c r="AC58" s="338" t="n"/>
      <c r="AD58" s="338" t="n"/>
      <c r="AE58" s="338" t="n"/>
      <c r="AF58" s="338" t="n"/>
      <c r="AG58" s="338" t="n"/>
      <c r="AH58" s="338" t="n"/>
      <c r="AI58" s="338" t="n"/>
      <c r="AJ58" s="338" t="n"/>
      <c r="AK58" s="338" t="n"/>
      <c r="AL58" s="338" t="n"/>
      <c r="AM58" s="338" t="n"/>
      <c r="AN58" s="338" t="n"/>
      <c r="AO58" s="338" t="n"/>
      <c r="AP58" s="338" t="n"/>
      <c r="AQ58" s="338" t="n"/>
      <c r="AR58" s="338" t="n"/>
      <c r="AS58" s="338" t="n"/>
      <c r="AT58" s="338" t="n"/>
      <c r="AU58" s="338" t="n"/>
      <c r="AV58" s="338" t="n"/>
      <c r="AW58" s="338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8" t="n"/>
      <c r="BH58" s="338" t="n"/>
      <c r="BI58" s="338" t="n"/>
      <c r="BJ58" s="338" t="n"/>
      <c r="BK58" s="338" t="n"/>
      <c r="BL58" s="338" t="n"/>
      <c r="BM58" s="338" t="n"/>
      <c r="BN58" s="338" t="n"/>
      <c r="BO58" s="338" t="n"/>
      <c r="BP58" s="338" t="n"/>
      <c r="BQ58" s="338" t="n"/>
      <c r="BR58" s="338" t="n"/>
      <c r="BS58" s="338" t="n"/>
      <c r="BT58" s="338" t="n"/>
      <c r="BU58" s="338" t="n"/>
      <c r="BV58" s="338" t="n"/>
      <c r="BW58" s="338" t="n"/>
      <c r="BX58" s="338" t="n"/>
      <c r="BY58" s="338" t="n"/>
      <c r="BZ58" s="338" t="n"/>
      <c r="CA58" s="338" t="n"/>
      <c r="CB58" s="338" t="n"/>
      <c r="CC58" s="383" t="n"/>
      <c r="CF58" s="253" t="inlineStr">
        <is>
          <t>時間外</t>
        </is>
      </c>
      <c r="CG58" s="384" t="n"/>
      <c r="CH58" s="384" t="n"/>
      <c r="CI58" s="385" t="n"/>
      <c r="CJ58" s="386">
        <f>IF(Q56="作業者1",K59-K56,0)</f>
        <v/>
      </c>
      <c r="CK58" s="387" t="n"/>
      <c r="CL58" s="387" t="n"/>
      <c r="CM58" s="387" t="n"/>
      <c r="CN58" s="388" t="n"/>
      <c r="CP58" s="253" t="inlineStr">
        <is>
          <t>時間外</t>
        </is>
      </c>
      <c r="CQ58" s="384" t="n"/>
      <c r="CR58" s="384" t="n"/>
      <c r="CS58" s="385" t="n"/>
      <c r="CT58" s="386">
        <f>IF(Q56="作業者2",K59-K56,0)</f>
        <v/>
      </c>
      <c r="CU58" s="387" t="n"/>
      <c r="CV58" s="387" t="n"/>
      <c r="CW58" s="387" t="n"/>
      <c r="CX58" s="388" t="n"/>
      <c r="CZ58" s="253" t="inlineStr">
        <is>
          <t>時間外</t>
        </is>
      </c>
      <c r="DA58" s="384" t="n"/>
      <c r="DB58" s="384" t="n"/>
      <c r="DC58" s="385" t="n"/>
      <c r="DD58" s="386">
        <f>IF(Q56="作業者3",K59-K56,0)</f>
        <v/>
      </c>
      <c r="DE58" s="387" t="n"/>
      <c r="DF58" s="387" t="n"/>
      <c r="DG58" s="387" t="n"/>
      <c r="DH58" s="388" t="n"/>
      <c r="DJ58" s="253" t="inlineStr">
        <is>
          <t>時間外</t>
        </is>
      </c>
      <c r="DK58" s="384" t="n"/>
      <c r="DL58" s="384" t="n"/>
      <c r="DM58" s="385" t="n"/>
      <c r="DN58" s="386">
        <f>IF(Q56="作業者4",K59-K56,0)</f>
        <v/>
      </c>
      <c r="DO58" s="387" t="n"/>
      <c r="DP58" s="387" t="n"/>
      <c r="DQ58" s="387" t="n"/>
      <c r="DR58" s="388" t="n"/>
      <c r="DT58" s="253" t="inlineStr">
        <is>
          <t>時間外</t>
        </is>
      </c>
      <c r="DU58" s="384" t="n"/>
      <c r="DV58" s="384" t="n"/>
      <c r="DW58" s="385" t="n"/>
      <c r="DX58" s="386">
        <f>IF(Q56="作業者5",K59-K56,0)</f>
        <v/>
      </c>
      <c r="DY58" s="387" t="n"/>
      <c r="DZ58" s="387" t="n"/>
      <c r="EA58" s="387" t="n"/>
      <c r="EB58" s="388" t="n"/>
    </row>
    <row r="59" ht="9" customHeight="1" s="337">
      <c r="B59" s="389" t="n"/>
      <c r="C59" s="390" t="n"/>
      <c r="D59" s="391" t="n"/>
      <c r="E59" s="392" t="n"/>
      <c r="F59" s="390" t="n"/>
      <c r="G59" s="391" t="n"/>
      <c r="H59" s="392" t="n"/>
      <c r="I59" s="390" t="n"/>
      <c r="J59" s="391" t="n"/>
      <c r="K59" s="392" t="n"/>
      <c r="L59" s="390" t="n"/>
      <c r="M59" s="391" t="n"/>
      <c r="N59" s="392" t="n"/>
      <c r="O59" s="390" t="n"/>
      <c r="P59" s="391" t="n"/>
      <c r="Q59" s="393" t="n"/>
      <c r="R59" s="390" t="n"/>
      <c r="S59" s="391" t="n"/>
      <c r="T59" s="393" t="n"/>
      <c r="U59" s="390" t="n"/>
      <c r="V59" s="391" t="n"/>
      <c r="W59" s="393" t="n"/>
      <c r="X59" s="390" t="n"/>
      <c r="Y59" s="390" t="n"/>
      <c r="Z59" s="390" t="n"/>
      <c r="AA59" s="390" t="n"/>
      <c r="AB59" s="390" t="n"/>
      <c r="AC59" s="390" t="n"/>
      <c r="AD59" s="390" t="n"/>
      <c r="AE59" s="390" t="n"/>
      <c r="AF59" s="390" t="n"/>
      <c r="AG59" s="390" t="n"/>
      <c r="AH59" s="390" t="n"/>
      <c r="AI59" s="390" t="n"/>
      <c r="AJ59" s="390" t="n"/>
      <c r="AK59" s="390" t="n"/>
      <c r="AL59" s="390" t="n"/>
      <c r="AM59" s="390" t="n"/>
      <c r="AN59" s="390" t="n"/>
      <c r="AO59" s="390" t="n"/>
      <c r="AP59" s="390" t="n"/>
      <c r="AQ59" s="390" t="n"/>
      <c r="AR59" s="390" t="n"/>
      <c r="AS59" s="390" t="n"/>
      <c r="AT59" s="390" t="n"/>
      <c r="AU59" s="390" t="n"/>
      <c r="AV59" s="390" t="n"/>
      <c r="AW59" s="390" t="n"/>
      <c r="AX59" s="390" t="n"/>
      <c r="AY59" s="390" t="n"/>
      <c r="AZ59" s="390" t="n"/>
      <c r="BA59" s="390" t="n"/>
      <c r="BB59" s="390" t="n"/>
      <c r="BC59" s="390" t="n"/>
      <c r="BD59" s="390" t="n"/>
      <c r="BE59" s="390" t="n"/>
      <c r="BF59" s="390" t="n"/>
      <c r="BG59" s="390" t="n"/>
      <c r="BH59" s="390" t="n"/>
      <c r="BI59" s="390" t="n"/>
      <c r="BJ59" s="390" t="n"/>
      <c r="BK59" s="390" t="n"/>
      <c r="BL59" s="390" t="n"/>
      <c r="BM59" s="390" t="n"/>
      <c r="BN59" s="390" t="n"/>
      <c r="BO59" s="390" t="n"/>
      <c r="BP59" s="390" t="n"/>
      <c r="BQ59" s="390" t="n"/>
      <c r="BR59" s="390" t="n"/>
      <c r="BS59" s="390" t="n"/>
      <c r="BT59" s="390" t="n"/>
      <c r="BU59" s="390" t="n"/>
      <c r="BV59" s="390" t="n"/>
      <c r="BW59" s="390" t="n"/>
      <c r="BX59" s="390" t="n"/>
      <c r="BY59" s="390" t="n"/>
      <c r="BZ59" s="390" t="n"/>
      <c r="CA59" s="390" t="n"/>
      <c r="CB59" s="390" t="n"/>
      <c r="CC59" s="394" t="n"/>
      <c r="CF59" s="254" t="inlineStr">
        <is>
          <t>休日</t>
        </is>
      </c>
      <c r="CG59" s="395" t="n"/>
      <c r="CH59" s="395" t="n"/>
      <c r="CI59" s="396" t="n"/>
      <c r="CJ59" s="397">
        <f>IF(Q56="作業者1",N59-N56,0)</f>
        <v/>
      </c>
      <c r="CK59" s="395" t="n"/>
      <c r="CL59" s="395" t="n"/>
      <c r="CM59" s="395" t="n"/>
      <c r="CN59" s="396" t="n"/>
      <c r="CP59" s="254" t="inlineStr">
        <is>
          <t>休日</t>
        </is>
      </c>
      <c r="CQ59" s="395" t="n"/>
      <c r="CR59" s="395" t="n"/>
      <c r="CS59" s="396" t="n"/>
      <c r="CT59" s="397">
        <f>IF(Q56="作業者2",N59-N56,0)</f>
        <v/>
      </c>
      <c r="CU59" s="395" t="n"/>
      <c r="CV59" s="395" t="n"/>
      <c r="CW59" s="395" t="n"/>
      <c r="CX59" s="396" t="n"/>
      <c r="CZ59" s="254" t="inlineStr">
        <is>
          <t>休日</t>
        </is>
      </c>
      <c r="DA59" s="395" t="n"/>
      <c r="DB59" s="395" t="n"/>
      <c r="DC59" s="396" t="n"/>
      <c r="DD59" s="397">
        <f>IF(Q56="作業者3",N59-N56,0)</f>
        <v/>
      </c>
      <c r="DE59" s="395" t="n"/>
      <c r="DF59" s="395" t="n"/>
      <c r="DG59" s="395" t="n"/>
      <c r="DH59" s="396" t="n"/>
      <c r="DJ59" s="254" t="inlineStr">
        <is>
          <t>休日</t>
        </is>
      </c>
      <c r="DK59" s="395" t="n"/>
      <c r="DL59" s="395" t="n"/>
      <c r="DM59" s="396" t="n"/>
      <c r="DN59" s="397">
        <f>IF(Q56="作業者4",N59-N56,0)</f>
        <v/>
      </c>
      <c r="DO59" s="395" t="n"/>
      <c r="DP59" s="395" t="n"/>
      <c r="DQ59" s="395" t="n"/>
      <c r="DR59" s="396" t="n"/>
      <c r="DT59" s="254" t="inlineStr">
        <is>
          <t>休日</t>
        </is>
      </c>
      <c r="DU59" s="395" t="n"/>
      <c r="DV59" s="395" t="n"/>
      <c r="DW59" s="396" t="n"/>
      <c r="DX59" s="397">
        <f>IF(Q56="作業者5",N59-N56,0)</f>
        <v/>
      </c>
      <c r="DY59" s="395" t="n"/>
      <c r="DZ59" s="395" t="n"/>
      <c r="EA59" s="395" t="n"/>
      <c r="EB59" s="396" t="n"/>
    </row>
    <row r="60" ht="9" customHeight="1" s="337">
      <c r="B60" s="398" t="n"/>
      <c r="C60" s="372" t="n"/>
      <c r="D60" s="373" t="n"/>
      <c r="E60" s="399" t="n"/>
      <c r="F60" s="372" t="n"/>
      <c r="G60" s="373" t="n"/>
      <c r="H60" s="399" t="n"/>
      <c r="I60" s="372" t="n"/>
      <c r="J60" s="373" t="n"/>
      <c r="K60" s="399" t="n"/>
      <c r="L60" s="372" t="n"/>
      <c r="M60" s="373" t="n"/>
      <c r="N60" s="399" t="n"/>
      <c r="O60" s="372" t="n"/>
      <c r="P60" s="373" t="n"/>
      <c r="Q60" s="371" t="n"/>
      <c r="R60" s="372" t="n"/>
      <c r="S60" s="373" t="n"/>
      <c r="T60" s="371" t="n"/>
      <c r="U60" s="372" t="n"/>
      <c r="V60" s="373" t="n"/>
      <c r="W60" s="443" t="n"/>
      <c r="X60" s="372" t="n"/>
      <c r="Y60" s="372" t="n"/>
      <c r="Z60" s="372" t="n"/>
      <c r="AA60" s="372" t="n"/>
      <c r="AB60" s="372" t="n"/>
      <c r="AC60" s="372" t="n"/>
      <c r="AD60" s="372" t="n"/>
      <c r="AE60" s="372" t="n"/>
      <c r="AF60" s="372" t="n"/>
      <c r="AG60" s="372" t="n"/>
      <c r="AH60" s="372" t="n"/>
      <c r="AI60" s="372" t="n"/>
      <c r="AJ60" s="372" t="n"/>
      <c r="AK60" s="372" t="n"/>
      <c r="AL60" s="372" t="n"/>
      <c r="AM60" s="372" t="n"/>
      <c r="AN60" s="372" t="n"/>
      <c r="AO60" s="372" t="n"/>
      <c r="AP60" s="372" t="n"/>
      <c r="AQ60" s="372" t="n"/>
      <c r="AR60" s="372" t="n"/>
      <c r="AS60" s="372" t="n"/>
      <c r="AT60" s="372" t="n"/>
      <c r="AU60" s="372" t="n"/>
      <c r="AV60" s="372" t="n"/>
      <c r="AW60" s="372" t="n"/>
      <c r="AX60" s="372" t="n"/>
      <c r="AY60" s="372" t="n"/>
      <c r="AZ60" s="372" t="n"/>
      <c r="BA60" s="372" t="n"/>
      <c r="BB60" s="372" t="n"/>
      <c r="BC60" s="372" t="n"/>
      <c r="BD60" s="372" t="n"/>
      <c r="BE60" s="372" t="n"/>
      <c r="BF60" s="372" t="n"/>
      <c r="BG60" s="372" t="n"/>
      <c r="BH60" s="372" t="n"/>
      <c r="BI60" s="372" t="n"/>
      <c r="BJ60" s="372" t="n"/>
      <c r="BK60" s="372" t="n"/>
      <c r="BL60" s="372" t="n"/>
      <c r="BM60" s="372" t="n"/>
      <c r="BN60" s="372" t="n"/>
      <c r="BO60" s="372" t="n"/>
      <c r="BP60" s="372" t="n"/>
      <c r="BQ60" s="372" t="n"/>
      <c r="BR60" s="372" t="n"/>
      <c r="BS60" s="372" t="n"/>
      <c r="BT60" s="372" t="n"/>
      <c r="BU60" s="372" t="n"/>
      <c r="BV60" s="372" t="n"/>
      <c r="BW60" s="372" t="n"/>
      <c r="BX60" s="372" t="n"/>
      <c r="BY60" s="372" t="n"/>
      <c r="BZ60" s="372" t="n"/>
      <c r="CA60" s="372" t="n"/>
      <c r="CB60" s="372" t="n"/>
      <c r="CC60" s="402" t="n"/>
      <c r="CF60" s="248" t="inlineStr">
        <is>
          <t>移動</t>
        </is>
      </c>
      <c r="CG60" s="377" t="n"/>
      <c r="CH60" s="377" t="n"/>
      <c r="CI60" s="378" t="n"/>
      <c r="CJ60" s="379">
        <f>IF(Q60="作業者1",E63-E60,0)</f>
        <v/>
      </c>
      <c r="CK60" s="377" t="n"/>
      <c r="CL60" s="377" t="n"/>
      <c r="CM60" s="377" t="n"/>
      <c r="CN60" s="378" t="n"/>
      <c r="CP60" s="248" t="inlineStr">
        <is>
          <t>移動</t>
        </is>
      </c>
      <c r="CQ60" s="377" t="n"/>
      <c r="CR60" s="377" t="n"/>
      <c r="CS60" s="378" t="n"/>
      <c r="CT60" s="379">
        <f>IF(Q60="作業者2",E63-E60,0)</f>
        <v/>
      </c>
      <c r="CU60" s="377" t="n"/>
      <c r="CV60" s="377" t="n"/>
      <c r="CW60" s="377" t="n"/>
      <c r="CX60" s="378" t="n"/>
      <c r="CZ60" s="259" t="inlineStr">
        <is>
          <t>移動</t>
        </is>
      </c>
      <c r="DA60" s="403" t="n"/>
      <c r="DB60" s="403" t="n"/>
      <c r="DC60" s="404" t="n"/>
      <c r="DD60" s="405">
        <f>IF(Q60="作業者3",E63-E60,0)</f>
        <v/>
      </c>
      <c r="DE60" s="406" t="n"/>
      <c r="DF60" s="406" t="n"/>
      <c r="DG60" s="406" t="n"/>
      <c r="DH60" s="407" t="n"/>
      <c r="DJ60" s="259" t="inlineStr">
        <is>
          <t>移動</t>
        </is>
      </c>
      <c r="DK60" s="403" t="n"/>
      <c r="DL60" s="403" t="n"/>
      <c r="DM60" s="404" t="n"/>
      <c r="DN60" s="379">
        <f>IF(Q60="作業者4",E63-E60,0)</f>
        <v/>
      </c>
      <c r="DO60" s="377" t="n"/>
      <c r="DP60" s="377" t="n"/>
      <c r="DQ60" s="377" t="n"/>
      <c r="DR60" s="378" t="n"/>
      <c r="DT60" s="259" t="inlineStr">
        <is>
          <t>移動</t>
        </is>
      </c>
      <c r="DU60" s="403" t="n"/>
      <c r="DV60" s="403" t="n"/>
      <c r="DW60" s="404" t="n"/>
      <c r="DX60" s="379">
        <f>IF(Q60="作業者5",E63-E60,0)</f>
        <v/>
      </c>
      <c r="DY60" s="377" t="n"/>
      <c r="DZ60" s="377" t="n"/>
      <c r="EA60" s="377" t="n"/>
      <c r="EB60" s="378" t="n"/>
    </row>
    <row r="61" ht="9" customHeight="1" s="337">
      <c r="B61" s="350" t="n"/>
      <c r="C61" s="338" t="n"/>
      <c r="D61" s="380" t="n"/>
      <c r="E61" s="381" t="n"/>
      <c r="F61" s="122" t="inlineStr">
        <is>
          <t>～</t>
        </is>
      </c>
      <c r="G61" s="22" t="n"/>
      <c r="H61" s="381" t="n"/>
      <c r="I61" s="122" t="inlineStr">
        <is>
          <t>～</t>
        </is>
      </c>
      <c r="J61" s="22" t="n"/>
      <c r="K61" s="381" t="n"/>
      <c r="L61" s="122" t="inlineStr">
        <is>
          <t>～</t>
        </is>
      </c>
      <c r="M61" s="22" t="n"/>
      <c r="N61" s="381" t="n"/>
      <c r="O61" s="122" t="inlineStr">
        <is>
          <t>～</t>
        </is>
      </c>
      <c r="P61" s="22" t="n"/>
      <c r="Q61" s="382" t="n"/>
      <c r="R61" s="338" t="n"/>
      <c r="S61" s="380" t="n"/>
      <c r="T61" s="382" t="n"/>
      <c r="U61" s="338" t="n"/>
      <c r="V61" s="380" t="n"/>
      <c r="W61" s="382" t="n"/>
      <c r="X61" s="338" t="n"/>
      <c r="Y61" s="338" t="n"/>
      <c r="Z61" s="338" t="n"/>
      <c r="AA61" s="338" t="n"/>
      <c r="AB61" s="338" t="n"/>
      <c r="AC61" s="338" t="n"/>
      <c r="AD61" s="338" t="n"/>
      <c r="AE61" s="338" t="n"/>
      <c r="AF61" s="338" t="n"/>
      <c r="AG61" s="338" t="n"/>
      <c r="AH61" s="338" t="n"/>
      <c r="AI61" s="338" t="n"/>
      <c r="AJ61" s="338" t="n"/>
      <c r="AK61" s="338" t="n"/>
      <c r="AL61" s="338" t="n"/>
      <c r="AM61" s="338" t="n"/>
      <c r="AN61" s="338" t="n"/>
      <c r="AO61" s="338" t="n"/>
      <c r="AP61" s="338" t="n"/>
      <c r="AQ61" s="338" t="n"/>
      <c r="AR61" s="338" t="n"/>
      <c r="AS61" s="338" t="n"/>
      <c r="AT61" s="338" t="n"/>
      <c r="AU61" s="338" t="n"/>
      <c r="AV61" s="338" t="n"/>
      <c r="AW61" s="338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8" t="n"/>
      <c r="BH61" s="338" t="n"/>
      <c r="BI61" s="338" t="n"/>
      <c r="BJ61" s="338" t="n"/>
      <c r="BK61" s="338" t="n"/>
      <c r="BL61" s="338" t="n"/>
      <c r="BM61" s="338" t="n"/>
      <c r="BN61" s="338" t="n"/>
      <c r="BO61" s="338" t="n"/>
      <c r="BP61" s="338" t="n"/>
      <c r="BQ61" s="338" t="n"/>
      <c r="BR61" s="338" t="n"/>
      <c r="BS61" s="338" t="n"/>
      <c r="BT61" s="338" t="n"/>
      <c r="BU61" s="338" t="n"/>
      <c r="BV61" s="338" t="n"/>
      <c r="BW61" s="338" t="n"/>
      <c r="BX61" s="338" t="n"/>
      <c r="BY61" s="338" t="n"/>
      <c r="BZ61" s="338" t="n"/>
      <c r="CA61" s="338" t="n"/>
      <c r="CB61" s="338" t="n"/>
      <c r="CC61" s="383" t="n"/>
      <c r="CF61" s="253" t="inlineStr">
        <is>
          <t>時間内</t>
        </is>
      </c>
      <c r="CG61" s="384" t="n"/>
      <c r="CH61" s="384" t="n"/>
      <c r="CI61" s="385" t="n"/>
      <c r="CJ61" s="386">
        <f>IF(Q60="作業者1",H63-H60,0)</f>
        <v/>
      </c>
      <c r="CK61" s="387" t="n"/>
      <c r="CL61" s="387" t="n"/>
      <c r="CM61" s="387" t="n"/>
      <c r="CN61" s="388" t="n"/>
      <c r="CP61" s="253" t="inlineStr">
        <is>
          <t>時間内</t>
        </is>
      </c>
      <c r="CQ61" s="384" t="n"/>
      <c r="CR61" s="384" t="n"/>
      <c r="CS61" s="385" t="n"/>
      <c r="CT61" s="386">
        <f>IF(Q60="作業者2",H63-H60,0)</f>
        <v/>
      </c>
      <c r="CU61" s="387" t="n"/>
      <c r="CV61" s="387" t="n"/>
      <c r="CW61" s="387" t="n"/>
      <c r="CX61" s="388" t="n"/>
      <c r="CZ61" s="253" t="inlineStr">
        <is>
          <t>時間内</t>
        </is>
      </c>
      <c r="DA61" s="384" t="n"/>
      <c r="DB61" s="384" t="n"/>
      <c r="DC61" s="385" t="n"/>
      <c r="DD61" s="386">
        <f>IF(Q60="作業者3",H63-H60,0)</f>
        <v/>
      </c>
      <c r="DE61" s="387" t="n"/>
      <c r="DF61" s="387" t="n"/>
      <c r="DG61" s="387" t="n"/>
      <c r="DH61" s="388" t="n"/>
      <c r="DJ61" s="253" t="inlineStr">
        <is>
          <t>時間内</t>
        </is>
      </c>
      <c r="DK61" s="384" t="n"/>
      <c r="DL61" s="384" t="n"/>
      <c r="DM61" s="385" t="n"/>
      <c r="DN61" s="386">
        <f>IF(Q60="作業者4",H63-H60,0)</f>
        <v/>
      </c>
      <c r="DO61" s="387" t="n"/>
      <c r="DP61" s="387" t="n"/>
      <c r="DQ61" s="387" t="n"/>
      <c r="DR61" s="388" t="n"/>
      <c r="DT61" s="253" t="inlineStr">
        <is>
          <t>時間内</t>
        </is>
      </c>
      <c r="DU61" s="384" t="n"/>
      <c r="DV61" s="384" t="n"/>
      <c r="DW61" s="385" t="n"/>
      <c r="DX61" s="386">
        <f>IF(Q60="作業者5",H63-H60,0)</f>
        <v/>
      </c>
      <c r="DY61" s="387" t="n"/>
      <c r="DZ61" s="387" t="n"/>
      <c r="EA61" s="387" t="n"/>
      <c r="EB61" s="388" t="n"/>
    </row>
    <row r="62" ht="9" customHeight="1" s="337">
      <c r="B62" s="350" t="n"/>
      <c r="C62" s="338" t="n"/>
      <c r="D62" s="380" t="n"/>
      <c r="E62" s="23" t="n"/>
      <c r="F62" s="338" t="n"/>
      <c r="G62" s="24" t="n"/>
      <c r="H62" s="23" t="n"/>
      <c r="I62" s="338" t="n"/>
      <c r="J62" s="24" t="n"/>
      <c r="K62" s="23" t="n"/>
      <c r="L62" s="338" t="n"/>
      <c r="M62" s="24" t="n"/>
      <c r="N62" s="23" t="n"/>
      <c r="O62" s="338" t="n"/>
      <c r="P62" s="24" t="n"/>
      <c r="Q62" s="382" t="n"/>
      <c r="R62" s="338" t="n"/>
      <c r="S62" s="380" t="n"/>
      <c r="T62" s="382" t="n"/>
      <c r="U62" s="338" t="n"/>
      <c r="V62" s="380" t="n"/>
      <c r="W62" s="382" t="n"/>
      <c r="X62" s="338" t="n"/>
      <c r="Y62" s="338" t="n"/>
      <c r="Z62" s="338" t="n"/>
      <c r="AA62" s="338" t="n"/>
      <c r="AB62" s="338" t="n"/>
      <c r="AC62" s="338" t="n"/>
      <c r="AD62" s="338" t="n"/>
      <c r="AE62" s="338" t="n"/>
      <c r="AF62" s="338" t="n"/>
      <c r="AG62" s="338" t="n"/>
      <c r="AH62" s="338" t="n"/>
      <c r="AI62" s="338" t="n"/>
      <c r="AJ62" s="338" t="n"/>
      <c r="AK62" s="338" t="n"/>
      <c r="AL62" s="338" t="n"/>
      <c r="AM62" s="338" t="n"/>
      <c r="AN62" s="338" t="n"/>
      <c r="AO62" s="338" t="n"/>
      <c r="AP62" s="338" t="n"/>
      <c r="AQ62" s="338" t="n"/>
      <c r="AR62" s="338" t="n"/>
      <c r="AS62" s="338" t="n"/>
      <c r="AT62" s="338" t="n"/>
      <c r="AU62" s="338" t="n"/>
      <c r="AV62" s="338" t="n"/>
      <c r="AW62" s="338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8" t="n"/>
      <c r="BH62" s="338" t="n"/>
      <c r="BI62" s="338" t="n"/>
      <c r="BJ62" s="338" t="n"/>
      <c r="BK62" s="338" t="n"/>
      <c r="BL62" s="338" t="n"/>
      <c r="BM62" s="338" t="n"/>
      <c r="BN62" s="338" t="n"/>
      <c r="BO62" s="338" t="n"/>
      <c r="BP62" s="338" t="n"/>
      <c r="BQ62" s="338" t="n"/>
      <c r="BR62" s="338" t="n"/>
      <c r="BS62" s="338" t="n"/>
      <c r="BT62" s="338" t="n"/>
      <c r="BU62" s="338" t="n"/>
      <c r="BV62" s="338" t="n"/>
      <c r="BW62" s="338" t="n"/>
      <c r="BX62" s="338" t="n"/>
      <c r="BY62" s="338" t="n"/>
      <c r="BZ62" s="338" t="n"/>
      <c r="CA62" s="338" t="n"/>
      <c r="CB62" s="338" t="n"/>
      <c r="CC62" s="383" t="n"/>
      <c r="CF62" s="253" t="inlineStr">
        <is>
          <t>時間外</t>
        </is>
      </c>
      <c r="CG62" s="384" t="n"/>
      <c r="CH62" s="384" t="n"/>
      <c r="CI62" s="385" t="n"/>
      <c r="CJ62" s="386">
        <f>IF(Q60="作業者1",K63-K60,0)</f>
        <v/>
      </c>
      <c r="CK62" s="387" t="n"/>
      <c r="CL62" s="387" t="n"/>
      <c r="CM62" s="387" t="n"/>
      <c r="CN62" s="388" t="n"/>
      <c r="CP62" s="253" t="inlineStr">
        <is>
          <t>時間外</t>
        </is>
      </c>
      <c r="CQ62" s="384" t="n"/>
      <c r="CR62" s="384" t="n"/>
      <c r="CS62" s="385" t="n"/>
      <c r="CT62" s="386">
        <f>IF(Q60="作業者2",K63-K60,0)</f>
        <v/>
      </c>
      <c r="CU62" s="387" t="n"/>
      <c r="CV62" s="387" t="n"/>
      <c r="CW62" s="387" t="n"/>
      <c r="CX62" s="388" t="n"/>
      <c r="CZ62" s="253" t="inlineStr">
        <is>
          <t>時間外</t>
        </is>
      </c>
      <c r="DA62" s="384" t="n"/>
      <c r="DB62" s="384" t="n"/>
      <c r="DC62" s="385" t="n"/>
      <c r="DD62" s="386">
        <f>IF(Q60="作業者3",K63-K60,0)</f>
        <v/>
      </c>
      <c r="DE62" s="387" t="n"/>
      <c r="DF62" s="387" t="n"/>
      <c r="DG62" s="387" t="n"/>
      <c r="DH62" s="388" t="n"/>
      <c r="DJ62" s="253" t="inlineStr">
        <is>
          <t>時間外</t>
        </is>
      </c>
      <c r="DK62" s="384" t="n"/>
      <c r="DL62" s="384" t="n"/>
      <c r="DM62" s="385" t="n"/>
      <c r="DN62" s="386">
        <f>IF(Q60="作業者4",K63-K60,0)</f>
        <v/>
      </c>
      <c r="DO62" s="387" t="n"/>
      <c r="DP62" s="387" t="n"/>
      <c r="DQ62" s="387" t="n"/>
      <c r="DR62" s="388" t="n"/>
      <c r="DT62" s="253" t="inlineStr">
        <is>
          <t>時間外</t>
        </is>
      </c>
      <c r="DU62" s="384" t="n"/>
      <c r="DV62" s="384" t="n"/>
      <c r="DW62" s="385" t="n"/>
      <c r="DX62" s="386">
        <f>IF(Q60="作業者5",K63-K60,0)</f>
        <v/>
      </c>
      <c r="DY62" s="387" t="n"/>
      <c r="DZ62" s="387" t="n"/>
      <c r="EA62" s="387" t="n"/>
      <c r="EB62" s="388" t="n"/>
    </row>
    <row r="63" ht="9" customHeight="1" s="337">
      <c r="B63" s="389" t="n"/>
      <c r="C63" s="390" t="n"/>
      <c r="D63" s="391" t="n"/>
      <c r="E63" s="392" t="n"/>
      <c r="F63" s="390" t="n"/>
      <c r="G63" s="391" t="n"/>
      <c r="H63" s="392" t="n"/>
      <c r="I63" s="390" t="n"/>
      <c r="J63" s="391" t="n"/>
      <c r="K63" s="392" t="n"/>
      <c r="L63" s="390" t="n"/>
      <c r="M63" s="391" t="n"/>
      <c r="N63" s="392" t="n"/>
      <c r="O63" s="390" t="n"/>
      <c r="P63" s="391" t="n"/>
      <c r="Q63" s="393" t="n"/>
      <c r="R63" s="390" t="n"/>
      <c r="S63" s="391" t="n"/>
      <c r="T63" s="393" t="n"/>
      <c r="U63" s="390" t="n"/>
      <c r="V63" s="391" t="n"/>
      <c r="W63" s="393" t="n"/>
      <c r="X63" s="390" t="n"/>
      <c r="Y63" s="390" t="n"/>
      <c r="Z63" s="390" t="n"/>
      <c r="AA63" s="390" t="n"/>
      <c r="AB63" s="390" t="n"/>
      <c r="AC63" s="390" t="n"/>
      <c r="AD63" s="390" t="n"/>
      <c r="AE63" s="390" t="n"/>
      <c r="AF63" s="390" t="n"/>
      <c r="AG63" s="390" t="n"/>
      <c r="AH63" s="390" t="n"/>
      <c r="AI63" s="390" t="n"/>
      <c r="AJ63" s="390" t="n"/>
      <c r="AK63" s="390" t="n"/>
      <c r="AL63" s="390" t="n"/>
      <c r="AM63" s="390" t="n"/>
      <c r="AN63" s="390" t="n"/>
      <c r="AO63" s="390" t="n"/>
      <c r="AP63" s="390" t="n"/>
      <c r="AQ63" s="390" t="n"/>
      <c r="AR63" s="390" t="n"/>
      <c r="AS63" s="390" t="n"/>
      <c r="AT63" s="390" t="n"/>
      <c r="AU63" s="390" t="n"/>
      <c r="AV63" s="390" t="n"/>
      <c r="AW63" s="390" t="n"/>
      <c r="AX63" s="390" t="n"/>
      <c r="AY63" s="390" t="n"/>
      <c r="AZ63" s="390" t="n"/>
      <c r="BA63" s="390" t="n"/>
      <c r="BB63" s="390" t="n"/>
      <c r="BC63" s="390" t="n"/>
      <c r="BD63" s="390" t="n"/>
      <c r="BE63" s="390" t="n"/>
      <c r="BF63" s="390" t="n"/>
      <c r="BG63" s="390" t="n"/>
      <c r="BH63" s="390" t="n"/>
      <c r="BI63" s="390" t="n"/>
      <c r="BJ63" s="390" t="n"/>
      <c r="BK63" s="390" t="n"/>
      <c r="BL63" s="390" t="n"/>
      <c r="BM63" s="390" t="n"/>
      <c r="BN63" s="390" t="n"/>
      <c r="BO63" s="390" t="n"/>
      <c r="BP63" s="390" t="n"/>
      <c r="BQ63" s="390" t="n"/>
      <c r="BR63" s="390" t="n"/>
      <c r="BS63" s="390" t="n"/>
      <c r="BT63" s="390" t="n"/>
      <c r="BU63" s="390" t="n"/>
      <c r="BV63" s="390" t="n"/>
      <c r="BW63" s="390" t="n"/>
      <c r="BX63" s="390" t="n"/>
      <c r="BY63" s="390" t="n"/>
      <c r="BZ63" s="390" t="n"/>
      <c r="CA63" s="390" t="n"/>
      <c r="CB63" s="390" t="n"/>
      <c r="CC63" s="394" t="n"/>
      <c r="CF63" s="254" t="inlineStr">
        <is>
          <t>休日</t>
        </is>
      </c>
      <c r="CG63" s="395" t="n"/>
      <c r="CH63" s="395" t="n"/>
      <c r="CI63" s="396" t="n"/>
      <c r="CJ63" s="397">
        <f>IF(Q60="作業者1",N63-N60,0)</f>
        <v/>
      </c>
      <c r="CK63" s="395" t="n"/>
      <c r="CL63" s="395" t="n"/>
      <c r="CM63" s="395" t="n"/>
      <c r="CN63" s="396" t="n"/>
      <c r="CP63" s="254" t="inlineStr">
        <is>
          <t>休日</t>
        </is>
      </c>
      <c r="CQ63" s="395" t="n"/>
      <c r="CR63" s="395" t="n"/>
      <c r="CS63" s="396" t="n"/>
      <c r="CT63" s="397">
        <f>IF(Q60="作業者2",N63-N60,0)</f>
        <v/>
      </c>
      <c r="CU63" s="395" t="n"/>
      <c r="CV63" s="395" t="n"/>
      <c r="CW63" s="395" t="n"/>
      <c r="CX63" s="396" t="n"/>
      <c r="CZ63" s="254" t="inlineStr">
        <is>
          <t>休日</t>
        </is>
      </c>
      <c r="DA63" s="395" t="n"/>
      <c r="DB63" s="395" t="n"/>
      <c r="DC63" s="396" t="n"/>
      <c r="DD63" s="397">
        <f>IF(Q60="作業者3",N63-N60,0)</f>
        <v/>
      </c>
      <c r="DE63" s="395" t="n"/>
      <c r="DF63" s="395" t="n"/>
      <c r="DG63" s="395" t="n"/>
      <c r="DH63" s="396" t="n"/>
      <c r="DJ63" s="254" t="inlineStr">
        <is>
          <t>休日</t>
        </is>
      </c>
      <c r="DK63" s="395" t="n"/>
      <c r="DL63" s="395" t="n"/>
      <c r="DM63" s="396" t="n"/>
      <c r="DN63" s="397">
        <f>IF(Q60="作業者4",N63-N60,0)</f>
        <v/>
      </c>
      <c r="DO63" s="395" t="n"/>
      <c r="DP63" s="395" t="n"/>
      <c r="DQ63" s="395" t="n"/>
      <c r="DR63" s="396" t="n"/>
      <c r="DT63" s="254" t="inlineStr">
        <is>
          <t>休日</t>
        </is>
      </c>
      <c r="DU63" s="395" t="n"/>
      <c r="DV63" s="395" t="n"/>
      <c r="DW63" s="396" t="n"/>
      <c r="DX63" s="397">
        <f>IF(Q60="作業者5",N63-N60,0)</f>
        <v/>
      </c>
      <c r="DY63" s="395" t="n"/>
      <c r="DZ63" s="395" t="n"/>
      <c r="EA63" s="395" t="n"/>
      <c r="EB63" s="396" t="n"/>
    </row>
    <row r="64" ht="9" customHeight="1" s="337">
      <c r="B64" s="410" t="n"/>
      <c r="C64" s="372" t="n"/>
      <c r="D64" s="373" t="n"/>
      <c r="E64" s="399" t="n"/>
      <c r="F64" s="372" t="n"/>
      <c r="G64" s="373" t="n"/>
      <c r="H64" s="399" t="n"/>
      <c r="I64" s="372" t="n"/>
      <c r="J64" s="373" t="n"/>
      <c r="K64" s="399" t="n"/>
      <c r="L64" s="372" t="n"/>
      <c r="M64" s="373" t="n"/>
      <c r="N64" s="399" t="n"/>
      <c r="O64" s="372" t="n"/>
      <c r="P64" s="373" t="n"/>
      <c r="Q64" s="444" t="n"/>
      <c r="R64" s="372" t="n"/>
      <c r="S64" s="445" t="n"/>
      <c r="T64" s="411" t="n"/>
      <c r="U64" s="372" t="n"/>
      <c r="V64" s="373" t="n"/>
      <c r="W64" s="443" t="n"/>
      <c r="X64" s="372" t="n"/>
      <c r="Y64" s="372" t="n"/>
      <c r="Z64" s="372" t="n"/>
      <c r="AA64" s="372" t="n"/>
      <c r="AB64" s="372" t="n"/>
      <c r="AC64" s="372" t="n"/>
      <c r="AD64" s="372" t="n"/>
      <c r="AE64" s="372" t="n"/>
      <c r="AF64" s="372" t="n"/>
      <c r="AG64" s="372" t="n"/>
      <c r="AH64" s="372" t="n"/>
      <c r="AI64" s="372" t="n"/>
      <c r="AJ64" s="372" t="n"/>
      <c r="AK64" s="372" t="n"/>
      <c r="AL64" s="372" t="n"/>
      <c r="AM64" s="372" t="n"/>
      <c r="AN64" s="372" t="n"/>
      <c r="AO64" s="372" t="n"/>
      <c r="AP64" s="372" t="n"/>
      <c r="AQ64" s="372" t="n"/>
      <c r="AR64" s="372" t="n"/>
      <c r="AS64" s="372" t="n"/>
      <c r="AT64" s="372" t="n"/>
      <c r="AU64" s="372" t="n"/>
      <c r="AV64" s="372" t="n"/>
      <c r="AW64" s="372" t="n"/>
      <c r="AX64" s="372" t="n"/>
      <c r="AY64" s="372" t="n"/>
      <c r="AZ64" s="372" t="n"/>
      <c r="BA64" s="372" t="n"/>
      <c r="BB64" s="372" t="n"/>
      <c r="BC64" s="372" t="n"/>
      <c r="BD64" s="372" t="n"/>
      <c r="BE64" s="372" t="n"/>
      <c r="BF64" s="372" t="n"/>
      <c r="BG64" s="372" t="n"/>
      <c r="BH64" s="372" t="n"/>
      <c r="BI64" s="372" t="n"/>
      <c r="BJ64" s="372" t="n"/>
      <c r="BK64" s="372" t="n"/>
      <c r="BL64" s="372" t="n"/>
      <c r="BM64" s="372" t="n"/>
      <c r="BN64" s="372" t="n"/>
      <c r="BO64" s="372" t="n"/>
      <c r="BP64" s="372" t="n"/>
      <c r="BQ64" s="372" t="n"/>
      <c r="BR64" s="372" t="n"/>
      <c r="BS64" s="372" t="n"/>
      <c r="BT64" s="372" t="n"/>
      <c r="BU64" s="372" t="n"/>
      <c r="BV64" s="372" t="n"/>
      <c r="BW64" s="372" t="n"/>
      <c r="BX64" s="372" t="n"/>
      <c r="BY64" s="372" t="n"/>
      <c r="BZ64" s="372" t="n"/>
      <c r="CA64" s="372" t="n"/>
      <c r="CB64" s="372" t="n"/>
      <c r="CC64" s="402" t="n"/>
      <c r="CF64" s="248" t="inlineStr">
        <is>
          <t>移動</t>
        </is>
      </c>
      <c r="CG64" s="377" t="n"/>
      <c r="CH64" s="377" t="n"/>
      <c r="CI64" s="378" t="n"/>
      <c r="CJ64" s="379">
        <f>IF(Q64="作業者1",E67-E64,0)</f>
        <v/>
      </c>
      <c r="CK64" s="377" t="n"/>
      <c r="CL64" s="377" t="n"/>
      <c r="CM64" s="377" t="n"/>
      <c r="CN64" s="378" t="n"/>
      <c r="CP64" s="248" t="inlineStr">
        <is>
          <t>移動</t>
        </is>
      </c>
      <c r="CQ64" s="377" t="n"/>
      <c r="CR64" s="377" t="n"/>
      <c r="CS64" s="378" t="n"/>
      <c r="CT64" s="379">
        <f>IF(Q64="作業者2",E67-E64,0)</f>
        <v/>
      </c>
      <c r="CU64" s="377" t="n"/>
      <c r="CV64" s="377" t="n"/>
      <c r="CW64" s="377" t="n"/>
      <c r="CX64" s="378" t="n"/>
      <c r="CZ64" s="259" t="inlineStr">
        <is>
          <t>移動</t>
        </is>
      </c>
      <c r="DA64" s="403" t="n"/>
      <c r="DB64" s="403" t="n"/>
      <c r="DC64" s="404" t="n"/>
      <c r="DD64" s="405">
        <f>IF(Q64="作業者3",E67-E64,0)</f>
        <v/>
      </c>
      <c r="DE64" s="406" t="n"/>
      <c r="DF64" s="406" t="n"/>
      <c r="DG64" s="406" t="n"/>
      <c r="DH64" s="407" t="n"/>
      <c r="DJ64" s="259" t="inlineStr">
        <is>
          <t>移動</t>
        </is>
      </c>
      <c r="DK64" s="403" t="n"/>
      <c r="DL64" s="403" t="n"/>
      <c r="DM64" s="404" t="n"/>
      <c r="DN64" s="379">
        <f>IF(Q64="作業者4",E67-E64,0)</f>
        <v/>
      </c>
      <c r="DO64" s="377" t="n"/>
      <c r="DP64" s="377" t="n"/>
      <c r="DQ64" s="377" t="n"/>
      <c r="DR64" s="378" t="n"/>
      <c r="DT64" s="259" t="inlineStr">
        <is>
          <t>移動</t>
        </is>
      </c>
      <c r="DU64" s="403" t="n"/>
      <c r="DV64" s="403" t="n"/>
      <c r="DW64" s="404" t="n"/>
      <c r="DX64" s="379">
        <f>IF(Q64="作業者5",E67-E64,0)</f>
        <v/>
      </c>
      <c r="DY64" s="377" t="n"/>
      <c r="DZ64" s="377" t="n"/>
      <c r="EA64" s="377" t="n"/>
      <c r="EB64" s="378" t="n"/>
    </row>
    <row r="65" ht="9" customHeight="1" s="337">
      <c r="B65" s="350" t="n"/>
      <c r="C65" s="338" t="n"/>
      <c r="D65" s="380" t="n"/>
      <c r="E65" s="381" t="n"/>
      <c r="F65" s="122" t="inlineStr">
        <is>
          <t>～</t>
        </is>
      </c>
      <c r="G65" s="22" t="n"/>
      <c r="H65" s="381" t="n"/>
      <c r="I65" s="122" t="inlineStr">
        <is>
          <t>～</t>
        </is>
      </c>
      <c r="J65" s="22" t="n"/>
      <c r="K65" s="381" t="n"/>
      <c r="L65" s="122" t="inlineStr">
        <is>
          <t>～</t>
        </is>
      </c>
      <c r="M65" s="22" t="n"/>
      <c r="N65" s="381" t="n"/>
      <c r="O65" s="122" t="inlineStr">
        <is>
          <t>～</t>
        </is>
      </c>
      <c r="P65" s="22" t="n"/>
      <c r="Q65" s="382" t="n"/>
      <c r="R65" s="338" t="n"/>
      <c r="S65" s="446" t="n"/>
      <c r="T65" s="382" t="n"/>
      <c r="U65" s="338" t="n"/>
      <c r="V65" s="380" t="n"/>
      <c r="W65" s="382" t="n"/>
      <c r="X65" s="338" t="n"/>
      <c r="Y65" s="338" t="n"/>
      <c r="Z65" s="338" t="n"/>
      <c r="AA65" s="338" t="n"/>
      <c r="AB65" s="338" t="n"/>
      <c r="AC65" s="338" t="n"/>
      <c r="AD65" s="338" t="n"/>
      <c r="AE65" s="338" t="n"/>
      <c r="AF65" s="338" t="n"/>
      <c r="AG65" s="338" t="n"/>
      <c r="AH65" s="338" t="n"/>
      <c r="AI65" s="338" t="n"/>
      <c r="AJ65" s="338" t="n"/>
      <c r="AK65" s="338" t="n"/>
      <c r="AL65" s="338" t="n"/>
      <c r="AM65" s="338" t="n"/>
      <c r="AN65" s="338" t="n"/>
      <c r="AO65" s="338" t="n"/>
      <c r="AP65" s="338" t="n"/>
      <c r="AQ65" s="338" t="n"/>
      <c r="AR65" s="338" t="n"/>
      <c r="AS65" s="338" t="n"/>
      <c r="AT65" s="338" t="n"/>
      <c r="AU65" s="338" t="n"/>
      <c r="AV65" s="338" t="n"/>
      <c r="AW65" s="338" t="n"/>
      <c r="AX65" s="338" t="n"/>
      <c r="AY65" s="338" t="n"/>
      <c r="AZ65" s="338" t="n"/>
      <c r="BA65" s="338" t="n"/>
      <c r="BB65" s="338" t="n"/>
      <c r="BC65" s="338" t="n"/>
      <c r="BD65" s="338" t="n"/>
      <c r="BE65" s="338" t="n"/>
      <c r="BF65" s="338" t="n"/>
      <c r="BG65" s="338" t="n"/>
      <c r="BH65" s="338" t="n"/>
      <c r="BI65" s="338" t="n"/>
      <c r="BJ65" s="338" t="n"/>
      <c r="BK65" s="338" t="n"/>
      <c r="BL65" s="338" t="n"/>
      <c r="BM65" s="338" t="n"/>
      <c r="BN65" s="338" t="n"/>
      <c r="BO65" s="338" t="n"/>
      <c r="BP65" s="338" t="n"/>
      <c r="BQ65" s="338" t="n"/>
      <c r="BR65" s="338" t="n"/>
      <c r="BS65" s="338" t="n"/>
      <c r="BT65" s="338" t="n"/>
      <c r="BU65" s="338" t="n"/>
      <c r="BV65" s="338" t="n"/>
      <c r="BW65" s="338" t="n"/>
      <c r="BX65" s="338" t="n"/>
      <c r="BY65" s="338" t="n"/>
      <c r="BZ65" s="338" t="n"/>
      <c r="CA65" s="338" t="n"/>
      <c r="CB65" s="338" t="n"/>
      <c r="CC65" s="383" t="n"/>
      <c r="CF65" s="253" t="inlineStr">
        <is>
          <t>時間内</t>
        </is>
      </c>
      <c r="CG65" s="384" t="n"/>
      <c r="CH65" s="384" t="n"/>
      <c r="CI65" s="385" t="n"/>
      <c r="CJ65" s="386">
        <f>IF(Q64="作業者1",H67-H64,0)</f>
        <v/>
      </c>
      <c r="CK65" s="387" t="n"/>
      <c r="CL65" s="387" t="n"/>
      <c r="CM65" s="387" t="n"/>
      <c r="CN65" s="388" t="n"/>
      <c r="CP65" s="253" t="inlineStr">
        <is>
          <t>時間内</t>
        </is>
      </c>
      <c r="CQ65" s="384" t="n"/>
      <c r="CR65" s="384" t="n"/>
      <c r="CS65" s="385" t="n"/>
      <c r="CT65" s="386">
        <f>IF(Q64="作業者2",H67-H64,0)</f>
        <v/>
      </c>
      <c r="CU65" s="387" t="n"/>
      <c r="CV65" s="387" t="n"/>
      <c r="CW65" s="387" t="n"/>
      <c r="CX65" s="388" t="n"/>
      <c r="CZ65" s="253" t="inlineStr">
        <is>
          <t>時間内</t>
        </is>
      </c>
      <c r="DA65" s="384" t="n"/>
      <c r="DB65" s="384" t="n"/>
      <c r="DC65" s="385" t="n"/>
      <c r="DD65" s="386">
        <f>IF(Q64="作業者3",H67-H64,0)</f>
        <v/>
      </c>
      <c r="DE65" s="387" t="n"/>
      <c r="DF65" s="387" t="n"/>
      <c r="DG65" s="387" t="n"/>
      <c r="DH65" s="388" t="n"/>
      <c r="DJ65" s="253" t="inlineStr">
        <is>
          <t>時間内</t>
        </is>
      </c>
      <c r="DK65" s="384" t="n"/>
      <c r="DL65" s="384" t="n"/>
      <c r="DM65" s="385" t="n"/>
      <c r="DN65" s="386">
        <f>IF(Q64="作業者4",H67-H64,0)</f>
        <v/>
      </c>
      <c r="DO65" s="387" t="n"/>
      <c r="DP65" s="387" t="n"/>
      <c r="DQ65" s="387" t="n"/>
      <c r="DR65" s="388" t="n"/>
      <c r="DT65" s="253" t="inlineStr">
        <is>
          <t>時間内</t>
        </is>
      </c>
      <c r="DU65" s="384" t="n"/>
      <c r="DV65" s="384" t="n"/>
      <c r="DW65" s="385" t="n"/>
      <c r="DX65" s="386">
        <f>IF(Q64="作業者5",H67-H64,0)</f>
        <v/>
      </c>
      <c r="DY65" s="387" t="n"/>
      <c r="DZ65" s="387" t="n"/>
      <c r="EA65" s="387" t="n"/>
      <c r="EB65" s="388" t="n"/>
    </row>
    <row r="66" ht="9" customHeight="1" s="337">
      <c r="B66" s="350" t="n"/>
      <c r="C66" s="338" t="n"/>
      <c r="D66" s="380" t="n"/>
      <c r="E66" s="23" t="n"/>
      <c r="F66" s="338" t="n"/>
      <c r="G66" s="24" t="n"/>
      <c r="H66" s="23" t="n"/>
      <c r="I66" s="338" t="n"/>
      <c r="J66" s="24" t="n"/>
      <c r="K66" s="23" t="n"/>
      <c r="L66" s="338" t="n"/>
      <c r="M66" s="24" t="n"/>
      <c r="N66" s="23" t="n"/>
      <c r="O66" s="338" t="n"/>
      <c r="P66" s="24" t="n"/>
      <c r="Q66" s="382" t="n"/>
      <c r="R66" s="338" t="n"/>
      <c r="S66" s="446" t="n"/>
      <c r="T66" s="382" t="n"/>
      <c r="U66" s="338" t="n"/>
      <c r="V66" s="380" t="n"/>
      <c r="W66" s="382" t="n"/>
      <c r="X66" s="338" t="n"/>
      <c r="Y66" s="338" t="n"/>
      <c r="Z66" s="338" t="n"/>
      <c r="AA66" s="338" t="n"/>
      <c r="AB66" s="338" t="n"/>
      <c r="AC66" s="338" t="n"/>
      <c r="AD66" s="338" t="n"/>
      <c r="AE66" s="338" t="n"/>
      <c r="AF66" s="338" t="n"/>
      <c r="AG66" s="338" t="n"/>
      <c r="AH66" s="338" t="n"/>
      <c r="AI66" s="338" t="n"/>
      <c r="AJ66" s="338" t="n"/>
      <c r="AK66" s="338" t="n"/>
      <c r="AL66" s="338" t="n"/>
      <c r="AM66" s="338" t="n"/>
      <c r="AN66" s="338" t="n"/>
      <c r="AO66" s="338" t="n"/>
      <c r="AP66" s="338" t="n"/>
      <c r="AQ66" s="338" t="n"/>
      <c r="AR66" s="338" t="n"/>
      <c r="AS66" s="338" t="n"/>
      <c r="AT66" s="338" t="n"/>
      <c r="AU66" s="338" t="n"/>
      <c r="AV66" s="338" t="n"/>
      <c r="AW66" s="338" t="n"/>
      <c r="AX66" s="338" t="n"/>
      <c r="AY66" s="338" t="n"/>
      <c r="AZ66" s="338" t="n"/>
      <c r="BA66" s="338" t="n"/>
      <c r="BB66" s="338" t="n"/>
      <c r="BC66" s="338" t="n"/>
      <c r="BD66" s="338" t="n"/>
      <c r="BE66" s="338" t="n"/>
      <c r="BF66" s="338" t="n"/>
      <c r="BG66" s="338" t="n"/>
      <c r="BH66" s="338" t="n"/>
      <c r="BI66" s="338" t="n"/>
      <c r="BJ66" s="338" t="n"/>
      <c r="BK66" s="338" t="n"/>
      <c r="BL66" s="338" t="n"/>
      <c r="BM66" s="338" t="n"/>
      <c r="BN66" s="338" t="n"/>
      <c r="BO66" s="338" t="n"/>
      <c r="BP66" s="338" t="n"/>
      <c r="BQ66" s="338" t="n"/>
      <c r="BR66" s="338" t="n"/>
      <c r="BS66" s="338" t="n"/>
      <c r="BT66" s="338" t="n"/>
      <c r="BU66" s="338" t="n"/>
      <c r="BV66" s="338" t="n"/>
      <c r="BW66" s="338" t="n"/>
      <c r="BX66" s="338" t="n"/>
      <c r="BY66" s="338" t="n"/>
      <c r="BZ66" s="338" t="n"/>
      <c r="CA66" s="338" t="n"/>
      <c r="CB66" s="338" t="n"/>
      <c r="CC66" s="383" t="n"/>
      <c r="CF66" s="253" t="inlineStr">
        <is>
          <t>時間外</t>
        </is>
      </c>
      <c r="CG66" s="384" t="n"/>
      <c r="CH66" s="384" t="n"/>
      <c r="CI66" s="385" t="n"/>
      <c r="CJ66" s="386">
        <f>IF(Q64="作業者1",K67-K64,0)</f>
        <v/>
      </c>
      <c r="CK66" s="387" t="n"/>
      <c r="CL66" s="387" t="n"/>
      <c r="CM66" s="387" t="n"/>
      <c r="CN66" s="388" t="n"/>
      <c r="CP66" s="253" t="inlineStr">
        <is>
          <t>時間外</t>
        </is>
      </c>
      <c r="CQ66" s="384" t="n"/>
      <c r="CR66" s="384" t="n"/>
      <c r="CS66" s="385" t="n"/>
      <c r="CT66" s="386">
        <f>IF(Q64="作業者2",K67-K64,0)</f>
        <v/>
      </c>
      <c r="CU66" s="387" t="n"/>
      <c r="CV66" s="387" t="n"/>
      <c r="CW66" s="387" t="n"/>
      <c r="CX66" s="388" t="n"/>
      <c r="CZ66" s="253" t="inlineStr">
        <is>
          <t>時間外</t>
        </is>
      </c>
      <c r="DA66" s="384" t="n"/>
      <c r="DB66" s="384" t="n"/>
      <c r="DC66" s="385" t="n"/>
      <c r="DD66" s="386">
        <f>IF(Q64="作業者3",K67-K64,0)</f>
        <v/>
      </c>
      <c r="DE66" s="387" t="n"/>
      <c r="DF66" s="387" t="n"/>
      <c r="DG66" s="387" t="n"/>
      <c r="DH66" s="388" t="n"/>
      <c r="DJ66" s="253" t="inlineStr">
        <is>
          <t>時間外</t>
        </is>
      </c>
      <c r="DK66" s="384" t="n"/>
      <c r="DL66" s="384" t="n"/>
      <c r="DM66" s="385" t="n"/>
      <c r="DN66" s="386">
        <f>IF(Q64="作業者4",K67-K64,0)</f>
        <v/>
      </c>
      <c r="DO66" s="387" t="n"/>
      <c r="DP66" s="387" t="n"/>
      <c r="DQ66" s="387" t="n"/>
      <c r="DR66" s="388" t="n"/>
      <c r="DT66" s="253" t="inlineStr">
        <is>
          <t>時間外</t>
        </is>
      </c>
      <c r="DU66" s="384" t="n"/>
      <c r="DV66" s="384" t="n"/>
      <c r="DW66" s="385" t="n"/>
      <c r="DX66" s="386">
        <f>IF(Q64="作業者5",K67-K64,0)</f>
        <v/>
      </c>
      <c r="DY66" s="387" t="n"/>
      <c r="DZ66" s="387" t="n"/>
      <c r="EA66" s="387" t="n"/>
      <c r="EB66" s="388" t="n"/>
    </row>
    <row r="67" ht="9" customHeight="1" s="337">
      <c r="B67" s="353" t="n"/>
      <c r="C67" s="339" t="n"/>
      <c r="D67" s="364" t="n"/>
      <c r="E67" s="412" t="n"/>
      <c r="F67" s="339" t="n"/>
      <c r="G67" s="364" t="n"/>
      <c r="H67" s="412" t="n"/>
      <c r="I67" s="339" t="n"/>
      <c r="J67" s="364" t="n"/>
      <c r="K67" s="412" t="n"/>
      <c r="L67" s="339" t="n"/>
      <c r="M67" s="364" t="n"/>
      <c r="N67" s="412" t="n"/>
      <c r="O67" s="339" t="n"/>
      <c r="P67" s="364" t="n"/>
      <c r="Q67" s="393" t="n"/>
      <c r="R67" s="390" t="n"/>
      <c r="S67" s="447" t="n"/>
      <c r="T67" s="365" t="n"/>
      <c r="U67" s="339" t="n"/>
      <c r="V67" s="364" t="n"/>
      <c r="W67" s="393" t="n"/>
      <c r="X67" s="390" t="n"/>
      <c r="Y67" s="390" t="n"/>
      <c r="Z67" s="390" t="n"/>
      <c r="AA67" s="390" t="n"/>
      <c r="AB67" s="390" t="n"/>
      <c r="AC67" s="390" t="n"/>
      <c r="AD67" s="390" t="n"/>
      <c r="AE67" s="390" t="n"/>
      <c r="AF67" s="390" t="n"/>
      <c r="AG67" s="390" t="n"/>
      <c r="AH67" s="390" t="n"/>
      <c r="AI67" s="390" t="n"/>
      <c r="AJ67" s="390" t="n"/>
      <c r="AK67" s="390" t="n"/>
      <c r="AL67" s="390" t="n"/>
      <c r="AM67" s="390" t="n"/>
      <c r="AN67" s="390" t="n"/>
      <c r="AO67" s="390" t="n"/>
      <c r="AP67" s="390" t="n"/>
      <c r="AQ67" s="390" t="n"/>
      <c r="AR67" s="390" t="n"/>
      <c r="AS67" s="390" t="n"/>
      <c r="AT67" s="390" t="n"/>
      <c r="AU67" s="390" t="n"/>
      <c r="AV67" s="390" t="n"/>
      <c r="AW67" s="390" t="n"/>
      <c r="AX67" s="390" t="n"/>
      <c r="AY67" s="390" t="n"/>
      <c r="AZ67" s="390" t="n"/>
      <c r="BA67" s="390" t="n"/>
      <c r="BB67" s="390" t="n"/>
      <c r="BC67" s="390" t="n"/>
      <c r="BD67" s="390" t="n"/>
      <c r="BE67" s="390" t="n"/>
      <c r="BF67" s="390" t="n"/>
      <c r="BG67" s="390" t="n"/>
      <c r="BH67" s="390" t="n"/>
      <c r="BI67" s="390" t="n"/>
      <c r="BJ67" s="390" t="n"/>
      <c r="BK67" s="390" t="n"/>
      <c r="BL67" s="390" t="n"/>
      <c r="BM67" s="390" t="n"/>
      <c r="BN67" s="390" t="n"/>
      <c r="BO67" s="390" t="n"/>
      <c r="BP67" s="390" t="n"/>
      <c r="BQ67" s="390" t="n"/>
      <c r="BR67" s="390" t="n"/>
      <c r="BS67" s="390" t="n"/>
      <c r="BT67" s="390" t="n"/>
      <c r="BU67" s="390" t="n"/>
      <c r="BV67" s="390" t="n"/>
      <c r="BW67" s="390" t="n"/>
      <c r="BX67" s="390" t="n"/>
      <c r="BY67" s="390" t="n"/>
      <c r="BZ67" s="390" t="n"/>
      <c r="CA67" s="390" t="n"/>
      <c r="CB67" s="390" t="n"/>
      <c r="CC67" s="394" t="n"/>
      <c r="CF67" s="254" t="inlineStr">
        <is>
          <t>休日</t>
        </is>
      </c>
      <c r="CG67" s="395" t="n"/>
      <c r="CH67" s="395" t="n"/>
      <c r="CI67" s="396" t="n"/>
      <c r="CJ67" s="397">
        <f>IF(Q64="作業者1",N67-N64,0)</f>
        <v/>
      </c>
      <c r="CK67" s="395" t="n"/>
      <c r="CL67" s="395" t="n"/>
      <c r="CM67" s="395" t="n"/>
      <c r="CN67" s="396" t="n"/>
      <c r="CP67" s="254" t="inlineStr">
        <is>
          <t>休日</t>
        </is>
      </c>
      <c r="CQ67" s="395" t="n"/>
      <c r="CR67" s="395" t="n"/>
      <c r="CS67" s="396" t="n"/>
      <c r="CT67" s="397">
        <f>IF(Q64="作業者2",N67-N64,0)</f>
        <v/>
      </c>
      <c r="CU67" s="395" t="n"/>
      <c r="CV67" s="395" t="n"/>
      <c r="CW67" s="395" t="n"/>
      <c r="CX67" s="396" t="n"/>
      <c r="CZ67" s="254" t="inlineStr">
        <is>
          <t>休日</t>
        </is>
      </c>
      <c r="DA67" s="395" t="n"/>
      <c r="DB67" s="395" t="n"/>
      <c r="DC67" s="396" t="n"/>
      <c r="DD67" s="397">
        <f>IF(Q64="作業者3",N67-N64,0)</f>
        <v/>
      </c>
      <c r="DE67" s="395" t="n"/>
      <c r="DF67" s="395" t="n"/>
      <c r="DG67" s="395" t="n"/>
      <c r="DH67" s="396" t="n"/>
      <c r="DJ67" s="254" t="inlineStr">
        <is>
          <t>休日</t>
        </is>
      </c>
      <c r="DK67" s="395" t="n"/>
      <c r="DL67" s="395" t="n"/>
      <c r="DM67" s="396" t="n"/>
      <c r="DN67" s="397">
        <f>IF(Q64="作業者4",N67-N64,0)</f>
        <v/>
      </c>
      <c r="DO67" s="395" t="n"/>
      <c r="DP67" s="395" t="n"/>
      <c r="DQ67" s="395" t="n"/>
      <c r="DR67" s="396" t="n"/>
      <c r="DT67" s="254" t="inlineStr">
        <is>
          <t>休日</t>
        </is>
      </c>
      <c r="DU67" s="395" t="n"/>
      <c r="DV67" s="395" t="n"/>
      <c r="DW67" s="396" t="n"/>
      <c r="DX67" s="397">
        <f>IF(Q64="作業者5",N67-N64,0)</f>
        <v/>
      </c>
      <c r="DY67" s="395" t="n"/>
      <c r="DZ67" s="395" t="n"/>
      <c r="EA67" s="395" t="n"/>
      <c r="EB67" s="396" t="n"/>
    </row>
    <row r="68" ht="9.75" customHeight="1" s="337">
      <c r="B68" s="413" t="n"/>
      <c r="C68" s="413" t="n"/>
      <c r="D68" s="413" t="n"/>
      <c r="E68" s="414" t="n"/>
      <c r="F68" s="27" t="n"/>
      <c r="G68" s="27" t="n"/>
      <c r="H68" s="414" t="n"/>
      <c r="I68" s="27" t="n"/>
      <c r="J68" s="27" t="n"/>
      <c r="K68" s="414" t="n"/>
      <c r="L68" s="27" t="n"/>
      <c r="M68" s="27" t="n"/>
      <c r="N68" s="414" t="n"/>
      <c r="O68" s="27" t="n"/>
      <c r="P68" s="27" t="n"/>
      <c r="Q68" s="128" t="n"/>
      <c r="R68" s="128" t="n"/>
      <c r="S68" s="128" t="n"/>
      <c r="T68" s="128" t="n"/>
      <c r="U68" s="128" t="n"/>
      <c r="V68" s="128" t="n"/>
      <c r="W68" s="29" t="n"/>
      <c r="X68" s="29" t="n"/>
      <c r="Y68" s="29" t="n"/>
      <c r="Z68" s="29" t="n"/>
      <c r="AA68" s="29" t="n"/>
      <c r="AB68" s="29" t="n"/>
      <c r="AC68" s="29" t="n"/>
      <c r="AD68" s="29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14" t="n"/>
      <c r="BX68" s="14" t="n"/>
      <c r="BY68" s="14" t="n"/>
      <c r="BZ68" s="14" t="n"/>
      <c r="CA68" s="415" t="n"/>
      <c r="CB68" s="87" t="n"/>
      <c r="CC68" s="87" t="n"/>
      <c r="CD68" s="87" t="n"/>
      <c r="CE68" s="416" t="n"/>
      <c r="CF68" s="34" t="n"/>
      <c r="CG68" s="34" t="n"/>
    </row>
    <row r="69" ht="14.1" customHeight="1" s="337">
      <c r="B69" s="417" t="inlineStr">
        <is>
          <t>月／日</t>
        </is>
      </c>
      <c r="C69" s="342" t="n"/>
      <c r="D69" s="356" t="n"/>
      <c r="E69" s="357" t="inlineStr">
        <is>
          <t>移 動</t>
        </is>
      </c>
      <c r="F69" s="342" t="n"/>
      <c r="G69" s="356" t="n"/>
      <c r="H69" s="358" t="inlineStr">
        <is>
          <t>作業内　(平日)</t>
        </is>
      </c>
      <c r="I69" s="342" t="n"/>
      <c r="J69" s="356" t="n"/>
      <c r="K69" s="358" t="inlineStr">
        <is>
          <t>作業外　(平日)</t>
        </is>
      </c>
      <c r="L69" s="342" t="n"/>
      <c r="M69" s="356" t="n"/>
      <c r="N69" s="357" t="inlineStr">
        <is>
          <t>休日</t>
        </is>
      </c>
      <c r="O69" s="342" t="n"/>
      <c r="P69" s="356" t="n"/>
      <c r="Q69" s="359" t="inlineStr">
        <is>
          <t>作業者</t>
        </is>
      </c>
      <c r="R69" s="342" t="n"/>
      <c r="S69" s="356" t="n"/>
      <c r="T69" s="359" t="inlineStr">
        <is>
          <t>場  所</t>
        </is>
      </c>
      <c r="U69" s="342" t="n"/>
      <c r="V69" s="356" t="n"/>
      <c r="W69" s="360" t="inlineStr">
        <is>
          <t xml:space="preserve">   作　　　　    　　業　　　    　 　内　　　  　  　　容　</t>
        </is>
      </c>
      <c r="X69" s="342" t="n"/>
      <c r="Y69" s="342" t="n"/>
      <c r="Z69" s="342" t="n"/>
      <c r="AA69" s="342" t="n"/>
      <c r="AB69" s="342" t="n"/>
      <c r="AC69" s="342" t="n"/>
      <c r="AD69" s="342" t="n"/>
      <c r="AE69" s="342" t="n"/>
      <c r="AF69" s="342" t="n"/>
      <c r="AG69" s="342" t="n"/>
      <c r="AH69" s="342" t="n"/>
      <c r="AI69" s="342" t="n"/>
      <c r="AJ69" s="342" t="n"/>
      <c r="AK69" s="342" t="n"/>
      <c r="AL69" s="342" t="n"/>
      <c r="AM69" s="342" t="n"/>
      <c r="AN69" s="342" t="n"/>
      <c r="AO69" s="342" t="n"/>
      <c r="AP69" s="342" t="n"/>
      <c r="AQ69" s="342" t="n"/>
      <c r="AR69" s="342" t="n"/>
      <c r="AS69" s="342" t="n"/>
      <c r="AT69" s="342" t="n"/>
      <c r="AU69" s="342" t="n"/>
      <c r="AV69" s="342" t="n"/>
      <c r="AW69" s="342" t="n"/>
      <c r="AX69" s="342" t="n"/>
      <c r="AY69" s="342" t="n"/>
      <c r="AZ69" s="342" t="n"/>
      <c r="BA69" s="342" t="n"/>
      <c r="BB69" s="342" t="n"/>
      <c r="BC69" s="342" t="n"/>
      <c r="BD69" s="342" t="n"/>
      <c r="BE69" s="342" t="n"/>
      <c r="BF69" s="342" t="n"/>
      <c r="BG69" s="342" t="n"/>
      <c r="BH69" s="342" t="n"/>
      <c r="BI69" s="342" t="n"/>
      <c r="BJ69" s="342" t="n"/>
      <c r="BK69" s="342" t="n"/>
      <c r="BL69" s="342" t="n"/>
      <c r="BM69" s="342" t="n"/>
      <c r="BN69" s="342" t="n"/>
      <c r="BO69" s="342" t="n"/>
      <c r="BP69" s="342" t="n"/>
      <c r="BQ69" s="342" t="n"/>
      <c r="BR69" s="342" t="n"/>
      <c r="BS69" s="342" t="n"/>
      <c r="BT69" s="342" t="n"/>
      <c r="BU69" s="342" t="n"/>
      <c r="BV69" s="342" t="n"/>
      <c r="BW69" s="342" t="n"/>
      <c r="BX69" s="342" t="n"/>
      <c r="BY69" s="342" t="n"/>
      <c r="BZ69" s="342" t="n"/>
      <c r="CA69" s="342" t="n"/>
      <c r="CB69" s="342" t="n"/>
      <c r="CC69" s="343" t="n"/>
      <c r="CF69" s="361" t="inlineStr">
        <is>
          <t>所要時間　作業者1</t>
        </is>
      </c>
      <c r="CG69" s="362" t="n"/>
      <c r="CH69" s="362" t="n"/>
      <c r="CI69" s="362" t="n"/>
      <c r="CJ69" s="362" t="n"/>
      <c r="CK69" s="362" t="n"/>
      <c r="CL69" s="362" t="n"/>
      <c r="CM69" s="362" t="n"/>
      <c r="CN69" s="363" t="n"/>
      <c r="CP69" s="361" t="inlineStr">
        <is>
          <t>所要時間　作業者2</t>
        </is>
      </c>
      <c r="CQ69" s="362" t="n"/>
      <c r="CR69" s="362" t="n"/>
      <c r="CS69" s="362" t="n"/>
      <c r="CT69" s="362" t="n"/>
      <c r="CU69" s="362" t="n"/>
      <c r="CV69" s="362" t="n"/>
      <c r="CW69" s="362" t="n"/>
      <c r="CX69" s="363" t="n"/>
      <c r="CZ69" s="361" t="inlineStr">
        <is>
          <t>所要時間　作業者3</t>
        </is>
      </c>
      <c r="DA69" s="362" t="n"/>
      <c r="DB69" s="362" t="n"/>
      <c r="DC69" s="362" t="n"/>
      <c r="DD69" s="362" t="n"/>
      <c r="DE69" s="362" t="n"/>
      <c r="DF69" s="362" t="n"/>
      <c r="DG69" s="362" t="n"/>
      <c r="DH69" s="363" t="n"/>
      <c r="DJ69" s="361" t="inlineStr">
        <is>
          <t>所要時間　作業者4</t>
        </is>
      </c>
      <c r="DK69" s="362" t="n"/>
      <c r="DL69" s="362" t="n"/>
      <c r="DM69" s="362" t="n"/>
      <c r="DN69" s="362" t="n"/>
      <c r="DO69" s="362" t="n"/>
      <c r="DP69" s="362" t="n"/>
      <c r="DQ69" s="362" t="n"/>
      <c r="DR69" s="363" t="n"/>
      <c r="DT69" s="361" t="inlineStr">
        <is>
          <t>所要時間　作業者5</t>
        </is>
      </c>
      <c r="DU69" s="362" t="n"/>
      <c r="DV69" s="362" t="n"/>
      <c r="DW69" s="362" t="n"/>
      <c r="DX69" s="362" t="n"/>
      <c r="DY69" s="362" t="n"/>
      <c r="DZ69" s="362" t="n"/>
      <c r="EA69" s="362" t="n"/>
      <c r="EB69" s="363" t="n"/>
    </row>
    <row r="70" ht="14.1" customHeight="1" s="337">
      <c r="B70" s="353" t="n"/>
      <c r="C70" s="339" t="n"/>
      <c r="D70" s="364" t="n"/>
      <c r="E70" s="365" t="n"/>
      <c r="F70" s="339" t="n"/>
      <c r="G70" s="364" t="n"/>
      <c r="H70" s="365" t="n"/>
      <c r="I70" s="339" t="n"/>
      <c r="J70" s="364" t="n"/>
      <c r="K70" s="365" t="n"/>
      <c r="L70" s="339" t="n"/>
      <c r="M70" s="364" t="n"/>
      <c r="N70" s="365" t="n"/>
      <c r="O70" s="339" t="n"/>
      <c r="P70" s="364" t="n"/>
      <c r="Q70" s="365" t="n"/>
      <c r="R70" s="339" t="n"/>
      <c r="S70" s="364" t="n"/>
      <c r="T70" s="365" t="n"/>
      <c r="U70" s="339" t="n"/>
      <c r="V70" s="364" t="n"/>
      <c r="W70" s="365" t="n"/>
      <c r="X70" s="339" t="n"/>
      <c r="Y70" s="339" t="n"/>
      <c r="Z70" s="339" t="n"/>
      <c r="AA70" s="339" t="n"/>
      <c r="AB70" s="339" t="n"/>
      <c r="AC70" s="339" t="n"/>
      <c r="AD70" s="339" t="n"/>
      <c r="AE70" s="339" t="n"/>
      <c r="AF70" s="339" t="n"/>
      <c r="AG70" s="339" t="n"/>
      <c r="AH70" s="339" t="n"/>
      <c r="AI70" s="339" t="n"/>
      <c r="AJ70" s="339" t="n"/>
      <c r="AK70" s="339" t="n"/>
      <c r="AL70" s="339" t="n"/>
      <c r="AM70" s="339" t="n"/>
      <c r="AN70" s="339" t="n"/>
      <c r="AO70" s="339" t="n"/>
      <c r="AP70" s="339" t="n"/>
      <c r="AQ70" s="339" t="n"/>
      <c r="AR70" s="339" t="n"/>
      <c r="AS70" s="339" t="n"/>
      <c r="AT70" s="339" t="n"/>
      <c r="AU70" s="339" t="n"/>
      <c r="AV70" s="339" t="n"/>
      <c r="AW70" s="339" t="n"/>
      <c r="AX70" s="339" t="n"/>
      <c r="AY70" s="339" t="n"/>
      <c r="AZ70" s="339" t="n"/>
      <c r="BA70" s="339" t="n"/>
      <c r="BB70" s="339" t="n"/>
      <c r="BC70" s="339" t="n"/>
      <c r="BD70" s="339" t="n"/>
      <c r="BE70" s="339" t="n"/>
      <c r="BF70" s="339" t="n"/>
      <c r="BG70" s="339" t="n"/>
      <c r="BH70" s="339" t="n"/>
      <c r="BI70" s="339" t="n"/>
      <c r="BJ70" s="339" t="n"/>
      <c r="BK70" s="339" t="n"/>
      <c r="BL70" s="339" t="n"/>
      <c r="BM70" s="339" t="n"/>
      <c r="BN70" s="339" t="n"/>
      <c r="BO70" s="339" t="n"/>
      <c r="BP70" s="339" t="n"/>
      <c r="BQ70" s="339" t="n"/>
      <c r="BR70" s="339" t="n"/>
      <c r="BS70" s="339" t="n"/>
      <c r="BT70" s="339" t="n"/>
      <c r="BU70" s="339" t="n"/>
      <c r="BV70" s="339" t="n"/>
      <c r="BW70" s="339" t="n"/>
      <c r="BX70" s="339" t="n"/>
      <c r="BY70" s="339" t="n"/>
      <c r="BZ70" s="339" t="n"/>
      <c r="CA70" s="339" t="n"/>
      <c r="CB70" s="339" t="n"/>
      <c r="CC70" s="354" t="n"/>
      <c r="CF70" s="366" t="n"/>
      <c r="CG70" s="367" t="n"/>
      <c r="CH70" s="367" t="n"/>
      <c r="CI70" s="367" t="n"/>
      <c r="CJ70" s="367" t="n"/>
      <c r="CK70" s="367" t="n"/>
      <c r="CL70" s="367" t="n"/>
      <c r="CM70" s="367" t="n"/>
      <c r="CN70" s="368" t="n"/>
      <c r="CP70" s="366" t="n"/>
      <c r="CQ70" s="367" t="n"/>
      <c r="CR70" s="367" t="n"/>
      <c r="CS70" s="367" t="n"/>
      <c r="CT70" s="367" t="n"/>
      <c r="CU70" s="367" t="n"/>
      <c r="CV70" s="367" t="n"/>
      <c r="CW70" s="367" t="n"/>
      <c r="CX70" s="368" t="n"/>
      <c r="CZ70" s="366" t="n"/>
      <c r="DA70" s="367" t="n"/>
      <c r="DB70" s="367" t="n"/>
      <c r="DC70" s="367" t="n"/>
      <c r="DD70" s="367" t="n"/>
      <c r="DE70" s="367" t="n"/>
      <c r="DF70" s="367" t="n"/>
      <c r="DG70" s="367" t="n"/>
      <c r="DH70" s="368" t="n"/>
      <c r="DJ70" s="366" t="n"/>
      <c r="DK70" s="367" t="n"/>
      <c r="DL70" s="367" t="n"/>
      <c r="DM70" s="367" t="n"/>
      <c r="DN70" s="367" t="n"/>
      <c r="DO70" s="367" t="n"/>
      <c r="DP70" s="367" t="n"/>
      <c r="DQ70" s="367" t="n"/>
      <c r="DR70" s="368" t="n"/>
      <c r="DT70" s="366" t="n"/>
      <c r="DU70" s="367" t="n"/>
      <c r="DV70" s="367" t="n"/>
      <c r="DW70" s="367" t="n"/>
      <c r="DX70" s="367" t="n"/>
      <c r="DY70" s="367" t="n"/>
      <c r="DZ70" s="367" t="n"/>
      <c r="EA70" s="367" t="n"/>
      <c r="EB70" s="368" t="n"/>
    </row>
    <row r="71" ht="9" customHeight="1" s="337">
      <c r="B71" s="369" t="n"/>
      <c r="C71" s="342" t="n"/>
      <c r="D71" s="356" t="n"/>
      <c r="E71" s="370" t="n"/>
      <c r="F71" s="342" t="n"/>
      <c r="G71" s="356" t="n"/>
      <c r="H71" s="370" t="n"/>
      <c r="I71" s="342" t="n"/>
      <c r="J71" s="356" t="n"/>
      <c r="K71" s="370" t="n"/>
      <c r="L71" s="342" t="n"/>
      <c r="M71" s="356" t="n"/>
      <c r="N71" s="370" t="n"/>
      <c r="O71" s="342" t="n"/>
      <c r="P71" s="356" t="n"/>
      <c r="Q71" s="448" t="n"/>
      <c r="R71" s="342" t="n"/>
      <c r="S71" s="356" t="n"/>
      <c r="T71" s="374" t="n"/>
      <c r="U71" s="342" t="n"/>
      <c r="V71" s="356" t="n"/>
      <c r="W71" s="442" t="n"/>
      <c r="X71" s="338" t="n"/>
      <c r="Y71" s="338" t="n"/>
      <c r="Z71" s="338" t="n"/>
      <c r="AA71" s="338" t="n"/>
      <c r="AB71" s="338" t="n"/>
      <c r="AC71" s="338" t="n"/>
      <c r="AD71" s="338" t="n"/>
      <c r="AE71" s="338" t="n"/>
      <c r="AF71" s="338" t="n"/>
      <c r="AG71" s="338" t="n"/>
      <c r="AH71" s="338" t="n"/>
      <c r="AI71" s="338" t="n"/>
      <c r="AJ71" s="338" t="n"/>
      <c r="AK71" s="338" t="n"/>
      <c r="AL71" s="338" t="n"/>
      <c r="AM71" s="338" t="n"/>
      <c r="AN71" s="338" t="n"/>
      <c r="AO71" s="338" t="n"/>
      <c r="AP71" s="338" t="n"/>
      <c r="AQ71" s="338" t="n"/>
      <c r="AR71" s="338" t="n"/>
      <c r="AS71" s="338" t="n"/>
      <c r="AT71" s="338" t="n"/>
      <c r="AU71" s="338" t="n"/>
      <c r="AV71" s="338" t="n"/>
      <c r="AW71" s="338" t="n"/>
      <c r="AX71" s="338" t="n"/>
      <c r="AY71" s="338" t="n"/>
      <c r="AZ71" s="338" t="n"/>
      <c r="BA71" s="338" t="n"/>
      <c r="BB71" s="338" t="n"/>
      <c r="BC71" s="338" t="n"/>
      <c r="BD71" s="338" t="n"/>
      <c r="BE71" s="338" t="n"/>
      <c r="BF71" s="338" t="n"/>
      <c r="BG71" s="338" t="n"/>
      <c r="BH71" s="338" t="n"/>
      <c r="BI71" s="338" t="n"/>
      <c r="BJ71" s="338" t="n"/>
      <c r="BK71" s="338" t="n"/>
      <c r="BL71" s="338" t="n"/>
      <c r="BM71" s="338" t="n"/>
      <c r="BN71" s="338" t="n"/>
      <c r="BO71" s="338" t="n"/>
      <c r="BP71" s="338" t="n"/>
      <c r="BQ71" s="338" t="n"/>
      <c r="BR71" s="338" t="n"/>
      <c r="BS71" s="338" t="n"/>
      <c r="BT71" s="338" t="n"/>
      <c r="BU71" s="338" t="n"/>
      <c r="BV71" s="338" t="n"/>
      <c r="BW71" s="338" t="n"/>
      <c r="BX71" s="338" t="n"/>
      <c r="BY71" s="338" t="n"/>
      <c r="BZ71" s="338" t="n"/>
      <c r="CA71" s="338" t="n"/>
      <c r="CB71" s="338" t="n"/>
      <c r="CC71" s="383" t="n"/>
      <c r="CF71" s="248" t="inlineStr">
        <is>
          <t>移動</t>
        </is>
      </c>
      <c r="CG71" s="377" t="n"/>
      <c r="CH71" s="377" t="n"/>
      <c r="CI71" s="378" t="n"/>
      <c r="CJ71" s="379">
        <f>IF(Q71="作業者1",E74-E71,0)</f>
        <v/>
      </c>
      <c r="CK71" s="377" t="n"/>
      <c r="CL71" s="377" t="n"/>
      <c r="CM71" s="377" t="n"/>
      <c r="CN71" s="378" t="n"/>
      <c r="CP71" s="248" t="inlineStr">
        <is>
          <t>移動</t>
        </is>
      </c>
      <c r="CQ71" s="377" t="n"/>
      <c r="CR71" s="377" t="n"/>
      <c r="CS71" s="378" t="n"/>
      <c r="CT71" s="379">
        <f>IF(Q71="作業者2",E74-E71,0)</f>
        <v/>
      </c>
      <c r="CU71" s="377" t="n"/>
      <c r="CV71" s="377" t="n"/>
      <c r="CW71" s="377" t="n"/>
      <c r="CX71" s="378" t="n"/>
      <c r="CZ71" s="248" t="inlineStr">
        <is>
          <t>移動</t>
        </is>
      </c>
      <c r="DA71" s="377" t="n"/>
      <c r="DB71" s="377" t="n"/>
      <c r="DC71" s="378" t="n"/>
      <c r="DD71" s="379">
        <f>IF(Q71="作業者3",E74-E71,0)</f>
        <v/>
      </c>
      <c r="DE71" s="377" t="n"/>
      <c r="DF71" s="377" t="n"/>
      <c r="DG71" s="377" t="n"/>
      <c r="DH71" s="378" t="n"/>
      <c r="DJ71" s="248" t="inlineStr">
        <is>
          <t>移動</t>
        </is>
      </c>
      <c r="DK71" s="377" t="n"/>
      <c r="DL71" s="377" t="n"/>
      <c r="DM71" s="378" t="n"/>
      <c r="DN71" s="379">
        <f>IF(Q71="作業者4",E74-E71,0)</f>
        <v/>
      </c>
      <c r="DO71" s="377" t="n"/>
      <c r="DP71" s="377" t="n"/>
      <c r="DQ71" s="377" t="n"/>
      <c r="DR71" s="378" t="n"/>
      <c r="DT71" s="248" t="inlineStr">
        <is>
          <t>移動</t>
        </is>
      </c>
      <c r="DU71" s="377" t="n"/>
      <c r="DV71" s="377" t="n"/>
      <c r="DW71" s="378" t="n"/>
      <c r="DX71" s="379">
        <f>IF(Q71="作業者5",E74-E71,0)</f>
        <v/>
      </c>
      <c r="DY71" s="377" t="n"/>
      <c r="DZ71" s="377" t="n"/>
      <c r="EA71" s="377" t="n"/>
      <c r="EB71" s="378" t="n"/>
    </row>
    <row r="72" ht="9" customHeight="1" s="337">
      <c r="B72" s="350" t="n"/>
      <c r="C72" s="338" t="n"/>
      <c r="D72" s="380" t="n"/>
      <c r="E72" s="381" t="n"/>
      <c r="F72" s="122" t="inlineStr">
        <is>
          <t>～</t>
        </is>
      </c>
      <c r="G72" s="22" t="n"/>
      <c r="H72" s="381" t="n"/>
      <c r="I72" s="122" t="inlineStr">
        <is>
          <t>～</t>
        </is>
      </c>
      <c r="J72" s="22" t="n"/>
      <c r="K72" s="381" t="n"/>
      <c r="L72" s="122" t="inlineStr">
        <is>
          <t>～</t>
        </is>
      </c>
      <c r="M72" s="22" t="n"/>
      <c r="N72" s="381" t="n"/>
      <c r="O72" s="122" t="inlineStr">
        <is>
          <t>～</t>
        </is>
      </c>
      <c r="P72" s="22" t="n"/>
      <c r="Q72" s="382" t="n"/>
      <c r="R72" s="338" t="n"/>
      <c r="S72" s="380" t="n"/>
      <c r="T72" s="382" t="n"/>
      <c r="U72" s="338" t="n"/>
      <c r="V72" s="380" t="n"/>
      <c r="W72" s="382" t="n"/>
      <c r="X72" s="338" t="n"/>
      <c r="Y72" s="338" t="n"/>
      <c r="Z72" s="338" t="n"/>
      <c r="AA72" s="338" t="n"/>
      <c r="AB72" s="338" t="n"/>
      <c r="AC72" s="338" t="n"/>
      <c r="AD72" s="338" t="n"/>
      <c r="AE72" s="338" t="n"/>
      <c r="AF72" s="338" t="n"/>
      <c r="AG72" s="338" t="n"/>
      <c r="AH72" s="338" t="n"/>
      <c r="AI72" s="338" t="n"/>
      <c r="AJ72" s="338" t="n"/>
      <c r="AK72" s="338" t="n"/>
      <c r="AL72" s="338" t="n"/>
      <c r="AM72" s="338" t="n"/>
      <c r="AN72" s="338" t="n"/>
      <c r="AO72" s="338" t="n"/>
      <c r="AP72" s="338" t="n"/>
      <c r="AQ72" s="338" t="n"/>
      <c r="AR72" s="338" t="n"/>
      <c r="AS72" s="338" t="n"/>
      <c r="AT72" s="338" t="n"/>
      <c r="AU72" s="338" t="n"/>
      <c r="AV72" s="338" t="n"/>
      <c r="AW72" s="338" t="n"/>
      <c r="AX72" s="338" t="n"/>
      <c r="AY72" s="338" t="n"/>
      <c r="AZ72" s="338" t="n"/>
      <c r="BA72" s="338" t="n"/>
      <c r="BB72" s="338" t="n"/>
      <c r="BC72" s="338" t="n"/>
      <c r="BD72" s="338" t="n"/>
      <c r="BE72" s="338" t="n"/>
      <c r="BF72" s="338" t="n"/>
      <c r="BG72" s="338" t="n"/>
      <c r="BH72" s="338" t="n"/>
      <c r="BI72" s="338" t="n"/>
      <c r="BJ72" s="338" t="n"/>
      <c r="BK72" s="338" t="n"/>
      <c r="BL72" s="338" t="n"/>
      <c r="BM72" s="338" t="n"/>
      <c r="BN72" s="338" t="n"/>
      <c r="BO72" s="338" t="n"/>
      <c r="BP72" s="338" t="n"/>
      <c r="BQ72" s="338" t="n"/>
      <c r="BR72" s="338" t="n"/>
      <c r="BS72" s="338" t="n"/>
      <c r="BT72" s="338" t="n"/>
      <c r="BU72" s="338" t="n"/>
      <c r="BV72" s="338" t="n"/>
      <c r="BW72" s="338" t="n"/>
      <c r="BX72" s="338" t="n"/>
      <c r="BY72" s="338" t="n"/>
      <c r="BZ72" s="338" t="n"/>
      <c r="CA72" s="338" t="n"/>
      <c r="CB72" s="338" t="n"/>
      <c r="CC72" s="383" t="n"/>
      <c r="CF72" s="253" t="inlineStr">
        <is>
          <t>時間内</t>
        </is>
      </c>
      <c r="CG72" s="384" t="n"/>
      <c r="CH72" s="384" t="n"/>
      <c r="CI72" s="385" t="n"/>
      <c r="CJ72" s="386">
        <f>IF(Q71="作業者1",H74-H71,0)</f>
        <v/>
      </c>
      <c r="CK72" s="387" t="n"/>
      <c r="CL72" s="387" t="n"/>
      <c r="CM72" s="387" t="n"/>
      <c r="CN72" s="388" t="n"/>
      <c r="CP72" s="253" t="inlineStr">
        <is>
          <t>時間内</t>
        </is>
      </c>
      <c r="CQ72" s="384" t="n"/>
      <c r="CR72" s="384" t="n"/>
      <c r="CS72" s="385" t="n"/>
      <c r="CT72" s="386">
        <f>IF(Q71="作業者2",H74-H71,0)</f>
        <v/>
      </c>
      <c r="CU72" s="387" t="n"/>
      <c r="CV72" s="387" t="n"/>
      <c r="CW72" s="387" t="n"/>
      <c r="CX72" s="388" t="n"/>
      <c r="CZ72" s="253" t="inlineStr">
        <is>
          <t>時間内</t>
        </is>
      </c>
      <c r="DA72" s="384" t="n"/>
      <c r="DB72" s="384" t="n"/>
      <c r="DC72" s="385" t="n"/>
      <c r="DD72" s="386">
        <f>IF(Q71="作業者3",H74-H71,0)</f>
        <v/>
      </c>
      <c r="DE72" s="387" t="n"/>
      <c r="DF72" s="387" t="n"/>
      <c r="DG72" s="387" t="n"/>
      <c r="DH72" s="388" t="n"/>
      <c r="DJ72" s="253" t="inlineStr">
        <is>
          <t>時間内</t>
        </is>
      </c>
      <c r="DK72" s="384" t="n"/>
      <c r="DL72" s="384" t="n"/>
      <c r="DM72" s="385" t="n"/>
      <c r="DN72" s="386">
        <f>IF(Q71="作業者4",H74-H71,0)</f>
        <v/>
      </c>
      <c r="DO72" s="387" t="n"/>
      <c r="DP72" s="387" t="n"/>
      <c r="DQ72" s="387" t="n"/>
      <c r="DR72" s="388" t="n"/>
      <c r="DT72" s="253" t="inlineStr">
        <is>
          <t>時間内</t>
        </is>
      </c>
      <c r="DU72" s="384" t="n"/>
      <c r="DV72" s="384" t="n"/>
      <c r="DW72" s="385" t="n"/>
      <c r="DX72" s="386">
        <f>IF(Q71="作業者5",H74-H71,0)</f>
        <v/>
      </c>
      <c r="DY72" s="387" t="n"/>
      <c r="DZ72" s="387" t="n"/>
      <c r="EA72" s="387" t="n"/>
      <c r="EB72" s="388" t="n"/>
    </row>
    <row r="73" ht="9" customHeight="1" s="337">
      <c r="B73" s="350" t="n"/>
      <c r="C73" s="338" t="n"/>
      <c r="D73" s="380" t="n"/>
      <c r="E73" s="23" t="n"/>
      <c r="F73" s="338" t="n"/>
      <c r="G73" s="24" t="n"/>
      <c r="H73" s="23" t="n"/>
      <c r="I73" s="338" t="n"/>
      <c r="J73" s="24" t="n"/>
      <c r="K73" s="23" t="n"/>
      <c r="L73" s="338" t="n"/>
      <c r="M73" s="24" t="n"/>
      <c r="N73" s="23" t="n"/>
      <c r="O73" s="338" t="n"/>
      <c r="P73" s="24" t="n"/>
      <c r="Q73" s="382" t="n"/>
      <c r="R73" s="338" t="n"/>
      <c r="S73" s="380" t="n"/>
      <c r="T73" s="382" t="n"/>
      <c r="U73" s="338" t="n"/>
      <c r="V73" s="380" t="n"/>
      <c r="W73" s="382" t="n"/>
      <c r="X73" s="338" t="n"/>
      <c r="Y73" s="338" t="n"/>
      <c r="Z73" s="338" t="n"/>
      <c r="AA73" s="338" t="n"/>
      <c r="AB73" s="338" t="n"/>
      <c r="AC73" s="338" t="n"/>
      <c r="AD73" s="338" t="n"/>
      <c r="AE73" s="338" t="n"/>
      <c r="AF73" s="338" t="n"/>
      <c r="AG73" s="338" t="n"/>
      <c r="AH73" s="338" t="n"/>
      <c r="AI73" s="338" t="n"/>
      <c r="AJ73" s="338" t="n"/>
      <c r="AK73" s="338" t="n"/>
      <c r="AL73" s="338" t="n"/>
      <c r="AM73" s="338" t="n"/>
      <c r="AN73" s="338" t="n"/>
      <c r="AO73" s="338" t="n"/>
      <c r="AP73" s="338" t="n"/>
      <c r="AQ73" s="338" t="n"/>
      <c r="AR73" s="338" t="n"/>
      <c r="AS73" s="338" t="n"/>
      <c r="AT73" s="338" t="n"/>
      <c r="AU73" s="338" t="n"/>
      <c r="AV73" s="338" t="n"/>
      <c r="AW73" s="338" t="n"/>
      <c r="AX73" s="338" t="n"/>
      <c r="AY73" s="338" t="n"/>
      <c r="AZ73" s="338" t="n"/>
      <c r="BA73" s="338" t="n"/>
      <c r="BB73" s="338" t="n"/>
      <c r="BC73" s="338" t="n"/>
      <c r="BD73" s="338" t="n"/>
      <c r="BE73" s="338" t="n"/>
      <c r="BF73" s="338" t="n"/>
      <c r="BG73" s="338" t="n"/>
      <c r="BH73" s="338" t="n"/>
      <c r="BI73" s="338" t="n"/>
      <c r="BJ73" s="338" t="n"/>
      <c r="BK73" s="338" t="n"/>
      <c r="BL73" s="338" t="n"/>
      <c r="BM73" s="338" t="n"/>
      <c r="BN73" s="338" t="n"/>
      <c r="BO73" s="338" t="n"/>
      <c r="BP73" s="338" t="n"/>
      <c r="BQ73" s="338" t="n"/>
      <c r="BR73" s="338" t="n"/>
      <c r="BS73" s="338" t="n"/>
      <c r="BT73" s="338" t="n"/>
      <c r="BU73" s="338" t="n"/>
      <c r="BV73" s="338" t="n"/>
      <c r="BW73" s="338" t="n"/>
      <c r="BX73" s="338" t="n"/>
      <c r="BY73" s="338" t="n"/>
      <c r="BZ73" s="338" t="n"/>
      <c r="CA73" s="338" t="n"/>
      <c r="CB73" s="338" t="n"/>
      <c r="CC73" s="383" t="n"/>
      <c r="CF73" s="253" t="inlineStr">
        <is>
          <t>時間外</t>
        </is>
      </c>
      <c r="CG73" s="384" t="n"/>
      <c r="CH73" s="384" t="n"/>
      <c r="CI73" s="385" t="n"/>
      <c r="CJ73" s="386">
        <f>IF(Q71="作業者1",K74-K71,0)</f>
        <v/>
      </c>
      <c r="CK73" s="387" t="n"/>
      <c r="CL73" s="387" t="n"/>
      <c r="CM73" s="387" t="n"/>
      <c r="CN73" s="388" t="n"/>
      <c r="CP73" s="253" t="inlineStr">
        <is>
          <t>時間外</t>
        </is>
      </c>
      <c r="CQ73" s="384" t="n"/>
      <c r="CR73" s="384" t="n"/>
      <c r="CS73" s="385" t="n"/>
      <c r="CT73" s="386">
        <f>IF(Q71="作業者2",K74-K71,0)</f>
        <v/>
      </c>
      <c r="CU73" s="387" t="n"/>
      <c r="CV73" s="387" t="n"/>
      <c r="CW73" s="387" t="n"/>
      <c r="CX73" s="388" t="n"/>
      <c r="CZ73" s="253" t="inlineStr">
        <is>
          <t>時間外</t>
        </is>
      </c>
      <c r="DA73" s="384" t="n"/>
      <c r="DB73" s="384" t="n"/>
      <c r="DC73" s="385" t="n"/>
      <c r="DD73" s="386">
        <f>IF(Q71="作業者3",K74-K71,0)</f>
        <v/>
      </c>
      <c r="DE73" s="387" t="n"/>
      <c r="DF73" s="387" t="n"/>
      <c r="DG73" s="387" t="n"/>
      <c r="DH73" s="388" t="n"/>
      <c r="DJ73" s="253" t="inlineStr">
        <is>
          <t>時間外</t>
        </is>
      </c>
      <c r="DK73" s="384" t="n"/>
      <c r="DL73" s="384" t="n"/>
      <c r="DM73" s="385" t="n"/>
      <c r="DN73" s="386">
        <f>IF(Q71="作業者4",K74-K71,0)</f>
        <v/>
      </c>
      <c r="DO73" s="387" t="n"/>
      <c r="DP73" s="387" t="n"/>
      <c r="DQ73" s="387" t="n"/>
      <c r="DR73" s="388" t="n"/>
      <c r="DT73" s="253" t="inlineStr">
        <is>
          <t>時間外</t>
        </is>
      </c>
      <c r="DU73" s="384" t="n"/>
      <c r="DV73" s="384" t="n"/>
      <c r="DW73" s="385" t="n"/>
      <c r="DX73" s="386">
        <f>IF(Q71="作業者5",K74-K71,0)</f>
        <v/>
      </c>
      <c r="DY73" s="387" t="n"/>
      <c r="DZ73" s="387" t="n"/>
      <c r="EA73" s="387" t="n"/>
      <c r="EB73" s="388" t="n"/>
    </row>
    <row r="74" ht="9" customHeight="1" s="337">
      <c r="B74" s="389" t="n"/>
      <c r="C74" s="390" t="n"/>
      <c r="D74" s="391" t="n"/>
      <c r="E74" s="392" t="n"/>
      <c r="F74" s="390" t="n"/>
      <c r="G74" s="391" t="n"/>
      <c r="H74" s="392" t="n"/>
      <c r="I74" s="390" t="n"/>
      <c r="J74" s="391" t="n"/>
      <c r="K74" s="392" t="n"/>
      <c r="L74" s="390" t="n"/>
      <c r="M74" s="391" t="n"/>
      <c r="N74" s="392" t="n"/>
      <c r="O74" s="390" t="n"/>
      <c r="P74" s="391" t="n"/>
      <c r="Q74" s="382" t="n"/>
      <c r="R74" s="338" t="n"/>
      <c r="S74" s="380" t="n"/>
      <c r="T74" s="393" t="n"/>
      <c r="U74" s="390" t="n"/>
      <c r="V74" s="391" t="n"/>
      <c r="W74" s="393" t="n"/>
      <c r="X74" s="390" t="n"/>
      <c r="Y74" s="390" t="n"/>
      <c r="Z74" s="390" t="n"/>
      <c r="AA74" s="390" t="n"/>
      <c r="AB74" s="390" t="n"/>
      <c r="AC74" s="390" t="n"/>
      <c r="AD74" s="390" t="n"/>
      <c r="AE74" s="390" t="n"/>
      <c r="AF74" s="390" t="n"/>
      <c r="AG74" s="390" t="n"/>
      <c r="AH74" s="390" t="n"/>
      <c r="AI74" s="390" t="n"/>
      <c r="AJ74" s="390" t="n"/>
      <c r="AK74" s="390" t="n"/>
      <c r="AL74" s="390" t="n"/>
      <c r="AM74" s="390" t="n"/>
      <c r="AN74" s="390" t="n"/>
      <c r="AO74" s="390" t="n"/>
      <c r="AP74" s="390" t="n"/>
      <c r="AQ74" s="390" t="n"/>
      <c r="AR74" s="390" t="n"/>
      <c r="AS74" s="390" t="n"/>
      <c r="AT74" s="390" t="n"/>
      <c r="AU74" s="390" t="n"/>
      <c r="AV74" s="390" t="n"/>
      <c r="AW74" s="390" t="n"/>
      <c r="AX74" s="390" t="n"/>
      <c r="AY74" s="390" t="n"/>
      <c r="AZ74" s="390" t="n"/>
      <c r="BA74" s="390" t="n"/>
      <c r="BB74" s="390" t="n"/>
      <c r="BC74" s="390" t="n"/>
      <c r="BD74" s="390" t="n"/>
      <c r="BE74" s="390" t="n"/>
      <c r="BF74" s="390" t="n"/>
      <c r="BG74" s="390" t="n"/>
      <c r="BH74" s="390" t="n"/>
      <c r="BI74" s="390" t="n"/>
      <c r="BJ74" s="390" t="n"/>
      <c r="BK74" s="390" t="n"/>
      <c r="BL74" s="390" t="n"/>
      <c r="BM74" s="390" t="n"/>
      <c r="BN74" s="390" t="n"/>
      <c r="BO74" s="390" t="n"/>
      <c r="BP74" s="390" t="n"/>
      <c r="BQ74" s="390" t="n"/>
      <c r="BR74" s="390" t="n"/>
      <c r="BS74" s="390" t="n"/>
      <c r="BT74" s="390" t="n"/>
      <c r="BU74" s="390" t="n"/>
      <c r="BV74" s="390" t="n"/>
      <c r="BW74" s="390" t="n"/>
      <c r="BX74" s="390" t="n"/>
      <c r="BY74" s="390" t="n"/>
      <c r="BZ74" s="390" t="n"/>
      <c r="CA74" s="390" t="n"/>
      <c r="CB74" s="390" t="n"/>
      <c r="CC74" s="394" t="n"/>
      <c r="CF74" s="254" t="inlineStr">
        <is>
          <t>休日</t>
        </is>
      </c>
      <c r="CG74" s="395" t="n"/>
      <c r="CH74" s="395" t="n"/>
      <c r="CI74" s="396" t="n"/>
      <c r="CJ74" s="386">
        <f>IF(Q71="作業者1",N74-N71,0)</f>
        <v/>
      </c>
      <c r="CK74" s="387" t="n"/>
      <c r="CL74" s="387" t="n"/>
      <c r="CM74" s="387" t="n"/>
      <c r="CN74" s="388" t="n"/>
      <c r="CP74" s="253" t="inlineStr">
        <is>
          <t>休日</t>
        </is>
      </c>
      <c r="CQ74" s="384" t="n"/>
      <c r="CR74" s="384" t="n"/>
      <c r="CS74" s="385" t="n"/>
      <c r="CT74" s="386">
        <f>IF(Q71="作業者2",N74-N71,0)</f>
        <v/>
      </c>
      <c r="CU74" s="387" t="n"/>
      <c r="CV74" s="387" t="n"/>
      <c r="CW74" s="387" t="n"/>
      <c r="CX74" s="388" t="n"/>
      <c r="CZ74" s="254" t="inlineStr">
        <is>
          <t>休日</t>
        </is>
      </c>
      <c r="DA74" s="395" t="n"/>
      <c r="DB74" s="395" t="n"/>
      <c r="DC74" s="396" t="n"/>
      <c r="DD74" s="397">
        <f>IF(Q71="作業者3",N74-N71,0)</f>
        <v/>
      </c>
      <c r="DE74" s="395" t="n"/>
      <c r="DF74" s="395" t="n"/>
      <c r="DG74" s="395" t="n"/>
      <c r="DH74" s="396" t="n"/>
      <c r="DJ74" s="254" t="inlineStr">
        <is>
          <t>休日</t>
        </is>
      </c>
      <c r="DK74" s="395" t="n"/>
      <c r="DL74" s="395" t="n"/>
      <c r="DM74" s="396" t="n"/>
      <c r="DN74" s="397">
        <f>IF(Q71="作業者4",N74-N71,0)</f>
        <v/>
      </c>
      <c r="DO74" s="395" t="n"/>
      <c r="DP74" s="395" t="n"/>
      <c r="DQ74" s="395" t="n"/>
      <c r="DR74" s="396" t="n"/>
      <c r="DT74" s="254" t="inlineStr">
        <is>
          <t>休日</t>
        </is>
      </c>
      <c r="DU74" s="395" t="n"/>
      <c r="DV74" s="395" t="n"/>
      <c r="DW74" s="396" t="n"/>
      <c r="DX74" s="397">
        <f>IF(Q71="作業者5",N74-N71,0)</f>
        <v/>
      </c>
      <c r="DY74" s="395" t="n"/>
      <c r="DZ74" s="395" t="n"/>
      <c r="EA74" s="395" t="n"/>
      <c r="EB74" s="396" t="n"/>
    </row>
    <row r="75" ht="9" customHeight="1" s="337">
      <c r="B75" s="398" t="n"/>
      <c r="C75" s="372" t="n"/>
      <c r="D75" s="373" t="n"/>
      <c r="E75" s="399" t="n"/>
      <c r="F75" s="372" t="n"/>
      <c r="G75" s="373" t="n"/>
      <c r="H75" s="399" t="n"/>
      <c r="I75" s="372" t="n"/>
      <c r="J75" s="373" t="n"/>
      <c r="K75" s="399" t="n"/>
      <c r="L75" s="372" t="n"/>
      <c r="M75" s="373" t="n"/>
      <c r="N75" s="399" t="n"/>
      <c r="O75" s="372" t="n"/>
      <c r="P75" s="373" t="n"/>
      <c r="Q75" s="371" t="n"/>
      <c r="R75" s="372" t="n"/>
      <c r="S75" s="373" t="n"/>
      <c r="T75" s="371" t="n"/>
      <c r="U75" s="372" t="n"/>
      <c r="V75" s="373" t="n"/>
      <c r="W75" s="443" t="n"/>
      <c r="X75" s="372" t="n"/>
      <c r="Y75" s="372" t="n"/>
      <c r="Z75" s="372" t="n"/>
      <c r="AA75" s="372" t="n"/>
      <c r="AB75" s="372" t="n"/>
      <c r="AC75" s="372" t="n"/>
      <c r="AD75" s="372" t="n"/>
      <c r="AE75" s="372" t="n"/>
      <c r="AF75" s="372" t="n"/>
      <c r="AG75" s="372" t="n"/>
      <c r="AH75" s="372" t="n"/>
      <c r="AI75" s="372" t="n"/>
      <c r="AJ75" s="372" t="n"/>
      <c r="AK75" s="372" t="n"/>
      <c r="AL75" s="372" t="n"/>
      <c r="AM75" s="372" t="n"/>
      <c r="AN75" s="372" t="n"/>
      <c r="AO75" s="372" t="n"/>
      <c r="AP75" s="372" t="n"/>
      <c r="AQ75" s="372" t="n"/>
      <c r="AR75" s="372" t="n"/>
      <c r="AS75" s="372" t="n"/>
      <c r="AT75" s="372" t="n"/>
      <c r="AU75" s="372" t="n"/>
      <c r="AV75" s="372" t="n"/>
      <c r="AW75" s="372" t="n"/>
      <c r="AX75" s="372" t="n"/>
      <c r="AY75" s="372" t="n"/>
      <c r="AZ75" s="372" t="n"/>
      <c r="BA75" s="372" t="n"/>
      <c r="BB75" s="372" t="n"/>
      <c r="BC75" s="372" t="n"/>
      <c r="BD75" s="372" t="n"/>
      <c r="BE75" s="372" t="n"/>
      <c r="BF75" s="372" t="n"/>
      <c r="BG75" s="372" t="n"/>
      <c r="BH75" s="372" t="n"/>
      <c r="BI75" s="372" t="n"/>
      <c r="BJ75" s="372" t="n"/>
      <c r="BK75" s="372" t="n"/>
      <c r="BL75" s="372" t="n"/>
      <c r="BM75" s="372" t="n"/>
      <c r="BN75" s="372" t="n"/>
      <c r="BO75" s="372" t="n"/>
      <c r="BP75" s="372" t="n"/>
      <c r="BQ75" s="372" t="n"/>
      <c r="BR75" s="372" t="n"/>
      <c r="BS75" s="372" t="n"/>
      <c r="BT75" s="372" t="n"/>
      <c r="BU75" s="372" t="n"/>
      <c r="BV75" s="372" t="n"/>
      <c r="BW75" s="372" t="n"/>
      <c r="BX75" s="372" t="n"/>
      <c r="BY75" s="372" t="n"/>
      <c r="BZ75" s="372" t="n"/>
      <c r="CA75" s="372" t="n"/>
      <c r="CB75" s="372" t="n"/>
      <c r="CC75" s="402" t="n"/>
      <c r="CF75" s="259" t="inlineStr">
        <is>
          <t>移動</t>
        </is>
      </c>
      <c r="CG75" s="403" t="n"/>
      <c r="CH75" s="403" t="n"/>
      <c r="CI75" s="404" t="n"/>
      <c r="CJ75" s="379">
        <f>IF(Q75="作業者1",E78-E75,0)</f>
        <v/>
      </c>
      <c r="CK75" s="377" t="n"/>
      <c r="CL75" s="377" t="n"/>
      <c r="CM75" s="377" t="n"/>
      <c r="CN75" s="378" t="n"/>
      <c r="CP75" s="248" t="inlineStr">
        <is>
          <t>移動</t>
        </is>
      </c>
      <c r="CQ75" s="377" t="n"/>
      <c r="CR75" s="377" t="n"/>
      <c r="CS75" s="378" t="n"/>
      <c r="CT75" s="379">
        <f>IF(Q75="作業者2",E78-E75,0)</f>
        <v/>
      </c>
      <c r="CU75" s="377" t="n"/>
      <c r="CV75" s="377" t="n"/>
      <c r="CW75" s="377" t="n"/>
      <c r="CX75" s="378" t="n"/>
      <c r="CZ75" s="259" t="inlineStr">
        <is>
          <t>移動</t>
        </is>
      </c>
      <c r="DA75" s="403" t="n"/>
      <c r="DB75" s="403" t="n"/>
      <c r="DC75" s="404" t="n"/>
      <c r="DD75" s="405">
        <f>IF(Q75="作業者3",E78-E75,0)</f>
        <v/>
      </c>
      <c r="DE75" s="406" t="n"/>
      <c r="DF75" s="406" t="n"/>
      <c r="DG75" s="406" t="n"/>
      <c r="DH75" s="407" t="n"/>
      <c r="DJ75" s="259" t="inlineStr">
        <is>
          <t>移動</t>
        </is>
      </c>
      <c r="DK75" s="403" t="n"/>
      <c r="DL75" s="403" t="n"/>
      <c r="DM75" s="404" t="n"/>
      <c r="DN75" s="379">
        <f>IF(Q75="作業者4",E78-E75,0)</f>
        <v/>
      </c>
      <c r="DO75" s="377" t="n"/>
      <c r="DP75" s="377" t="n"/>
      <c r="DQ75" s="377" t="n"/>
      <c r="DR75" s="378" t="n"/>
      <c r="DT75" s="259" t="inlineStr">
        <is>
          <t>移動</t>
        </is>
      </c>
      <c r="DU75" s="403" t="n"/>
      <c r="DV75" s="403" t="n"/>
      <c r="DW75" s="404" t="n"/>
      <c r="DX75" s="379">
        <f>IF(Q75="作業者5",E78-E75,0)</f>
        <v/>
      </c>
      <c r="DY75" s="377" t="n"/>
      <c r="DZ75" s="377" t="n"/>
      <c r="EA75" s="377" t="n"/>
      <c r="EB75" s="378" t="n"/>
    </row>
    <row r="76" ht="9" customHeight="1" s="337">
      <c r="B76" s="350" t="n"/>
      <c r="C76" s="338" t="n"/>
      <c r="D76" s="380" t="n"/>
      <c r="E76" s="381" t="n"/>
      <c r="F76" s="122" t="inlineStr">
        <is>
          <t>～</t>
        </is>
      </c>
      <c r="G76" s="22" t="n"/>
      <c r="H76" s="381" t="n"/>
      <c r="I76" s="122" t="inlineStr">
        <is>
          <t>～</t>
        </is>
      </c>
      <c r="J76" s="22" t="n"/>
      <c r="K76" s="381" t="n"/>
      <c r="L76" s="122" t="inlineStr">
        <is>
          <t>～</t>
        </is>
      </c>
      <c r="M76" s="22" t="n"/>
      <c r="N76" s="381" t="n"/>
      <c r="O76" s="122" t="inlineStr">
        <is>
          <t>～</t>
        </is>
      </c>
      <c r="P76" s="22" t="n"/>
      <c r="Q76" s="382" t="n"/>
      <c r="R76" s="338" t="n"/>
      <c r="S76" s="380" t="n"/>
      <c r="T76" s="382" t="n"/>
      <c r="U76" s="338" t="n"/>
      <c r="V76" s="380" t="n"/>
      <c r="W76" s="382" t="n"/>
      <c r="X76" s="338" t="n"/>
      <c r="Y76" s="338" t="n"/>
      <c r="Z76" s="338" t="n"/>
      <c r="AA76" s="338" t="n"/>
      <c r="AB76" s="338" t="n"/>
      <c r="AC76" s="338" t="n"/>
      <c r="AD76" s="338" t="n"/>
      <c r="AE76" s="338" t="n"/>
      <c r="AF76" s="338" t="n"/>
      <c r="AG76" s="338" t="n"/>
      <c r="AH76" s="338" t="n"/>
      <c r="AI76" s="338" t="n"/>
      <c r="AJ76" s="338" t="n"/>
      <c r="AK76" s="338" t="n"/>
      <c r="AL76" s="338" t="n"/>
      <c r="AM76" s="338" t="n"/>
      <c r="AN76" s="338" t="n"/>
      <c r="AO76" s="338" t="n"/>
      <c r="AP76" s="338" t="n"/>
      <c r="AQ76" s="338" t="n"/>
      <c r="AR76" s="338" t="n"/>
      <c r="AS76" s="338" t="n"/>
      <c r="AT76" s="338" t="n"/>
      <c r="AU76" s="338" t="n"/>
      <c r="AV76" s="338" t="n"/>
      <c r="AW76" s="338" t="n"/>
      <c r="AX76" s="338" t="n"/>
      <c r="AY76" s="338" t="n"/>
      <c r="AZ76" s="338" t="n"/>
      <c r="BA76" s="338" t="n"/>
      <c r="BB76" s="338" t="n"/>
      <c r="BC76" s="338" t="n"/>
      <c r="BD76" s="338" t="n"/>
      <c r="BE76" s="338" t="n"/>
      <c r="BF76" s="338" t="n"/>
      <c r="BG76" s="338" t="n"/>
      <c r="BH76" s="338" t="n"/>
      <c r="BI76" s="338" t="n"/>
      <c r="BJ76" s="338" t="n"/>
      <c r="BK76" s="338" t="n"/>
      <c r="BL76" s="338" t="n"/>
      <c r="BM76" s="338" t="n"/>
      <c r="BN76" s="338" t="n"/>
      <c r="BO76" s="338" t="n"/>
      <c r="BP76" s="338" t="n"/>
      <c r="BQ76" s="338" t="n"/>
      <c r="BR76" s="338" t="n"/>
      <c r="BS76" s="338" t="n"/>
      <c r="BT76" s="338" t="n"/>
      <c r="BU76" s="338" t="n"/>
      <c r="BV76" s="338" t="n"/>
      <c r="BW76" s="338" t="n"/>
      <c r="BX76" s="338" t="n"/>
      <c r="BY76" s="338" t="n"/>
      <c r="BZ76" s="338" t="n"/>
      <c r="CA76" s="338" t="n"/>
      <c r="CB76" s="338" t="n"/>
      <c r="CC76" s="383" t="n"/>
      <c r="CF76" s="253" t="inlineStr">
        <is>
          <t>時間内</t>
        </is>
      </c>
      <c r="CG76" s="384" t="n"/>
      <c r="CH76" s="384" t="n"/>
      <c r="CI76" s="385" t="n"/>
      <c r="CJ76" s="386">
        <f>IF(Q75="作業者1",H78-H75,0)</f>
        <v/>
      </c>
      <c r="CK76" s="387" t="n"/>
      <c r="CL76" s="387" t="n"/>
      <c r="CM76" s="387" t="n"/>
      <c r="CN76" s="388" t="n"/>
      <c r="CP76" s="253" t="inlineStr">
        <is>
          <t>時間内</t>
        </is>
      </c>
      <c r="CQ76" s="384" t="n"/>
      <c r="CR76" s="384" t="n"/>
      <c r="CS76" s="385" t="n"/>
      <c r="CT76" s="386">
        <f>IF(Q75="作業者2",H78-H75,0)</f>
        <v/>
      </c>
      <c r="CU76" s="387" t="n"/>
      <c r="CV76" s="387" t="n"/>
      <c r="CW76" s="387" t="n"/>
      <c r="CX76" s="388" t="n"/>
      <c r="CZ76" s="253" t="inlineStr">
        <is>
          <t>時間内</t>
        </is>
      </c>
      <c r="DA76" s="384" t="n"/>
      <c r="DB76" s="384" t="n"/>
      <c r="DC76" s="385" t="n"/>
      <c r="DD76" s="386">
        <f>IF(Q75="作業者3",H78-H75,0)</f>
        <v/>
      </c>
      <c r="DE76" s="387" t="n"/>
      <c r="DF76" s="387" t="n"/>
      <c r="DG76" s="387" t="n"/>
      <c r="DH76" s="388" t="n"/>
      <c r="DJ76" s="253" t="inlineStr">
        <is>
          <t>時間内</t>
        </is>
      </c>
      <c r="DK76" s="384" t="n"/>
      <c r="DL76" s="384" t="n"/>
      <c r="DM76" s="385" t="n"/>
      <c r="DN76" s="386">
        <f>IF(Q75="作業者4",H78-H75,0)</f>
        <v/>
      </c>
      <c r="DO76" s="387" t="n"/>
      <c r="DP76" s="387" t="n"/>
      <c r="DQ76" s="387" t="n"/>
      <c r="DR76" s="388" t="n"/>
      <c r="DT76" s="253" t="inlineStr">
        <is>
          <t>時間内</t>
        </is>
      </c>
      <c r="DU76" s="384" t="n"/>
      <c r="DV76" s="384" t="n"/>
      <c r="DW76" s="385" t="n"/>
      <c r="DX76" s="386">
        <f>IF(Q75="作業者5",H78-H75,0)</f>
        <v/>
      </c>
      <c r="DY76" s="387" t="n"/>
      <c r="DZ76" s="387" t="n"/>
      <c r="EA76" s="387" t="n"/>
      <c r="EB76" s="388" t="n"/>
    </row>
    <row r="77" ht="9" customHeight="1" s="337">
      <c r="B77" s="350" t="n"/>
      <c r="C77" s="338" t="n"/>
      <c r="D77" s="380" t="n"/>
      <c r="E77" s="23" t="n"/>
      <c r="F77" s="338" t="n"/>
      <c r="G77" s="24" t="n"/>
      <c r="H77" s="23" t="n"/>
      <c r="I77" s="338" t="n"/>
      <c r="J77" s="24" t="n"/>
      <c r="K77" s="23" t="n"/>
      <c r="L77" s="338" t="n"/>
      <c r="M77" s="24" t="n"/>
      <c r="N77" s="23" t="n"/>
      <c r="O77" s="338" t="n"/>
      <c r="P77" s="24" t="n"/>
      <c r="Q77" s="382" t="n"/>
      <c r="R77" s="338" t="n"/>
      <c r="S77" s="380" t="n"/>
      <c r="T77" s="382" t="n"/>
      <c r="U77" s="338" t="n"/>
      <c r="V77" s="380" t="n"/>
      <c r="W77" s="382" t="n"/>
      <c r="X77" s="338" t="n"/>
      <c r="Y77" s="338" t="n"/>
      <c r="Z77" s="338" t="n"/>
      <c r="AA77" s="338" t="n"/>
      <c r="AB77" s="338" t="n"/>
      <c r="AC77" s="338" t="n"/>
      <c r="AD77" s="338" t="n"/>
      <c r="AE77" s="338" t="n"/>
      <c r="AF77" s="338" t="n"/>
      <c r="AG77" s="338" t="n"/>
      <c r="AH77" s="338" t="n"/>
      <c r="AI77" s="338" t="n"/>
      <c r="AJ77" s="338" t="n"/>
      <c r="AK77" s="338" t="n"/>
      <c r="AL77" s="338" t="n"/>
      <c r="AM77" s="338" t="n"/>
      <c r="AN77" s="338" t="n"/>
      <c r="AO77" s="338" t="n"/>
      <c r="AP77" s="338" t="n"/>
      <c r="AQ77" s="338" t="n"/>
      <c r="AR77" s="338" t="n"/>
      <c r="AS77" s="338" t="n"/>
      <c r="AT77" s="338" t="n"/>
      <c r="AU77" s="338" t="n"/>
      <c r="AV77" s="338" t="n"/>
      <c r="AW77" s="338" t="n"/>
      <c r="AX77" s="338" t="n"/>
      <c r="AY77" s="338" t="n"/>
      <c r="AZ77" s="338" t="n"/>
      <c r="BA77" s="338" t="n"/>
      <c r="BB77" s="338" t="n"/>
      <c r="BC77" s="338" t="n"/>
      <c r="BD77" s="338" t="n"/>
      <c r="BE77" s="338" t="n"/>
      <c r="BF77" s="338" t="n"/>
      <c r="BG77" s="338" t="n"/>
      <c r="BH77" s="338" t="n"/>
      <c r="BI77" s="338" t="n"/>
      <c r="BJ77" s="338" t="n"/>
      <c r="BK77" s="338" t="n"/>
      <c r="BL77" s="338" t="n"/>
      <c r="BM77" s="338" t="n"/>
      <c r="BN77" s="338" t="n"/>
      <c r="BO77" s="338" t="n"/>
      <c r="BP77" s="338" t="n"/>
      <c r="BQ77" s="338" t="n"/>
      <c r="BR77" s="338" t="n"/>
      <c r="BS77" s="338" t="n"/>
      <c r="BT77" s="338" t="n"/>
      <c r="BU77" s="338" t="n"/>
      <c r="BV77" s="338" t="n"/>
      <c r="BW77" s="338" t="n"/>
      <c r="BX77" s="338" t="n"/>
      <c r="BY77" s="338" t="n"/>
      <c r="BZ77" s="338" t="n"/>
      <c r="CA77" s="338" t="n"/>
      <c r="CB77" s="338" t="n"/>
      <c r="CC77" s="383" t="n"/>
      <c r="CF77" s="253" t="inlineStr">
        <is>
          <t>時間外</t>
        </is>
      </c>
      <c r="CG77" s="384" t="n"/>
      <c r="CH77" s="384" t="n"/>
      <c r="CI77" s="385" t="n"/>
      <c r="CJ77" s="386">
        <f>IF(Q75="作業者1",K78-K75,0)</f>
        <v/>
      </c>
      <c r="CK77" s="387" t="n"/>
      <c r="CL77" s="387" t="n"/>
      <c r="CM77" s="387" t="n"/>
      <c r="CN77" s="388" t="n"/>
      <c r="CP77" s="253" t="inlineStr">
        <is>
          <t>時間外</t>
        </is>
      </c>
      <c r="CQ77" s="384" t="n"/>
      <c r="CR77" s="384" t="n"/>
      <c r="CS77" s="385" t="n"/>
      <c r="CT77" s="386">
        <f>IF(Q75="作業者2",K78-K75,0)</f>
        <v/>
      </c>
      <c r="CU77" s="387" t="n"/>
      <c r="CV77" s="387" t="n"/>
      <c r="CW77" s="387" t="n"/>
      <c r="CX77" s="388" t="n"/>
      <c r="CZ77" s="253" t="inlineStr">
        <is>
          <t>時間外</t>
        </is>
      </c>
      <c r="DA77" s="384" t="n"/>
      <c r="DB77" s="384" t="n"/>
      <c r="DC77" s="385" t="n"/>
      <c r="DD77" s="386">
        <f>IF(Q75="作業者3",K78-K75,0)</f>
        <v/>
      </c>
      <c r="DE77" s="387" t="n"/>
      <c r="DF77" s="387" t="n"/>
      <c r="DG77" s="387" t="n"/>
      <c r="DH77" s="388" t="n"/>
      <c r="DJ77" s="253" t="inlineStr">
        <is>
          <t>時間外</t>
        </is>
      </c>
      <c r="DK77" s="384" t="n"/>
      <c r="DL77" s="384" t="n"/>
      <c r="DM77" s="385" t="n"/>
      <c r="DN77" s="386">
        <f>IF(Q75="作業者4",K78-K75,0)</f>
        <v/>
      </c>
      <c r="DO77" s="387" t="n"/>
      <c r="DP77" s="387" t="n"/>
      <c r="DQ77" s="387" t="n"/>
      <c r="DR77" s="388" t="n"/>
      <c r="DT77" s="253" t="inlineStr">
        <is>
          <t>時間外</t>
        </is>
      </c>
      <c r="DU77" s="384" t="n"/>
      <c r="DV77" s="384" t="n"/>
      <c r="DW77" s="385" t="n"/>
      <c r="DX77" s="386">
        <f>IF(Q75="作業者5",K78-K75,0)</f>
        <v/>
      </c>
      <c r="DY77" s="387" t="n"/>
      <c r="DZ77" s="387" t="n"/>
      <c r="EA77" s="387" t="n"/>
      <c r="EB77" s="388" t="n"/>
    </row>
    <row r="78" ht="9" customHeight="1" s="337">
      <c r="B78" s="389" t="n"/>
      <c r="C78" s="390" t="n"/>
      <c r="D78" s="391" t="n"/>
      <c r="E78" s="392" t="n"/>
      <c r="F78" s="390" t="n"/>
      <c r="G78" s="391" t="n"/>
      <c r="H78" s="392" t="n"/>
      <c r="I78" s="390" t="n"/>
      <c r="J78" s="391" t="n"/>
      <c r="K78" s="392" t="n"/>
      <c r="L78" s="390" t="n"/>
      <c r="M78" s="391" t="n"/>
      <c r="N78" s="392" t="n"/>
      <c r="O78" s="390" t="n"/>
      <c r="P78" s="391" t="n"/>
      <c r="Q78" s="393" t="n"/>
      <c r="R78" s="390" t="n"/>
      <c r="S78" s="391" t="n"/>
      <c r="T78" s="393" t="n"/>
      <c r="U78" s="390" t="n"/>
      <c r="V78" s="391" t="n"/>
      <c r="W78" s="393" t="n"/>
      <c r="X78" s="390" t="n"/>
      <c r="Y78" s="390" t="n"/>
      <c r="Z78" s="390" t="n"/>
      <c r="AA78" s="390" t="n"/>
      <c r="AB78" s="390" t="n"/>
      <c r="AC78" s="390" t="n"/>
      <c r="AD78" s="390" t="n"/>
      <c r="AE78" s="390" t="n"/>
      <c r="AF78" s="390" t="n"/>
      <c r="AG78" s="390" t="n"/>
      <c r="AH78" s="390" t="n"/>
      <c r="AI78" s="390" t="n"/>
      <c r="AJ78" s="390" t="n"/>
      <c r="AK78" s="390" t="n"/>
      <c r="AL78" s="390" t="n"/>
      <c r="AM78" s="390" t="n"/>
      <c r="AN78" s="390" t="n"/>
      <c r="AO78" s="390" t="n"/>
      <c r="AP78" s="390" t="n"/>
      <c r="AQ78" s="390" t="n"/>
      <c r="AR78" s="390" t="n"/>
      <c r="AS78" s="390" t="n"/>
      <c r="AT78" s="390" t="n"/>
      <c r="AU78" s="390" t="n"/>
      <c r="AV78" s="390" t="n"/>
      <c r="AW78" s="390" t="n"/>
      <c r="AX78" s="390" t="n"/>
      <c r="AY78" s="390" t="n"/>
      <c r="AZ78" s="390" t="n"/>
      <c r="BA78" s="390" t="n"/>
      <c r="BB78" s="390" t="n"/>
      <c r="BC78" s="390" t="n"/>
      <c r="BD78" s="390" t="n"/>
      <c r="BE78" s="390" t="n"/>
      <c r="BF78" s="390" t="n"/>
      <c r="BG78" s="390" t="n"/>
      <c r="BH78" s="390" t="n"/>
      <c r="BI78" s="390" t="n"/>
      <c r="BJ78" s="390" t="n"/>
      <c r="BK78" s="390" t="n"/>
      <c r="BL78" s="390" t="n"/>
      <c r="BM78" s="390" t="n"/>
      <c r="BN78" s="390" t="n"/>
      <c r="BO78" s="390" t="n"/>
      <c r="BP78" s="390" t="n"/>
      <c r="BQ78" s="390" t="n"/>
      <c r="BR78" s="390" t="n"/>
      <c r="BS78" s="390" t="n"/>
      <c r="BT78" s="390" t="n"/>
      <c r="BU78" s="390" t="n"/>
      <c r="BV78" s="390" t="n"/>
      <c r="BW78" s="390" t="n"/>
      <c r="BX78" s="390" t="n"/>
      <c r="BY78" s="390" t="n"/>
      <c r="BZ78" s="390" t="n"/>
      <c r="CA78" s="390" t="n"/>
      <c r="CB78" s="390" t="n"/>
      <c r="CC78" s="394" t="n"/>
      <c r="CF78" s="254" t="inlineStr">
        <is>
          <t>休日</t>
        </is>
      </c>
      <c r="CG78" s="395" t="n"/>
      <c r="CH78" s="395" t="n"/>
      <c r="CI78" s="396" t="n"/>
      <c r="CJ78" s="397">
        <f>IF(Q75="作業者1",N78-N75,0)</f>
        <v/>
      </c>
      <c r="CK78" s="395" t="n"/>
      <c r="CL78" s="395" t="n"/>
      <c r="CM78" s="395" t="n"/>
      <c r="CN78" s="396" t="n"/>
      <c r="CP78" s="254" t="inlineStr">
        <is>
          <t>休日</t>
        </is>
      </c>
      <c r="CQ78" s="395" t="n"/>
      <c r="CR78" s="395" t="n"/>
      <c r="CS78" s="396" t="n"/>
      <c r="CT78" s="397">
        <f>IF(Q75="作業者2",N78-N75,0)</f>
        <v/>
      </c>
      <c r="CU78" s="395" t="n"/>
      <c r="CV78" s="395" t="n"/>
      <c r="CW78" s="395" t="n"/>
      <c r="CX78" s="396" t="n"/>
      <c r="CZ78" s="254" t="inlineStr">
        <is>
          <t>休日</t>
        </is>
      </c>
      <c r="DA78" s="395" t="n"/>
      <c r="DB78" s="395" t="n"/>
      <c r="DC78" s="396" t="n"/>
      <c r="DD78" s="397">
        <f>IF(Q75="作業者3",N78-N75,0)</f>
        <v/>
      </c>
      <c r="DE78" s="395" t="n"/>
      <c r="DF78" s="395" t="n"/>
      <c r="DG78" s="395" t="n"/>
      <c r="DH78" s="396" t="n"/>
      <c r="DJ78" s="254" t="inlineStr">
        <is>
          <t>休日</t>
        </is>
      </c>
      <c r="DK78" s="395" t="n"/>
      <c r="DL78" s="395" t="n"/>
      <c r="DM78" s="396" t="n"/>
      <c r="DN78" s="397">
        <f>IF(Q75="作業者4",N78-N75,0)</f>
        <v/>
      </c>
      <c r="DO78" s="395" t="n"/>
      <c r="DP78" s="395" t="n"/>
      <c r="DQ78" s="395" t="n"/>
      <c r="DR78" s="396" t="n"/>
      <c r="DT78" s="254" t="inlineStr">
        <is>
          <t>休日</t>
        </is>
      </c>
      <c r="DU78" s="395" t="n"/>
      <c r="DV78" s="395" t="n"/>
      <c r="DW78" s="396" t="n"/>
      <c r="DX78" s="397">
        <f>IF(Q75="作業者5",N78-N75,0)</f>
        <v/>
      </c>
      <c r="DY78" s="395" t="n"/>
      <c r="DZ78" s="395" t="n"/>
      <c r="EA78" s="395" t="n"/>
      <c r="EB78" s="396" t="n"/>
    </row>
    <row r="79" ht="9" customHeight="1" s="337">
      <c r="B79" s="398" t="n"/>
      <c r="C79" s="372" t="n"/>
      <c r="D79" s="373" t="n"/>
      <c r="E79" s="399" t="n"/>
      <c r="F79" s="372" t="n"/>
      <c r="G79" s="373" t="n"/>
      <c r="H79" s="399" t="n"/>
      <c r="I79" s="372" t="n"/>
      <c r="J79" s="373" t="n"/>
      <c r="K79" s="399" t="n"/>
      <c r="L79" s="372" t="n"/>
      <c r="M79" s="373" t="n"/>
      <c r="N79" s="399" t="n"/>
      <c r="O79" s="372" t="n"/>
      <c r="P79" s="373" t="n"/>
      <c r="Q79" s="371" t="n"/>
      <c r="R79" s="372" t="n"/>
      <c r="S79" s="373" t="n"/>
      <c r="T79" s="371" t="n"/>
      <c r="U79" s="372" t="n"/>
      <c r="V79" s="373" t="n"/>
      <c r="W79" s="443" t="n"/>
      <c r="X79" s="372" t="n"/>
      <c r="Y79" s="372" t="n"/>
      <c r="Z79" s="372" t="n"/>
      <c r="AA79" s="372" t="n"/>
      <c r="AB79" s="372" t="n"/>
      <c r="AC79" s="372" t="n"/>
      <c r="AD79" s="372" t="n"/>
      <c r="AE79" s="372" t="n"/>
      <c r="AF79" s="372" t="n"/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AQ79" s="372" t="n"/>
      <c r="AR79" s="372" t="n"/>
      <c r="AS79" s="372" t="n"/>
      <c r="AT79" s="372" t="n"/>
      <c r="AU79" s="372" t="n"/>
      <c r="AV79" s="372" t="n"/>
      <c r="AW79" s="372" t="n"/>
      <c r="AX79" s="372" t="n"/>
      <c r="AY79" s="372" t="n"/>
      <c r="AZ79" s="372" t="n"/>
      <c r="BA79" s="372" t="n"/>
      <c r="BB79" s="372" t="n"/>
      <c r="BC79" s="372" t="n"/>
      <c r="BD79" s="372" t="n"/>
      <c r="BE79" s="372" t="n"/>
      <c r="BF79" s="372" t="n"/>
      <c r="BG79" s="372" t="n"/>
      <c r="BH79" s="372" t="n"/>
      <c r="BI79" s="372" t="n"/>
      <c r="BJ79" s="372" t="n"/>
      <c r="BK79" s="372" t="n"/>
      <c r="BL79" s="372" t="n"/>
      <c r="BM79" s="372" t="n"/>
      <c r="BN79" s="372" t="n"/>
      <c r="BO79" s="372" t="n"/>
      <c r="BP79" s="372" t="n"/>
      <c r="BQ79" s="372" t="n"/>
      <c r="BR79" s="372" t="n"/>
      <c r="BS79" s="372" t="n"/>
      <c r="BT79" s="372" t="n"/>
      <c r="BU79" s="372" t="n"/>
      <c r="BV79" s="372" t="n"/>
      <c r="BW79" s="372" t="n"/>
      <c r="BX79" s="372" t="n"/>
      <c r="BY79" s="372" t="n"/>
      <c r="BZ79" s="372" t="n"/>
      <c r="CA79" s="372" t="n"/>
      <c r="CB79" s="372" t="n"/>
      <c r="CC79" s="402" t="n"/>
      <c r="CF79" s="248" t="inlineStr">
        <is>
          <t>移動</t>
        </is>
      </c>
      <c r="CG79" s="377" t="n"/>
      <c r="CH79" s="377" t="n"/>
      <c r="CI79" s="378" t="n"/>
      <c r="CJ79" s="379">
        <f>IF(Q79="作業者1",E82-E79,0)</f>
        <v/>
      </c>
      <c r="CK79" s="377" t="n"/>
      <c r="CL79" s="377" t="n"/>
      <c r="CM79" s="377" t="n"/>
      <c r="CN79" s="378" t="n"/>
      <c r="CP79" s="248" t="inlineStr">
        <is>
          <t>移動</t>
        </is>
      </c>
      <c r="CQ79" s="377" t="n"/>
      <c r="CR79" s="377" t="n"/>
      <c r="CS79" s="378" t="n"/>
      <c r="CT79" s="379">
        <f>IF(Q79="作業者2",E82-E79,0)</f>
        <v/>
      </c>
      <c r="CU79" s="377" t="n"/>
      <c r="CV79" s="377" t="n"/>
      <c r="CW79" s="377" t="n"/>
      <c r="CX79" s="378" t="n"/>
      <c r="CZ79" s="248" t="inlineStr">
        <is>
          <t>移動</t>
        </is>
      </c>
      <c r="DA79" s="377" t="n"/>
      <c r="DB79" s="377" t="n"/>
      <c r="DC79" s="378" t="n"/>
      <c r="DD79" s="379">
        <f>IF(Q79="作業者3",E82-E79,0)</f>
        <v/>
      </c>
      <c r="DE79" s="377" t="n"/>
      <c r="DF79" s="377" t="n"/>
      <c r="DG79" s="377" t="n"/>
      <c r="DH79" s="378" t="n"/>
      <c r="DJ79" s="248" t="inlineStr">
        <is>
          <t>移動</t>
        </is>
      </c>
      <c r="DK79" s="377" t="n"/>
      <c r="DL79" s="377" t="n"/>
      <c r="DM79" s="378" t="n"/>
      <c r="DN79" s="379">
        <f>IF(Q79="作業者4",E82-E79,0)</f>
        <v/>
      </c>
      <c r="DO79" s="377" t="n"/>
      <c r="DP79" s="377" t="n"/>
      <c r="DQ79" s="377" t="n"/>
      <c r="DR79" s="378" t="n"/>
      <c r="DT79" s="259" t="inlineStr">
        <is>
          <t>移動</t>
        </is>
      </c>
      <c r="DU79" s="403" t="n"/>
      <c r="DV79" s="403" t="n"/>
      <c r="DW79" s="404" t="n"/>
      <c r="DX79" s="379">
        <f>IF(Q79="作業者5",E82-E79,0)</f>
        <v/>
      </c>
      <c r="DY79" s="377" t="n"/>
      <c r="DZ79" s="377" t="n"/>
      <c r="EA79" s="377" t="n"/>
      <c r="EB79" s="378" t="n"/>
    </row>
    <row r="80" ht="9" customHeight="1" s="337">
      <c r="B80" s="350" t="n"/>
      <c r="C80" s="338" t="n"/>
      <c r="D80" s="380" t="n"/>
      <c r="E80" s="381" t="n"/>
      <c r="F80" s="122" t="inlineStr">
        <is>
          <t>～</t>
        </is>
      </c>
      <c r="G80" s="22" t="n"/>
      <c r="H80" s="381" t="n"/>
      <c r="I80" s="122" t="inlineStr">
        <is>
          <t>～</t>
        </is>
      </c>
      <c r="J80" s="22" t="n"/>
      <c r="K80" s="381" t="n"/>
      <c r="L80" s="122" t="inlineStr">
        <is>
          <t>～</t>
        </is>
      </c>
      <c r="M80" s="22" t="n"/>
      <c r="N80" s="381" t="n"/>
      <c r="O80" s="122" t="inlineStr">
        <is>
          <t>～</t>
        </is>
      </c>
      <c r="P80" s="22" t="n"/>
      <c r="Q80" s="382" t="n"/>
      <c r="R80" s="338" t="n"/>
      <c r="S80" s="380" t="n"/>
      <c r="T80" s="382" t="n"/>
      <c r="U80" s="338" t="n"/>
      <c r="V80" s="380" t="n"/>
      <c r="W80" s="382" t="n"/>
      <c r="X80" s="338" t="n"/>
      <c r="Y80" s="338" t="n"/>
      <c r="Z80" s="338" t="n"/>
      <c r="AA80" s="338" t="n"/>
      <c r="AB80" s="338" t="n"/>
      <c r="AC80" s="338" t="n"/>
      <c r="AD80" s="338" t="n"/>
      <c r="AE80" s="338" t="n"/>
      <c r="AF80" s="338" t="n"/>
      <c r="AG80" s="338" t="n"/>
      <c r="AH80" s="338" t="n"/>
      <c r="AI80" s="338" t="n"/>
      <c r="AJ80" s="338" t="n"/>
      <c r="AK80" s="338" t="n"/>
      <c r="AL80" s="338" t="n"/>
      <c r="AM80" s="338" t="n"/>
      <c r="AN80" s="338" t="n"/>
      <c r="AO80" s="338" t="n"/>
      <c r="AP80" s="338" t="n"/>
      <c r="AQ80" s="338" t="n"/>
      <c r="AR80" s="338" t="n"/>
      <c r="AS80" s="338" t="n"/>
      <c r="AT80" s="338" t="n"/>
      <c r="AU80" s="338" t="n"/>
      <c r="AV80" s="338" t="n"/>
      <c r="AW80" s="338" t="n"/>
      <c r="AX80" s="338" t="n"/>
      <c r="AY80" s="338" t="n"/>
      <c r="AZ80" s="338" t="n"/>
      <c r="BA80" s="338" t="n"/>
      <c r="BB80" s="338" t="n"/>
      <c r="BC80" s="338" t="n"/>
      <c r="BD80" s="338" t="n"/>
      <c r="BE80" s="338" t="n"/>
      <c r="BF80" s="338" t="n"/>
      <c r="BG80" s="338" t="n"/>
      <c r="BH80" s="338" t="n"/>
      <c r="BI80" s="338" t="n"/>
      <c r="BJ80" s="338" t="n"/>
      <c r="BK80" s="338" t="n"/>
      <c r="BL80" s="338" t="n"/>
      <c r="BM80" s="338" t="n"/>
      <c r="BN80" s="338" t="n"/>
      <c r="BO80" s="338" t="n"/>
      <c r="BP80" s="338" t="n"/>
      <c r="BQ80" s="338" t="n"/>
      <c r="BR80" s="338" t="n"/>
      <c r="BS80" s="338" t="n"/>
      <c r="BT80" s="338" t="n"/>
      <c r="BU80" s="338" t="n"/>
      <c r="BV80" s="338" t="n"/>
      <c r="BW80" s="338" t="n"/>
      <c r="BX80" s="338" t="n"/>
      <c r="BY80" s="338" t="n"/>
      <c r="BZ80" s="338" t="n"/>
      <c r="CA80" s="338" t="n"/>
      <c r="CB80" s="338" t="n"/>
      <c r="CC80" s="383" t="n"/>
      <c r="CF80" s="253" t="inlineStr">
        <is>
          <t>時間内</t>
        </is>
      </c>
      <c r="CG80" s="384" t="n"/>
      <c r="CH80" s="384" t="n"/>
      <c r="CI80" s="385" t="n"/>
      <c r="CJ80" s="386">
        <f>IF(Q79="作業者1",H82-H79,0)</f>
        <v/>
      </c>
      <c r="CK80" s="387" t="n"/>
      <c r="CL80" s="387" t="n"/>
      <c r="CM80" s="387" t="n"/>
      <c r="CN80" s="388" t="n"/>
      <c r="CP80" s="253" t="inlineStr">
        <is>
          <t>時間内</t>
        </is>
      </c>
      <c r="CQ80" s="384" t="n"/>
      <c r="CR80" s="384" t="n"/>
      <c r="CS80" s="385" t="n"/>
      <c r="CT80" s="386">
        <f>IF(Q79="作業者2",H82-H79,0)</f>
        <v/>
      </c>
      <c r="CU80" s="387" t="n"/>
      <c r="CV80" s="387" t="n"/>
      <c r="CW80" s="387" t="n"/>
      <c r="CX80" s="388" t="n"/>
      <c r="CZ80" s="253" t="inlineStr">
        <is>
          <t>時間内</t>
        </is>
      </c>
      <c r="DA80" s="384" t="n"/>
      <c r="DB80" s="384" t="n"/>
      <c r="DC80" s="385" t="n"/>
      <c r="DD80" s="386">
        <f>IF(Q79="作業者3",H82-H79,0)</f>
        <v/>
      </c>
      <c r="DE80" s="387" t="n"/>
      <c r="DF80" s="387" t="n"/>
      <c r="DG80" s="387" t="n"/>
      <c r="DH80" s="388" t="n"/>
      <c r="DJ80" s="253" t="inlineStr">
        <is>
          <t>時間内</t>
        </is>
      </c>
      <c r="DK80" s="384" t="n"/>
      <c r="DL80" s="384" t="n"/>
      <c r="DM80" s="385" t="n"/>
      <c r="DN80" s="386">
        <f>IF(Q79="作業者4",H82-H79,0)</f>
        <v/>
      </c>
      <c r="DO80" s="387" t="n"/>
      <c r="DP80" s="387" t="n"/>
      <c r="DQ80" s="387" t="n"/>
      <c r="DR80" s="388" t="n"/>
      <c r="DT80" s="253" t="inlineStr">
        <is>
          <t>時間内</t>
        </is>
      </c>
      <c r="DU80" s="384" t="n"/>
      <c r="DV80" s="384" t="n"/>
      <c r="DW80" s="385" t="n"/>
      <c r="DX80" s="386">
        <f>IF(Q79="作業者5",H82-H79,0)</f>
        <v/>
      </c>
      <c r="DY80" s="387" t="n"/>
      <c r="DZ80" s="387" t="n"/>
      <c r="EA80" s="387" t="n"/>
      <c r="EB80" s="388" t="n"/>
    </row>
    <row r="81" ht="9" customHeight="1" s="337">
      <c r="B81" s="350" t="n"/>
      <c r="C81" s="338" t="n"/>
      <c r="D81" s="380" t="n"/>
      <c r="E81" s="23" t="n"/>
      <c r="F81" s="338" t="n"/>
      <c r="G81" s="24" t="n"/>
      <c r="H81" s="23" t="n"/>
      <c r="I81" s="338" t="n"/>
      <c r="J81" s="24" t="n"/>
      <c r="K81" s="23" t="n"/>
      <c r="L81" s="338" t="n"/>
      <c r="M81" s="24" t="n"/>
      <c r="N81" s="23" t="n"/>
      <c r="O81" s="338" t="n"/>
      <c r="P81" s="24" t="n"/>
      <c r="Q81" s="382" t="n"/>
      <c r="R81" s="338" t="n"/>
      <c r="S81" s="380" t="n"/>
      <c r="T81" s="382" t="n"/>
      <c r="U81" s="338" t="n"/>
      <c r="V81" s="380" t="n"/>
      <c r="W81" s="382" t="n"/>
      <c r="X81" s="338" t="n"/>
      <c r="Y81" s="338" t="n"/>
      <c r="Z81" s="338" t="n"/>
      <c r="AA81" s="338" t="n"/>
      <c r="AB81" s="338" t="n"/>
      <c r="AC81" s="338" t="n"/>
      <c r="AD81" s="338" t="n"/>
      <c r="AE81" s="338" t="n"/>
      <c r="AF81" s="338" t="n"/>
      <c r="AG81" s="338" t="n"/>
      <c r="AH81" s="338" t="n"/>
      <c r="AI81" s="338" t="n"/>
      <c r="AJ81" s="338" t="n"/>
      <c r="AK81" s="338" t="n"/>
      <c r="AL81" s="338" t="n"/>
      <c r="AM81" s="338" t="n"/>
      <c r="AN81" s="338" t="n"/>
      <c r="AO81" s="338" t="n"/>
      <c r="AP81" s="338" t="n"/>
      <c r="AQ81" s="338" t="n"/>
      <c r="AR81" s="338" t="n"/>
      <c r="AS81" s="338" t="n"/>
      <c r="AT81" s="338" t="n"/>
      <c r="AU81" s="338" t="n"/>
      <c r="AV81" s="338" t="n"/>
      <c r="AW81" s="338" t="n"/>
      <c r="AX81" s="338" t="n"/>
      <c r="AY81" s="338" t="n"/>
      <c r="AZ81" s="338" t="n"/>
      <c r="BA81" s="338" t="n"/>
      <c r="BB81" s="338" t="n"/>
      <c r="BC81" s="338" t="n"/>
      <c r="BD81" s="338" t="n"/>
      <c r="BE81" s="338" t="n"/>
      <c r="BF81" s="338" t="n"/>
      <c r="BG81" s="338" t="n"/>
      <c r="BH81" s="338" t="n"/>
      <c r="BI81" s="338" t="n"/>
      <c r="BJ81" s="338" t="n"/>
      <c r="BK81" s="338" t="n"/>
      <c r="BL81" s="338" t="n"/>
      <c r="BM81" s="338" t="n"/>
      <c r="BN81" s="338" t="n"/>
      <c r="BO81" s="338" t="n"/>
      <c r="BP81" s="338" t="n"/>
      <c r="BQ81" s="338" t="n"/>
      <c r="BR81" s="338" t="n"/>
      <c r="BS81" s="338" t="n"/>
      <c r="BT81" s="338" t="n"/>
      <c r="BU81" s="338" t="n"/>
      <c r="BV81" s="338" t="n"/>
      <c r="BW81" s="338" t="n"/>
      <c r="BX81" s="338" t="n"/>
      <c r="BY81" s="338" t="n"/>
      <c r="BZ81" s="338" t="n"/>
      <c r="CA81" s="338" t="n"/>
      <c r="CB81" s="338" t="n"/>
      <c r="CC81" s="383" t="n"/>
      <c r="CF81" s="253" t="inlineStr">
        <is>
          <t>時間外</t>
        </is>
      </c>
      <c r="CG81" s="384" t="n"/>
      <c r="CH81" s="384" t="n"/>
      <c r="CI81" s="385" t="n"/>
      <c r="CJ81" s="386">
        <f>IF(Q79="作業者1",K82-K79,0)</f>
        <v/>
      </c>
      <c r="CK81" s="387" t="n"/>
      <c r="CL81" s="387" t="n"/>
      <c r="CM81" s="387" t="n"/>
      <c r="CN81" s="388" t="n"/>
      <c r="CP81" s="253" t="inlineStr">
        <is>
          <t>時間外</t>
        </is>
      </c>
      <c r="CQ81" s="384" t="n"/>
      <c r="CR81" s="384" t="n"/>
      <c r="CS81" s="385" t="n"/>
      <c r="CT81" s="386">
        <f>IF(Q79="作業者2",K82-K79,0)</f>
        <v/>
      </c>
      <c r="CU81" s="387" t="n"/>
      <c r="CV81" s="387" t="n"/>
      <c r="CW81" s="387" t="n"/>
      <c r="CX81" s="388" t="n"/>
      <c r="CZ81" s="253" t="inlineStr">
        <is>
          <t>時間外</t>
        </is>
      </c>
      <c r="DA81" s="384" t="n"/>
      <c r="DB81" s="384" t="n"/>
      <c r="DC81" s="385" t="n"/>
      <c r="DD81" s="386">
        <f>IF(Q79="作業者3",K82-K79,0)</f>
        <v/>
      </c>
      <c r="DE81" s="387" t="n"/>
      <c r="DF81" s="387" t="n"/>
      <c r="DG81" s="387" t="n"/>
      <c r="DH81" s="388" t="n"/>
      <c r="DJ81" s="253" t="inlineStr">
        <is>
          <t>時間外</t>
        </is>
      </c>
      <c r="DK81" s="384" t="n"/>
      <c r="DL81" s="384" t="n"/>
      <c r="DM81" s="385" t="n"/>
      <c r="DN81" s="386">
        <f>IF(Q79="作業者4",K82-K79,0)</f>
        <v/>
      </c>
      <c r="DO81" s="387" t="n"/>
      <c r="DP81" s="387" t="n"/>
      <c r="DQ81" s="387" t="n"/>
      <c r="DR81" s="388" t="n"/>
      <c r="DT81" s="253" t="inlineStr">
        <is>
          <t>時間外</t>
        </is>
      </c>
      <c r="DU81" s="384" t="n"/>
      <c r="DV81" s="384" t="n"/>
      <c r="DW81" s="385" t="n"/>
      <c r="DX81" s="386">
        <f>IF(Q79="作業者5",K82-K79,0)</f>
        <v/>
      </c>
      <c r="DY81" s="387" t="n"/>
      <c r="DZ81" s="387" t="n"/>
      <c r="EA81" s="387" t="n"/>
      <c r="EB81" s="388" t="n"/>
    </row>
    <row r="82" ht="9" customHeight="1" s="337">
      <c r="B82" s="389" t="n"/>
      <c r="C82" s="390" t="n"/>
      <c r="D82" s="391" t="n"/>
      <c r="E82" s="392" t="n"/>
      <c r="F82" s="390" t="n"/>
      <c r="G82" s="391" t="n"/>
      <c r="H82" s="392" t="n"/>
      <c r="I82" s="390" t="n"/>
      <c r="J82" s="391" t="n"/>
      <c r="K82" s="392" t="n"/>
      <c r="L82" s="390" t="n"/>
      <c r="M82" s="391" t="n"/>
      <c r="N82" s="392" t="n"/>
      <c r="O82" s="390" t="n"/>
      <c r="P82" s="391" t="n"/>
      <c r="Q82" s="393" t="n"/>
      <c r="R82" s="390" t="n"/>
      <c r="S82" s="391" t="n"/>
      <c r="T82" s="393" t="n"/>
      <c r="U82" s="390" t="n"/>
      <c r="V82" s="391" t="n"/>
      <c r="W82" s="393" t="n"/>
      <c r="X82" s="390" t="n"/>
      <c r="Y82" s="390" t="n"/>
      <c r="Z82" s="390" t="n"/>
      <c r="AA82" s="390" t="n"/>
      <c r="AB82" s="390" t="n"/>
      <c r="AC82" s="390" t="n"/>
      <c r="AD82" s="390" t="n"/>
      <c r="AE82" s="390" t="n"/>
      <c r="AF82" s="390" t="n"/>
      <c r="AG82" s="390" t="n"/>
      <c r="AH82" s="390" t="n"/>
      <c r="AI82" s="390" t="n"/>
      <c r="AJ82" s="390" t="n"/>
      <c r="AK82" s="390" t="n"/>
      <c r="AL82" s="390" t="n"/>
      <c r="AM82" s="390" t="n"/>
      <c r="AN82" s="390" t="n"/>
      <c r="AO82" s="390" t="n"/>
      <c r="AP82" s="390" t="n"/>
      <c r="AQ82" s="390" t="n"/>
      <c r="AR82" s="390" t="n"/>
      <c r="AS82" s="390" t="n"/>
      <c r="AT82" s="390" t="n"/>
      <c r="AU82" s="390" t="n"/>
      <c r="AV82" s="390" t="n"/>
      <c r="AW82" s="390" t="n"/>
      <c r="AX82" s="390" t="n"/>
      <c r="AY82" s="390" t="n"/>
      <c r="AZ82" s="390" t="n"/>
      <c r="BA82" s="390" t="n"/>
      <c r="BB82" s="390" t="n"/>
      <c r="BC82" s="390" t="n"/>
      <c r="BD82" s="390" t="n"/>
      <c r="BE82" s="390" t="n"/>
      <c r="BF82" s="390" t="n"/>
      <c r="BG82" s="390" t="n"/>
      <c r="BH82" s="390" t="n"/>
      <c r="BI82" s="390" t="n"/>
      <c r="BJ82" s="390" t="n"/>
      <c r="BK82" s="390" t="n"/>
      <c r="BL82" s="390" t="n"/>
      <c r="BM82" s="390" t="n"/>
      <c r="BN82" s="390" t="n"/>
      <c r="BO82" s="390" t="n"/>
      <c r="BP82" s="390" t="n"/>
      <c r="BQ82" s="390" t="n"/>
      <c r="BR82" s="390" t="n"/>
      <c r="BS82" s="390" t="n"/>
      <c r="BT82" s="390" t="n"/>
      <c r="BU82" s="390" t="n"/>
      <c r="BV82" s="390" t="n"/>
      <c r="BW82" s="390" t="n"/>
      <c r="BX82" s="390" t="n"/>
      <c r="BY82" s="390" t="n"/>
      <c r="BZ82" s="390" t="n"/>
      <c r="CA82" s="390" t="n"/>
      <c r="CB82" s="390" t="n"/>
      <c r="CC82" s="394" t="n"/>
      <c r="CF82" s="254" t="inlineStr">
        <is>
          <t>休日</t>
        </is>
      </c>
      <c r="CG82" s="395" t="n"/>
      <c r="CH82" s="395" t="n"/>
      <c r="CI82" s="396" t="n"/>
      <c r="CJ82" s="386">
        <f>IF(Q79="作業者1",N82-N79,0)</f>
        <v/>
      </c>
      <c r="CK82" s="387" t="n"/>
      <c r="CL82" s="387" t="n"/>
      <c r="CM82" s="387" t="n"/>
      <c r="CN82" s="388" t="n"/>
      <c r="CP82" s="253" t="inlineStr">
        <is>
          <t>休日</t>
        </is>
      </c>
      <c r="CQ82" s="384" t="n"/>
      <c r="CR82" s="384" t="n"/>
      <c r="CS82" s="385" t="n"/>
      <c r="CT82" s="386">
        <f>IF(Q79="作業者2",N82-N79,0)</f>
        <v/>
      </c>
      <c r="CU82" s="387" t="n"/>
      <c r="CV82" s="387" t="n"/>
      <c r="CW82" s="387" t="n"/>
      <c r="CX82" s="388" t="n"/>
      <c r="CZ82" s="254" t="inlineStr">
        <is>
          <t>休日</t>
        </is>
      </c>
      <c r="DA82" s="395" t="n"/>
      <c r="DB82" s="395" t="n"/>
      <c r="DC82" s="396" t="n"/>
      <c r="DD82" s="397">
        <f>IF(Q79="作業者3",N82-N79,0)</f>
        <v/>
      </c>
      <c r="DE82" s="395" t="n"/>
      <c r="DF82" s="395" t="n"/>
      <c r="DG82" s="395" t="n"/>
      <c r="DH82" s="396" t="n"/>
      <c r="DJ82" s="254" t="inlineStr">
        <is>
          <t>休日</t>
        </is>
      </c>
      <c r="DK82" s="395" t="n"/>
      <c r="DL82" s="395" t="n"/>
      <c r="DM82" s="396" t="n"/>
      <c r="DN82" s="397">
        <f>IF(Q79="作業者4",N82-N79,0)</f>
        <v/>
      </c>
      <c r="DO82" s="395" t="n"/>
      <c r="DP82" s="395" t="n"/>
      <c r="DQ82" s="395" t="n"/>
      <c r="DR82" s="396" t="n"/>
      <c r="DT82" s="254" t="inlineStr">
        <is>
          <t>休日</t>
        </is>
      </c>
      <c r="DU82" s="395" t="n"/>
      <c r="DV82" s="395" t="n"/>
      <c r="DW82" s="396" t="n"/>
      <c r="DX82" s="397">
        <f>IF(Q79="作業者5",N82-N79,0)</f>
        <v/>
      </c>
      <c r="DY82" s="395" t="n"/>
      <c r="DZ82" s="395" t="n"/>
      <c r="EA82" s="395" t="n"/>
      <c r="EB82" s="396" t="n"/>
    </row>
    <row r="83" ht="9" customHeight="1" s="337">
      <c r="B83" s="398" t="n"/>
      <c r="C83" s="372" t="n"/>
      <c r="D83" s="373" t="n"/>
      <c r="E83" s="399" t="n"/>
      <c r="F83" s="372" t="n"/>
      <c r="G83" s="373" t="n"/>
      <c r="H83" s="399" t="n"/>
      <c r="I83" s="372" t="n"/>
      <c r="J83" s="373" t="n"/>
      <c r="K83" s="399" t="n"/>
      <c r="L83" s="372" t="n"/>
      <c r="M83" s="373" t="n"/>
      <c r="N83" s="399" t="n"/>
      <c r="O83" s="372" t="n"/>
      <c r="P83" s="373" t="n"/>
      <c r="Q83" s="371" t="n"/>
      <c r="R83" s="372" t="n"/>
      <c r="S83" s="373" t="n"/>
      <c r="T83" s="371" t="n"/>
      <c r="U83" s="372" t="n"/>
      <c r="V83" s="373" t="n"/>
      <c r="W83" s="443" t="n"/>
      <c r="X83" s="372" t="n"/>
      <c r="Y83" s="372" t="n"/>
      <c r="Z83" s="372" t="n"/>
      <c r="AA83" s="372" t="n"/>
      <c r="AB83" s="372" t="n"/>
      <c r="AC83" s="372" t="n"/>
      <c r="AD83" s="372" t="n"/>
      <c r="AE83" s="372" t="n"/>
      <c r="AF83" s="372" t="n"/>
      <c r="AG83" s="372" t="n"/>
      <c r="AH83" s="372" t="n"/>
      <c r="AI83" s="372" t="n"/>
      <c r="AJ83" s="372" t="n"/>
      <c r="AK83" s="372" t="n"/>
      <c r="AL83" s="372" t="n"/>
      <c r="AM83" s="372" t="n"/>
      <c r="AN83" s="372" t="n"/>
      <c r="AO83" s="372" t="n"/>
      <c r="AP83" s="372" t="n"/>
      <c r="AQ83" s="372" t="n"/>
      <c r="AR83" s="372" t="n"/>
      <c r="AS83" s="372" t="n"/>
      <c r="AT83" s="372" t="n"/>
      <c r="AU83" s="372" t="n"/>
      <c r="AV83" s="372" t="n"/>
      <c r="AW83" s="372" t="n"/>
      <c r="AX83" s="372" t="n"/>
      <c r="AY83" s="372" t="n"/>
      <c r="AZ83" s="372" t="n"/>
      <c r="BA83" s="372" t="n"/>
      <c r="BB83" s="372" t="n"/>
      <c r="BC83" s="372" t="n"/>
      <c r="BD83" s="372" t="n"/>
      <c r="BE83" s="372" t="n"/>
      <c r="BF83" s="372" t="n"/>
      <c r="BG83" s="372" t="n"/>
      <c r="BH83" s="372" t="n"/>
      <c r="BI83" s="372" t="n"/>
      <c r="BJ83" s="372" t="n"/>
      <c r="BK83" s="372" t="n"/>
      <c r="BL83" s="372" t="n"/>
      <c r="BM83" s="372" t="n"/>
      <c r="BN83" s="372" t="n"/>
      <c r="BO83" s="372" t="n"/>
      <c r="BP83" s="372" t="n"/>
      <c r="BQ83" s="372" t="n"/>
      <c r="BR83" s="372" t="n"/>
      <c r="BS83" s="372" t="n"/>
      <c r="BT83" s="372" t="n"/>
      <c r="BU83" s="372" t="n"/>
      <c r="BV83" s="372" t="n"/>
      <c r="BW83" s="372" t="n"/>
      <c r="BX83" s="372" t="n"/>
      <c r="BY83" s="372" t="n"/>
      <c r="BZ83" s="372" t="n"/>
      <c r="CA83" s="372" t="n"/>
      <c r="CB83" s="372" t="n"/>
      <c r="CC83" s="402" t="n"/>
      <c r="CF83" s="259" t="inlineStr">
        <is>
          <t>移動</t>
        </is>
      </c>
      <c r="CG83" s="403" t="n"/>
      <c r="CH83" s="403" t="n"/>
      <c r="CI83" s="404" t="n"/>
      <c r="CJ83" s="379">
        <f>IF(Q83="作業者1",E86-E83,0)</f>
        <v/>
      </c>
      <c r="CK83" s="377" t="n"/>
      <c r="CL83" s="377" t="n"/>
      <c r="CM83" s="377" t="n"/>
      <c r="CN83" s="378" t="n"/>
      <c r="CP83" s="248" t="inlineStr">
        <is>
          <t>移動</t>
        </is>
      </c>
      <c r="CQ83" s="377" t="n"/>
      <c r="CR83" s="377" t="n"/>
      <c r="CS83" s="378" t="n"/>
      <c r="CT83" s="379">
        <f>IF(Q83="作業者2",E86-E83,0)</f>
        <v/>
      </c>
      <c r="CU83" s="377" t="n"/>
      <c r="CV83" s="377" t="n"/>
      <c r="CW83" s="377" t="n"/>
      <c r="CX83" s="378" t="n"/>
      <c r="CZ83" s="259" t="inlineStr">
        <is>
          <t>移動</t>
        </is>
      </c>
      <c r="DA83" s="403" t="n"/>
      <c r="DB83" s="403" t="n"/>
      <c r="DC83" s="404" t="n"/>
      <c r="DD83" s="405">
        <f>IF(Q83="作業者3",E86-E83,0)</f>
        <v/>
      </c>
      <c r="DE83" s="406" t="n"/>
      <c r="DF83" s="406" t="n"/>
      <c r="DG83" s="406" t="n"/>
      <c r="DH83" s="407" t="n"/>
      <c r="DJ83" s="259" t="inlineStr">
        <is>
          <t>移動</t>
        </is>
      </c>
      <c r="DK83" s="403" t="n"/>
      <c r="DL83" s="403" t="n"/>
      <c r="DM83" s="404" t="n"/>
      <c r="DN83" s="379">
        <f>IF(Q83="作業者4",E86-E83,0)</f>
        <v/>
      </c>
      <c r="DO83" s="377" t="n"/>
      <c r="DP83" s="377" t="n"/>
      <c r="DQ83" s="377" t="n"/>
      <c r="DR83" s="378" t="n"/>
      <c r="DT83" s="259" t="inlineStr">
        <is>
          <t>移動</t>
        </is>
      </c>
      <c r="DU83" s="403" t="n"/>
      <c r="DV83" s="403" t="n"/>
      <c r="DW83" s="404" t="n"/>
      <c r="DX83" s="379">
        <f>IF(Q83="作業者5",E86-E83,0)</f>
        <v/>
      </c>
      <c r="DY83" s="377" t="n"/>
      <c r="DZ83" s="377" t="n"/>
      <c r="EA83" s="377" t="n"/>
      <c r="EB83" s="378" t="n"/>
    </row>
    <row r="84" ht="9" customHeight="1" s="337">
      <c r="B84" s="350" t="n"/>
      <c r="C84" s="338" t="n"/>
      <c r="D84" s="380" t="n"/>
      <c r="E84" s="381" t="n"/>
      <c r="F84" s="122" t="inlineStr">
        <is>
          <t>～</t>
        </is>
      </c>
      <c r="G84" s="22" t="n"/>
      <c r="H84" s="381" t="n"/>
      <c r="I84" s="122" t="inlineStr">
        <is>
          <t>～</t>
        </is>
      </c>
      <c r="J84" s="22" t="n"/>
      <c r="K84" s="381" t="n"/>
      <c r="L84" s="122" t="inlineStr">
        <is>
          <t>～</t>
        </is>
      </c>
      <c r="M84" s="22" t="n"/>
      <c r="N84" s="381" t="n"/>
      <c r="O84" s="122" t="inlineStr">
        <is>
          <t>～</t>
        </is>
      </c>
      <c r="P84" s="22" t="n"/>
      <c r="Q84" s="382" t="n"/>
      <c r="R84" s="338" t="n"/>
      <c r="S84" s="380" t="n"/>
      <c r="T84" s="382" t="n"/>
      <c r="U84" s="338" t="n"/>
      <c r="V84" s="380" t="n"/>
      <c r="W84" s="382" t="n"/>
      <c r="X84" s="338" t="n"/>
      <c r="Y84" s="338" t="n"/>
      <c r="Z84" s="338" t="n"/>
      <c r="AA84" s="338" t="n"/>
      <c r="AB84" s="338" t="n"/>
      <c r="AC84" s="338" t="n"/>
      <c r="AD84" s="338" t="n"/>
      <c r="AE84" s="338" t="n"/>
      <c r="AF84" s="338" t="n"/>
      <c r="AG84" s="338" t="n"/>
      <c r="AH84" s="338" t="n"/>
      <c r="AI84" s="338" t="n"/>
      <c r="AJ84" s="338" t="n"/>
      <c r="AK84" s="338" t="n"/>
      <c r="AL84" s="338" t="n"/>
      <c r="AM84" s="338" t="n"/>
      <c r="AN84" s="338" t="n"/>
      <c r="AO84" s="338" t="n"/>
      <c r="AP84" s="338" t="n"/>
      <c r="AQ84" s="338" t="n"/>
      <c r="AR84" s="338" t="n"/>
      <c r="AS84" s="338" t="n"/>
      <c r="AT84" s="338" t="n"/>
      <c r="AU84" s="338" t="n"/>
      <c r="AV84" s="338" t="n"/>
      <c r="AW84" s="338" t="n"/>
      <c r="AX84" s="338" t="n"/>
      <c r="AY84" s="338" t="n"/>
      <c r="AZ84" s="338" t="n"/>
      <c r="BA84" s="338" t="n"/>
      <c r="BB84" s="338" t="n"/>
      <c r="BC84" s="338" t="n"/>
      <c r="BD84" s="338" t="n"/>
      <c r="BE84" s="338" t="n"/>
      <c r="BF84" s="338" t="n"/>
      <c r="BG84" s="338" t="n"/>
      <c r="BH84" s="338" t="n"/>
      <c r="BI84" s="338" t="n"/>
      <c r="BJ84" s="338" t="n"/>
      <c r="BK84" s="338" t="n"/>
      <c r="BL84" s="338" t="n"/>
      <c r="BM84" s="338" t="n"/>
      <c r="BN84" s="338" t="n"/>
      <c r="BO84" s="338" t="n"/>
      <c r="BP84" s="338" t="n"/>
      <c r="BQ84" s="338" t="n"/>
      <c r="BR84" s="338" t="n"/>
      <c r="BS84" s="338" t="n"/>
      <c r="BT84" s="338" t="n"/>
      <c r="BU84" s="338" t="n"/>
      <c r="BV84" s="338" t="n"/>
      <c r="BW84" s="338" t="n"/>
      <c r="BX84" s="338" t="n"/>
      <c r="BY84" s="338" t="n"/>
      <c r="BZ84" s="338" t="n"/>
      <c r="CA84" s="338" t="n"/>
      <c r="CB84" s="338" t="n"/>
      <c r="CC84" s="383" t="n"/>
      <c r="CF84" s="253" t="inlineStr">
        <is>
          <t>時間内</t>
        </is>
      </c>
      <c r="CG84" s="384" t="n"/>
      <c r="CH84" s="384" t="n"/>
      <c r="CI84" s="385" t="n"/>
      <c r="CJ84" s="386">
        <f>IF(Q83="作業者1",H86-H83,0)</f>
        <v/>
      </c>
      <c r="CK84" s="387" t="n"/>
      <c r="CL84" s="387" t="n"/>
      <c r="CM84" s="387" t="n"/>
      <c r="CN84" s="388" t="n"/>
      <c r="CP84" s="253" t="inlineStr">
        <is>
          <t>時間内</t>
        </is>
      </c>
      <c r="CQ84" s="384" t="n"/>
      <c r="CR84" s="384" t="n"/>
      <c r="CS84" s="385" t="n"/>
      <c r="CT84" s="386">
        <f>IF(Q83="作業者2",H86-H83,0)</f>
        <v/>
      </c>
      <c r="CU84" s="387" t="n"/>
      <c r="CV84" s="387" t="n"/>
      <c r="CW84" s="387" t="n"/>
      <c r="CX84" s="388" t="n"/>
      <c r="CZ84" s="253" t="inlineStr">
        <is>
          <t>時間内</t>
        </is>
      </c>
      <c r="DA84" s="384" t="n"/>
      <c r="DB84" s="384" t="n"/>
      <c r="DC84" s="385" t="n"/>
      <c r="DD84" s="386">
        <f>IF(Q83="作業者3",H86-H83,0)</f>
        <v/>
      </c>
      <c r="DE84" s="387" t="n"/>
      <c r="DF84" s="387" t="n"/>
      <c r="DG84" s="387" t="n"/>
      <c r="DH84" s="388" t="n"/>
      <c r="DJ84" s="253" t="inlineStr">
        <is>
          <t>時間内</t>
        </is>
      </c>
      <c r="DK84" s="384" t="n"/>
      <c r="DL84" s="384" t="n"/>
      <c r="DM84" s="385" t="n"/>
      <c r="DN84" s="386">
        <f>IF(Q83="作業者4",H86-H83,0)</f>
        <v/>
      </c>
      <c r="DO84" s="387" t="n"/>
      <c r="DP84" s="387" t="n"/>
      <c r="DQ84" s="387" t="n"/>
      <c r="DR84" s="388" t="n"/>
      <c r="DT84" s="253" t="inlineStr">
        <is>
          <t>時間内</t>
        </is>
      </c>
      <c r="DU84" s="384" t="n"/>
      <c r="DV84" s="384" t="n"/>
      <c r="DW84" s="385" t="n"/>
      <c r="DX84" s="386">
        <f>IF(Q83="作業者5",H86-H83,0)</f>
        <v/>
      </c>
      <c r="DY84" s="387" t="n"/>
      <c r="DZ84" s="387" t="n"/>
      <c r="EA84" s="387" t="n"/>
      <c r="EB84" s="388" t="n"/>
    </row>
    <row r="85" ht="9" customHeight="1" s="337">
      <c r="B85" s="350" t="n"/>
      <c r="C85" s="338" t="n"/>
      <c r="D85" s="380" t="n"/>
      <c r="E85" s="23" t="n"/>
      <c r="F85" s="338" t="n"/>
      <c r="G85" s="24" t="n"/>
      <c r="H85" s="23" t="n"/>
      <c r="I85" s="338" t="n"/>
      <c r="J85" s="24" t="n"/>
      <c r="K85" s="23" t="n"/>
      <c r="L85" s="338" t="n"/>
      <c r="M85" s="24" t="n"/>
      <c r="N85" s="23" t="n"/>
      <c r="O85" s="338" t="n"/>
      <c r="P85" s="24" t="n"/>
      <c r="Q85" s="382" t="n"/>
      <c r="R85" s="338" t="n"/>
      <c r="S85" s="380" t="n"/>
      <c r="T85" s="382" t="n"/>
      <c r="U85" s="338" t="n"/>
      <c r="V85" s="380" t="n"/>
      <c r="W85" s="382" t="n"/>
      <c r="X85" s="338" t="n"/>
      <c r="Y85" s="338" t="n"/>
      <c r="Z85" s="338" t="n"/>
      <c r="AA85" s="338" t="n"/>
      <c r="AB85" s="338" t="n"/>
      <c r="AC85" s="338" t="n"/>
      <c r="AD85" s="338" t="n"/>
      <c r="AE85" s="338" t="n"/>
      <c r="AF85" s="338" t="n"/>
      <c r="AG85" s="338" t="n"/>
      <c r="AH85" s="338" t="n"/>
      <c r="AI85" s="338" t="n"/>
      <c r="AJ85" s="338" t="n"/>
      <c r="AK85" s="338" t="n"/>
      <c r="AL85" s="338" t="n"/>
      <c r="AM85" s="338" t="n"/>
      <c r="AN85" s="338" t="n"/>
      <c r="AO85" s="338" t="n"/>
      <c r="AP85" s="338" t="n"/>
      <c r="AQ85" s="338" t="n"/>
      <c r="AR85" s="338" t="n"/>
      <c r="AS85" s="338" t="n"/>
      <c r="AT85" s="338" t="n"/>
      <c r="AU85" s="338" t="n"/>
      <c r="AV85" s="338" t="n"/>
      <c r="AW85" s="338" t="n"/>
      <c r="AX85" s="338" t="n"/>
      <c r="AY85" s="338" t="n"/>
      <c r="AZ85" s="338" t="n"/>
      <c r="BA85" s="338" t="n"/>
      <c r="BB85" s="338" t="n"/>
      <c r="BC85" s="338" t="n"/>
      <c r="BD85" s="338" t="n"/>
      <c r="BE85" s="338" t="n"/>
      <c r="BF85" s="338" t="n"/>
      <c r="BG85" s="338" t="n"/>
      <c r="BH85" s="338" t="n"/>
      <c r="BI85" s="338" t="n"/>
      <c r="BJ85" s="338" t="n"/>
      <c r="BK85" s="338" t="n"/>
      <c r="BL85" s="338" t="n"/>
      <c r="BM85" s="338" t="n"/>
      <c r="BN85" s="338" t="n"/>
      <c r="BO85" s="338" t="n"/>
      <c r="BP85" s="338" t="n"/>
      <c r="BQ85" s="338" t="n"/>
      <c r="BR85" s="338" t="n"/>
      <c r="BS85" s="338" t="n"/>
      <c r="BT85" s="338" t="n"/>
      <c r="BU85" s="338" t="n"/>
      <c r="BV85" s="338" t="n"/>
      <c r="BW85" s="338" t="n"/>
      <c r="BX85" s="338" t="n"/>
      <c r="BY85" s="338" t="n"/>
      <c r="BZ85" s="338" t="n"/>
      <c r="CA85" s="338" t="n"/>
      <c r="CB85" s="338" t="n"/>
      <c r="CC85" s="383" t="n"/>
      <c r="CF85" s="253" t="inlineStr">
        <is>
          <t>時間外</t>
        </is>
      </c>
      <c r="CG85" s="384" t="n"/>
      <c r="CH85" s="384" t="n"/>
      <c r="CI85" s="385" t="n"/>
      <c r="CJ85" s="386">
        <f>IF(Q83="作業者1",K86-K83,0)</f>
        <v/>
      </c>
      <c r="CK85" s="387" t="n"/>
      <c r="CL85" s="387" t="n"/>
      <c r="CM85" s="387" t="n"/>
      <c r="CN85" s="388" t="n"/>
      <c r="CP85" s="253" t="inlineStr">
        <is>
          <t>時間外</t>
        </is>
      </c>
      <c r="CQ85" s="384" t="n"/>
      <c r="CR85" s="384" t="n"/>
      <c r="CS85" s="385" t="n"/>
      <c r="CT85" s="386">
        <f>IF(Q83="作業者2",K86-K83,0)</f>
        <v/>
      </c>
      <c r="CU85" s="387" t="n"/>
      <c r="CV85" s="387" t="n"/>
      <c r="CW85" s="387" t="n"/>
      <c r="CX85" s="388" t="n"/>
      <c r="CZ85" s="253" t="inlineStr">
        <is>
          <t>時間外</t>
        </is>
      </c>
      <c r="DA85" s="384" t="n"/>
      <c r="DB85" s="384" t="n"/>
      <c r="DC85" s="385" t="n"/>
      <c r="DD85" s="386">
        <f>IF(Q83="作業者3",K86-K83,0)</f>
        <v/>
      </c>
      <c r="DE85" s="387" t="n"/>
      <c r="DF85" s="387" t="n"/>
      <c r="DG85" s="387" t="n"/>
      <c r="DH85" s="388" t="n"/>
      <c r="DJ85" s="253" t="inlineStr">
        <is>
          <t>時間外</t>
        </is>
      </c>
      <c r="DK85" s="384" t="n"/>
      <c r="DL85" s="384" t="n"/>
      <c r="DM85" s="385" t="n"/>
      <c r="DN85" s="386">
        <f>IF(Q83="作業者4",K86-K83,0)</f>
        <v/>
      </c>
      <c r="DO85" s="387" t="n"/>
      <c r="DP85" s="387" t="n"/>
      <c r="DQ85" s="387" t="n"/>
      <c r="DR85" s="388" t="n"/>
      <c r="DT85" s="253" t="inlineStr">
        <is>
          <t>時間外</t>
        </is>
      </c>
      <c r="DU85" s="384" t="n"/>
      <c r="DV85" s="384" t="n"/>
      <c r="DW85" s="385" t="n"/>
      <c r="DX85" s="386">
        <f>IF(Q83="作業者5",K86-K83,0)</f>
        <v/>
      </c>
      <c r="DY85" s="387" t="n"/>
      <c r="DZ85" s="387" t="n"/>
      <c r="EA85" s="387" t="n"/>
      <c r="EB85" s="388" t="n"/>
    </row>
    <row r="86" ht="9" customHeight="1" s="337">
      <c r="B86" s="389" t="n"/>
      <c r="C86" s="390" t="n"/>
      <c r="D86" s="391" t="n"/>
      <c r="E86" s="392" t="n"/>
      <c r="F86" s="390" t="n"/>
      <c r="G86" s="391" t="n"/>
      <c r="H86" s="392" t="n"/>
      <c r="I86" s="390" t="n"/>
      <c r="J86" s="391" t="n"/>
      <c r="K86" s="392" t="n"/>
      <c r="L86" s="390" t="n"/>
      <c r="M86" s="391" t="n"/>
      <c r="N86" s="392" t="n"/>
      <c r="O86" s="390" t="n"/>
      <c r="P86" s="391" t="n"/>
      <c r="Q86" s="393" t="n"/>
      <c r="R86" s="390" t="n"/>
      <c r="S86" s="391" t="n"/>
      <c r="T86" s="393" t="n"/>
      <c r="U86" s="390" t="n"/>
      <c r="V86" s="391" t="n"/>
      <c r="W86" s="393" t="n"/>
      <c r="X86" s="390" t="n"/>
      <c r="Y86" s="390" t="n"/>
      <c r="Z86" s="390" t="n"/>
      <c r="AA86" s="390" t="n"/>
      <c r="AB86" s="390" t="n"/>
      <c r="AC86" s="390" t="n"/>
      <c r="AD86" s="390" t="n"/>
      <c r="AE86" s="390" t="n"/>
      <c r="AF86" s="390" t="n"/>
      <c r="AG86" s="390" t="n"/>
      <c r="AH86" s="390" t="n"/>
      <c r="AI86" s="390" t="n"/>
      <c r="AJ86" s="390" t="n"/>
      <c r="AK86" s="390" t="n"/>
      <c r="AL86" s="390" t="n"/>
      <c r="AM86" s="390" t="n"/>
      <c r="AN86" s="390" t="n"/>
      <c r="AO86" s="390" t="n"/>
      <c r="AP86" s="390" t="n"/>
      <c r="AQ86" s="390" t="n"/>
      <c r="AR86" s="390" t="n"/>
      <c r="AS86" s="390" t="n"/>
      <c r="AT86" s="390" t="n"/>
      <c r="AU86" s="390" t="n"/>
      <c r="AV86" s="390" t="n"/>
      <c r="AW86" s="390" t="n"/>
      <c r="AX86" s="390" t="n"/>
      <c r="AY86" s="390" t="n"/>
      <c r="AZ86" s="390" t="n"/>
      <c r="BA86" s="390" t="n"/>
      <c r="BB86" s="390" t="n"/>
      <c r="BC86" s="390" t="n"/>
      <c r="BD86" s="390" t="n"/>
      <c r="BE86" s="390" t="n"/>
      <c r="BF86" s="390" t="n"/>
      <c r="BG86" s="390" t="n"/>
      <c r="BH86" s="390" t="n"/>
      <c r="BI86" s="390" t="n"/>
      <c r="BJ86" s="390" t="n"/>
      <c r="BK86" s="390" t="n"/>
      <c r="BL86" s="390" t="n"/>
      <c r="BM86" s="390" t="n"/>
      <c r="BN86" s="390" t="n"/>
      <c r="BO86" s="390" t="n"/>
      <c r="BP86" s="390" t="n"/>
      <c r="BQ86" s="390" t="n"/>
      <c r="BR86" s="390" t="n"/>
      <c r="BS86" s="390" t="n"/>
      <c r="BT86" s="390" t="n"/>
      <c r="BU86" s="390" t="n"/>
      <c r="BV86" s="390" t="n"/>
      <c r="BW86" s="390" t="n"/>
      <c r="BX86" s="390" t="n"/>
      <c r="BY86" s="390" t="n"/>
      <c r="BZ86" s="390" t="n"/>
      <c r="CA86" s="390" t="n"/>
      <c r="CB86" s="390" t="n"/>
      <c r="CC86" s="394" t="n"/>
      <c r="CF86" s="254" t="inlineStr">
        <is>
          <t>休日</t>
        </is>
      </c>
      <c r="CG86" s="395" t="n"/>
      <c r="CH86" s="395" t="n"/>
      <c r="CI86" s="396" t="n"/>
      <c r="CJ86" s="397">
        <f>IF(Q83="作業者1",N86-N83,0)</f>
        <v/>
      </c>
      <c r="CK86" s="395" t="n"/>
      <c r="CL86" s="395" t="n"/>
      <c r="CM86" s="395" t="n"/>
      <c r="CN86" s="396" t="n"/>
      <c r="CP86" s="254" t="inlineStr">
        <is>
          <t>休日</t>
        </is>
      </c>
      <c r="CQ86" s="395" t="n"/>
      <c r="CR86" s="395" t="n"/>
      <c r="CS86" s="396" t="n"/>
      <c r="CT86" s="397">
        <f>IF(Q83="作業者2",N86-N83,0)</f>
        <v/>
      </c>
      <c r="CU86" s="395" t="n"/>
      <c r="CV86" s="395" t="n"/>
      <c r="CW86" s="395" t="n"/>
      <c r="CX86" s="396" t="n"/>
      <c r="CZ86" s="254" t="inlineStr">
        <is>
          <t>休日</t>
        </is>
      </c>
      <c r="DA86" s="395" t="n"/>
      <c r="DB86" s="395" t="n"/>
      <c r="DC86" s="396" t="n"/>
      <c r="DD86" s="397">
        <f>IF(Q83="作業者3",N86-N83,0)</f>
        <v/>
      </c>
      <c r="DE86" s="395" t="n"/>
      <c r="DF86" s="395" t="n"/>
      <c r="DG86" s="395" t="n"/>
      <c r="DH86" s="396" t="n"/>
      <c r="DJ86" s="254" t="inlineStr">
        <is>
          <t>休日</t>
        </is>
      </c>
      <c r="DK86" s="395" t="n"/>
      <c r="DL86" s="395" t="n"/>
      <c r="DM86" s="396" t="n"/>
      <c r="DN86" s="397">
        <f>IF(Q83="作業者4",N86-N83,0)</f>
        <v/>
      </c>
      <c r="DO86" s="395" t="n"/>
      <c r="DP86" s="395" t="n"/>
      <c r="DQ86" s="395" t="n"/>
      <c r="DR86" s="396" t="n"/>
      <c r="DT86" s="254" t="inlineStr">
        <is>
          <t>休日</t>
        </is>
      </c>
      <c r="DU86" s="395" t="n"/>
      <c r="DV86" s="395" t="n"/>
      <c r="DW86" s="396" t="n"/>
      <c r="DX86" s="397">
        <f>IF(Q83="作業者5",N86-N83,0)</f>
        <v/>
      </c>
      <c r="DY86" s="395" t="n"/>
      <c r="DZ86" s="395" t="n"/>
      <c r="EA86" s="395" t="n"/>
      <c r="EB86" s="396" t="n"/>
    </row>
    <row r="87" ht="9" customHeight="1" s="337">
      <c r="B87" s="398" t="n"/>
      <c r="C87" s="372" t="n"/>
      <c r="D87" s="373" t="n"/>
      <c r="E87" s="399" t="n"/>
      <c r="F87" s="372" t="n"/>
      <c r="G87" s="373" t="n"/>
      <c r="H87" s="399" t="n"/>
      <c r="I87" s="372" t="n"/>
      <c r="J87" s="373" t="n"/>
      <c r="K87" s="399" t="n"/>
      <c r="L87" s="372" t="n"/>
      <c r="M87" s="373" t="n"/>
      <c r="N87" s="399" t="n"/>
      <c r="O87" s="372" t="n"/>
      <c r="P87" s="373" t="n"/>
      <c r="Q87" s="371" t="n"/>
      <c r="R87" s="372" t="n"/>
      <c r="S87" s="373" t="n"/>
      <c r="T87" s="371" t="n"/>
      <c r="U87" s="372" t="n"/>
      <c r="V87" s="373" t="n"/>
      <c r="W87" s="443" t="n"/>
      <c r="X87" s="372" t="n"/>
      <c r="Y87" s="372" t="n"/>
      <c r="Z87" s="372" t="n"/>
      <c r="AA87" s="372" t="n"/>
      <c r="AB87" s="372" t="n"/>
      <c r="AC87" s="372" t="n"/>
      <c r="AD87" s="372" t="n"/>
      <c r="AE87" s="372" t="n"/>
      <c r="AF87" s="372" t="n"/>
      <c r="AG87" s="372" t="n"/>
      <c r="AH87" s="372" t="n"/>
      <c r="AI87" s="372" t="n"/>
      <c r="AJ87" s="372" t="n"/>
      <c r="AK87" s="372" t="n"/>
      <c r="AL87" s="372" t="n"/>
      <c r="AM87" s="372" t="n"/>
      <c r="AN87" s="372" t="n"/>
      <c r="AO87" s="372" t="n"/>
      <c r="AP87" s="372" t="n"/>
      <c r="AQ87" s="372" t="n"/>
      <c r="AR87" s="372" t="n"/>
      <c r="AS87" s="372" t="n"/>
      <c r="AT87" s="372" t="n"/>
      <c r="AU87" s="372" t="n"/>
      <c r="AV87" s="372" t="n"/>
      <c r="AW87" s="372" t="n"/>
      <c r="AX87" s="372" t="n"/>
      <c r="AY87" s="372" t="n"/>
      <c r="AZ87" s="372" t="n"/>
      <c r="BA87" s="372" t="n"/>
      <c r="BB87" s="372" t="n"/>
      <c r="BC87" s="372" t="n"/>
      <c r="BD87" s="372" t="n"/>
      <c r="BE87" s="372" t="n"/>
      <c r="BF87" s="372" t="n"/>
      <c r="BG87" s="372" t="n"/>
      <c r="BH87" s="372" t="n"/>
      <c r="BI87" s="372" t="n"/>
      <c r="BJ87" s="372" t="n"/>
      <c r="BK87" s="372" t="n"/>
      <c r="BL87" s="372" t="n"/>
      <c r="BM87" s="372" t="n"/>
      <c r="BN87" s="372" t="n"/>
      <c r="BO87" s="372" t="n"/>
      <c r="BP87" s="372" t="n"/>
      <c r="BQ87" s="372" t="n"/>
      <c r="BR87" s="372" t="n"/>
      <c r="BS87" s="372" t="n"/>
      <c r="BT87" s="372" t="n"/>
      <c r="BU87" s="372" t="n"/>
      <c r="BV87" s="372" t="n"/>
      <c r="BW87" s="372" t="n"/>
      <c r="BX87" s="372" t="n"/>
      <c r="BY87" s="372" t="n"/>
      <c r="BZ87" s="372" t="n"/>
      <c r="CA87" s="372" t="n"/>
      <c r="CB87" s="372" t="n"/>
      <c r="CC87" s="402" t="n"/>
      <c r="CF87" s="248" t="inlineStr">
        <is>
          <t>移動</t>
        </is>
      </c>
      <c r="CG87" s="377" t="n"/>
      <c r="CH87" s="377" t="n"/>
      <c r="CI87" s="378" t="n"/>
      <c r="CJ87" s="379">
        <f>IF(Q87="作業者1",E90-E87,0)</f>
        <v/>
      </c>
      <c r="CK87" s="377" t="n"/>
      <c r="CL87" s="377" t="n"/>
      <c r="CM87" s="377" t="n"/>
      <c r="CN87" s="378" t="n"/>
      <c r="CP87" s="248" t="inlineStr">
        <is>
          <t>移動</t>
        </is>
      </c>
      <c r="CQ87" s="377" t="n"/>
      <c r="CR87" s="377" t="n"/>
      <c r="CS87" s="378" t="n"/>
      <c r="CT87" s="379">
        <f>IF(Q87="作業者2",E90-E87,0)</f>
        <v/>
      </c>
      <c r="CU87" s="377" t="n"/>
      <c r="CV87" s="377" t="n"/>
      <c r="CW87" s="377" t="n"/>
      <c r="CX87" s="378" t="n"/>
      <c r="CZ87" s="248" t="inlineStr">
        <is>
          <t>移動</t>
        </is>
      </c>
      <c r="DA87" s="377" t="n"/>
      <c r="DB87" s="377" t="n"/>
      <c r="DC87" s="378" t="n"/>
      <c r="DD87" s="379">
        <f>IF(Q87="作業者3",E90-E87,0)</f>
        <v/>
      </c>
      <c r="DE87" s="377" t="n"/>
      <c r="DF87" s="377" t="n"/>
      <c r="DG87" s="377" t="n"/>
      <c r="DH87" s="378" t="n"/>
      <c r="DJ87" s="248" t="inlineStr">
        <is>
          <t>移動</t>
        </is>
      </c>
      <c r="DK87" s="377" t="n"/>
      <c r="DL87" s="377" t="n"/>
      <c r="DM87" s="378" t="n"/>
      <c r="DN87" s="379">
        <f>IF(Q87="作業者4",E90-E87,0)</f>
        <v/>
      </c>
      <c r="DO87" s="377" t="n"/>
      <c r="DP87" s="377" t="n"/>
      <c r="DQ87" s="377" t="n"/>
      <c r="DR87" s="378" t="n"/>
      <c r="DT87" s="259" t="inlineStr">
        <is>
          <t>移動</t>
        </is>
      </c>
      <c r="DU87" s="403" t="n"/>
      <c r="DV87" s="403" t="n"/>
      <c r="DW87" s="404" t="n"/>
      <c r="DX87" s="379">
        <f>IF(Q87="作業者5",E90-E87,0)</f>
        <v/>
      </c>
      <c r="DY87" s="377" t="n"/>
      <c r="DZ87" s="377" t="n"/>
      <c r="EA87" s="377" t="n"/>
      <c r="EB87" s="378" t="n"/>
    </row>
    <row r="88" ht="9" customHeight="1" s="337">
      <c r="B88" s="350" t="n"/>
      <c r="C88" s="338" t="n"/>
      <c r="D88" s="380" t="n"/>
      <c r="E88" s="381" t="n"/>
      <c r="F88" s="122" t="inlineStr">
        <is>
          <t>～</t>
        </is>
      </c>
      <c r="G88" s="22" t="n"/>
      <c r="H88" s="381" t="n"/>
      <c r="I88" s="122" t="inlineStr">
        <is>
          <t>～</t>
        </is>
      </c>
      <c r="J88" s="22" t="n"/>
      <c r="K88" s="381" t="n"/>
      <c r="L88" s="122" t="inlineStr">
        <is>
          <t>～</t>
        </is>
      </c>
      <c r="M88" s="22" t="n"/>
      <c r="N88" s="381" t="n"/>
      <c r="O88" s="122" t="inlineStr">
        <is>
          <t>～</t>
        </is>
      </c>
      <c r="P88" s="22" t="n"/>
      <c r="Q88" s="382" t="n"/>
      <c r="R88" s="338" t="n"/>
      <c r="S88" s="380" t="n"/>
      <c r="T88" s="382" t="n"/>
      <c r="U88" s="338" t="n"/>
      <c r="V88" s="380" t="n"/>
      <c r="W88" s="382" t="n"/>
      <c r="X88" s="338" t="n"/>
      <c r="Y88" s="338" t="n"/>
      <c r="Z88" s="338" t="n"/>
      <c r="AA88" s="338" t="n"/>
      <c r="AB88" s="338" t="n"/>
      <c r="AC88" s="338" t="n"/>
      <c r="AD88" s="338" t="n"/>
      <c r="AE88" s="338" t="n"/>
      <c r="AF88" s="338" t="n"/>
      <c r="AG88" s="338" t="n"/>
      <c r="AH88" s="338" t="n"/>
      <c r="AI88" s="338" t="n"/>
      <c r="AJ88" s="338" t="n"/>
      <c r="AK88" s="338" t="n"/>
      <c r="AL88" s="338" t="n"/>
      <c r="AM88" s="338" t="n"/>
      <c r="AN88" s="338" t="n"/>
      <c r="AO88" s="338" t="n"/>
      <c r="AP88" s="338" t="n"/>
      <c r="AQ88" s="338" t="n"/>
      <c r="AR88" s="338" t="n"/>
      <c r="AS88" s="338" t="n"/>
      <c r="AT88" s="338" t="n"/>
      <c r="AU88" s="338" t="n"/>
      <c r="AV88" s="338" t="n"/>
      <c r="AW88" s="338" t="n"/>
      <c r="AX88" s="338" t="n"/>
      <c r="AY88" s="338" t="n"/>
      <c r="AZ88" s="338" t="n"/>
      <c r="BA88" s="338" t="n"/>
      <c r="BB88" s="338" t="n"/>
      <c r="BC88" s="338" t="n"/>
      <c r="BD88" s="338" t="n"/>
      <c r="BE88" s="338" t="n"/>
      <c r="BF88" s="338" t="n"/>
      <c r="BG88" s="338" t="n"/>
      <c r="BH88" s="338" t="n"/>
      <c r="BI88" s="338" t="n"/>
      <c r="BJ88" s="338" t="n"/>
      <c r="BK88" s="338" t="n"/>
      <c r="BL88" s="338" t="n"/>
      <c r="BM88" s="338" t="n"/>
      <c r="BN88" s="338" t="n"/>
      <c r="BO88" s="338" t="n"/>
      <c r="BP88" s="338" t="n"/>
      <c r="BQ88" s="338" t="n"/>
      <c r="BR88" s="338" t="n"/>
      <c r="BS88" s="338" t="n"/>
      <c r="BT88" s="338" t="n"/>
      <c r="BU88" s="338" t="n"/>
      <c r="BV88" s="338" t="n"/>
      <c r="BW88" s="338" t="n"/>
      <c r="BX88" s="338" t="n"/>
      <c r="BY88" s="338" t="n"/>
      <c r="BZ88" s="338" t="n"/>
      <c r="CA88" s="338" t="n"/>
      <c r="CB88" s="338" t="n"/>
      <c r="CC88" s="383" t="n"/>
      <c r="CF88" s="253" t="inlineStr">
        <is>
          <t>時間内</t>
        </is>
      </c>
      <c r="CG88" s="384" t="n"/>
      <c r="CH88" s="384" t="n"/>
      <c r="CI88" s="385" t="n"/>
      <c r="CJ88" s="386">
        <f>IF(Q87="作業者1",H90-H87,0)</f>
        <v/>
      </c>
      <c r="CK88" s="387" t="n"/>
      <c r="CL88" s="387" t="n"/>
      <c r="CM88" s="387" t="n"/>
      <c r="CN88" s="388" t="n"/>
      <c r="CP88" s="253" t="inlineStr">
        <is>
          <t>時間内</t>
        </is>
      </c>
      <c r="CQ88" s="384" t="n"/>
      <c r="CR88" s="384" t="n"/>
      <c r="CS88" s="385" t="n"/>
      <c r="CT88" s="386">
        <f>IF(Q87="作業者2",H90-H87,0)</f>
        <v/>
      </c>
      <c r="CU88" s="387" t="n"/>
      <c r="CV88" s="387" t="n"/>
      <c r="CW88" s="387" t="n"/>
      <c r="CX88" s="388" t="n"/>
      <c r="CZ88" s="253" t="inlineStr">
        <is>
          <t>時間内</t>
        </is>
      </c>
      <c r="DA88" s="384" t="n"/>
      <c r="DB88" s="384" t="n"/>
      <c r="DC88" s="385" t="n"/>
      <c r="DD88" s="386">
        <f>IF(Q87="作業者3",H90-H87,0)</f>
        <v/>
      </c>
      <c r="DE88" s="387" t="n"/>
      <c r="DF88" s="387" t="n"/>
      <c r="DG88" s="387" t="n"/>
      <c r="DH88" s="388" t="n"/>
      <c r="DJ88" s="253" t="inlineStr">
        <is>
          <t>時間内</t>
        </is>
      </c>
      <c r="DK88" s="384" t="n"/>
      <c r="DL88" s="384" t="n"/>
      <c r="DM88" s="385" t="n"/>
      <c r="DN88" s="386">
        <f>IF(Q87="作業者4",H90-H87,0)</f>
        <v/>
      </c>
      <c r="DO88" s="387" t="n"/>
      <c r="DP88" s="387" t="n"/>
      <c r="DQ88" s="387" t="n"/>
      <c r="DR88" s="388" t="n"/>
      <c r="DT88" s="253" t="inlineStr">
        <is>
          <t>時間内</t>
        </is>
      </c>
      <c r="DU88" s="384" t="n"/>
      <c r="DV88" s="384" t="n"/>
      <c r="DW88" s="385" t="n"/>
      <c r="DX88" s="386">
        <f>IF(Q87="作業者5",H90-H87,0)</f>
        <v/>
      </c>
      <c r="DY88" s="387" t="n"/>
      <c r="DZ88" s="387" t="n"/>
      <c r="EA88" s="387" t="n"/>
      <c r="EB88" s="388" t="n"/>
    </row>
    <row r="89" ht="9" customHeight="1" s="337">
      <c r="B89" s="350" t="n"/>
      <c r="C89" s="338" t="n"/>
      <c r="D89" s="380" t="n"/>
      <c r="E89" s="23" t="n"/>
      <c r="F89" s="338" t="n"/>
      <c r="G89" s="24" t="n"/>
      <c r="H89" s="23" t="n"/>
      <c r="I89" s="338" t="n"/>
      <c r="J89" s="24" t="n"/>
      <c r="K89" s="23" t="n"/>
      <c r="L89" s="338" t="n"/>
      <c r="M89" s="24" t="n"/>
      <c r="N89" s="23" t="n"/>
      <c r="O89" s="338" t="n"/>
      <c r="P89" s="24" t="n"/>
      <c r="Q89" s="382" t="n"/>
      <c r="R89" s="338" t="n"/>
      <c r="S89" s="380" t="n"/>
      <c r="T89" s="382" t="n"/>
      <c r="U89" s="338" t="n"/>
      <c r="V89" s="380" t="n"/>
      <c r="W89" s="382" t="n"/>
      <c r="X89" s="338" t="n"/>
      <c r="Y89" s="338" t="n"/>
      <c r="Z89" s="338" t="n"/>
      <c r="AA89" s="338" t="n"/>
      <c r="AB89" s="338" t="n"/>
      <c r="AC89" s="338" t="n"/>
      <c r="AD89" s="338" t="n"/>
      <c r="AE89" s="338" t="n"/>
      <c r="AF89" s="338" t="n"/>
      <c r="AG89" s="338" t="n"/>
      <c r="AH89" s="338" t="n"/>
      <c r="AI89" s="338" t="n"/>
      <c r="AJ89" s="338" t="n"/>
      <c r="AK89" s="338" t="n"/>
      <c r="AL89" s="338" t="n"/>
      <c r="AM89" s="338" t="n"/>
      <c r="AN89" s="338" t="n"/>
      <c r="AO89" s="338" t="n"/>
      <c r="AP89" s="338" t="n"/>
      <c r="AQ89" s="338" t="n"/>
      <c r="AR89" s="338" t="n"/>
      <c r="AS89" s="338" t="n"/>
      <c r="AT89" s="338" t="n"/>
      <c r="AU89" s="338" t="n"/>
      <c r="AV89" s="338" t="n"/>
      <c r="AW89" s="338" t="n"/>
      <c r="AX89" s="338" t="n"/>
      <c r="AY89" s="338" t="n"/>
      <c r="AZ89" s="338" t="n"/>
      <c r="BA89" s="338" t="n"/>
      <c r="BB89" s="338" t="n"/>
      <c r="BC89" s="338" t="n"/>
      <c r="BD89" s="338" t="n"/>
      <c r="BE89" s="338" t="n"/>
      <c r="BF89" s="338" t="n"/>
      <c r="BG89" s="338" t="n"/>
      <c r="BH89" s="338" t="n"/>
      <c r="BI89" s="338" t="n"/>
      <c r="BJ89" s="338" t="n"/>
      <c r="BK89" s="338" t="n"/>
      <c r="BL89" s="338" t="n"/>
      <c r="BM89" s="338" t="n"/>
      <c r="BN89" s="338" t="n"/>
      <c r="BO89" s="338" t="n"/>
      <c r="BP89" s="338" t="n"/>
      <c r="BQ89" s="338" t="n"/>
      <c r="BR89" s="338" t="n"/>
      <c r="BS89" s="338" t="n"/>
      <c r="BT89" s="338" t="n"/>
      <c r="BU89" s="338" t="n"/>
      <c r="BV89" s="338" t="n"/>
      <c r="BW89" s="338" t="n"/>
      <c r="BX89" s="338" t="n"/>
      <c r="BY89" s="338" t="n"/>
      <c r="BZ89" s="338" t="n"/>
      <c r="CA89" s="338" t="n"/>
      <c r="CB89" s="338" t="n"/>
      <c r="CC89" s="383" t="n"/>
      <c r="CF89" s="253" t="inlineStr">
        <is>
          <t>時間外</t>
        </is>
      </c>
      <c r="CG89" s="384" t="n"/>
      <c r="CH89" s="384" t="n"/>
      <c r="CI89" s="385" t="n"/>
      <c r="CJ89" s="386">
        <f>IF(Q87="作業者1",K90-K87,0)</f>
        <v/>
      </c>
      <c r="CK89" s="387" t="n"/>
      <c r="CL89" s="387" t="n"/>
      <c r="CM89" s="387" t="n"/>
      <c r="CN89" s="388" t="n"/>
      <c r="CP89" s="253" t="inlineStr">
        <is>
          <t>時間外</t>
        </is>
      </c>
      <c r="CQ89" s="384" t="n"/>
      <c r="CR89" s="384" t="n"/>
      <c r="CS89" s="385" t="n"/>
      <c r="CT89" s="386">
        <f>IF(Q87="作業者2",K90-K87,0)</f>
        <v/>
      </c>
      <c r="CU89" s="387" t="n"/>
      <c r="CV89" s="387" t="n"/>
      <c r="CW89" s="387" t="n"/>
      <c r="CX89" s="388" t="n"/>
      <c r="CZ89" s="253" t="inlineStr">
        <is>
          <t>時間外</t>
        </is>
      </c>
      <c r="DA89" s="384" t="n"/>
      <c r="DB89" s="384" t="n"/>
      <c r="DC89" s="385" t="n"/>
      <c r="DD89" s="386">
        <f>IF(Q87="作業者3",K90-K87,0)</f>
        <v/>
      </c>
      <c r="DE89" s="387" t="n"/>
      <c r="DF89" s="387" t="n"/>
      <c r="DG89" s="387" t="n"/>
      <c r="DH89" s="388" t="n"/>
      <c r="DJ89" s="253" t="inlineStr">
        <is>
          <t>時間外</t>
        </is>
      </c>
      <c r="DK89" s="384" t="n"/>
      <c r="DL89" s="384" t="n"/>
      <c r="DM89" s="385" t="n"/>
      <c r="DN89" s="386">
        <f>IF(Q87="作業者4",K90-K87,0)</f>
        <v/>
      </c>
      <c r="DO89" s="387" t="n"/>
      <c r="DP89" s="387" t="n"/>
      <c r="DQ89" s="387" t="n"/>
      <c r="DR89" s="388" t="n"/>
      <c r="DT89" s="253" t="inlineStr">
        <is>
          <t>時間外</t>
        </is>
      </c>
      <c r="DU89" s="384" t="n"/>
      <c r="DV89" s="384" t="n"/>
      <c r="DW89" s="385" t="n"/>
      <c r="DX89" s="386">
        <f>IF(Q87="作業者5",K90-K87,0)</f>
        <v/>
      </c>
      <c r="DY89" s="387" t="n"/>
      <c r="DZ89" s="387" t="n"/>
      <c r="EA89" s="387" t="n"/>
      <c r="EB89" s="388" t="n"/>
    </row>
    <row r="90" ht="9" customHeight="1" s="337">
      <c r="B90" s="389" t="n"/>
      <c r="C90" s="390" t="n"/>
      <c r="D90" s="391" t="n"/>
      <c r="E90" s="392" t="n"/>
      <c r="F90" s="390" t="n"/>
      <c r="G90" s="391" t="n"/>
      <c r="H90" s="392" t="n"/>
      <c r="I90" s="390" t="n"/>
      <c r="J90" s="391" t="n"/>
      <c r="K90" s="392" t="n"/>
      <c r="L90" s="390" t="n"/>
      <c r="M90" s="391" t="n"/>
      <c r="N90" s="392" t="n"/>
      <c r="O90" s="390" t="n"/>
      <c r="P90" s="391" t="n"/>
      <c r="Q90" s="393" t="n"/>
      <c r="R90" s="390" t="n"/>
      <c r="S90" s="391" t="n"/>
      <c r="T90" s="393" t="n"/>
      <c r="U90" s="390" t="n"/>
      <c r="V90" s="391" t="n"/>
      <c r="W90" s="393" t="n"/>
      <c r="X90" s="390" t="n"/>
      <c r="Y90" s="390" t="n"/>
      <c r="Z90" s="390" t="n"/>
      <c r="AA90" s="390" t="n"/>
      <c r="AB90" s="390" t="n"/>
      <c r="AC90" s="390" t="n"/>
      <c r="AD90" s="390" t="n"/>
      <c r="AE90" s="390" t="n"/>
      <c r="AF90" s="390" t="n"/>
      <c r="AG90" s="390" t="n"/>
      <c r="AH90" s="390" t="n"/>
      <c r="AI90" s="390" t="n"/>
      <c r="AJ90" s="390" t="n"/>
      <c r="AK90" s="390" t="n"/>
      <c r="AL90" s="390" t="n"/>
      <c r="AM90" s="390" t="n"/>
      <c r="AN90" s="390" t="n"/>
      <c r="AO90" s="390" t="n"/>
      <c r="AP90" s="390" t="n"/>
      <c r="AQ90" s="390" t="n"/>
      <c r="AR90" s="390" t="n"/>
      <c r="AS90" s="390" t="n"/>
      <c r="AT90" s="390" t="n"/>
      <c r="AU90" s="390" t="n"/>
      <c r="AV90" s="390" t="n"/>
      <c r="AW90" s="390" t="n"/>
      <c r="AX90" s="390" t="n"/>
      <c r="AY90" s="390" t="n"/>
      <c r="AZ90" s="390" t="n"/>
      <c r="BA90" s="390" t="n"/>
      <c r="BB90" s="390" t="n"/>
      <c r="BC90" s="390" t="n"/>
      <c r="BD90" s="390" t="n"/>
      <c r="BE90" s="390" t="n"/>
      <c r="BF90" s="390" t="n"/>
      <c r="BG90" s="390" t="n"/>
      <c r="BH90" s="390" t="n"/>
      <c r="BI90" s="390" t="n"/>
      <c r="BJ90" s="390" t="n"/>
      <c r="BK90" s="390" t="n"/>
      <c r="BL90" s="390" t="n"/>
      <c r="BM90" s="390" t="n"/>
      <c r="BN90" s="390" t="n"/>
      <c r="BO90" s="390" t="n"/>
      <c r="BP90" s="390" t="n"/>
      <c r="BQ90" s="390" t="n"/>
      <c r="BR90" s="390" t="n"/>
      <c r="BS90" s="390" t="n"/>
      <c r="BT90" s="390" t="n"/>
      <c r="BU90" s="390" t="n"/>
      <c r="BV90" s="390" t="n"/>
      <c r="BW90" s="390" t="n"/>
      <c r="BX90" s="390" t="n"/>
      <c r="BY90" s="390" t="n"/>
      <c r="BZ90" s="390" t="n"/>
      <c r="CA90" s="390" t="n"/>
      <c r="CB90" s="390" t="n"/>
      <c r="CC90" s="394" t="n"/>
      <c r="CF90" s="254" t="inlineStr">
        <is>
          <t>休日</t>
        </is>
      </c>
      <c r="CG90" s="395" t="n"/>
      <c r="CH90" s="395" t="n"/>
      <c r="CI90" s="396" t="n"/>
      <c r="CJ90" s="386">
        <f>IF(Q87="作業者1",N90-N87,0)</f>
        <v/>
      </c>
      <c r="CK90" s="387" t="n"/>
      <c r="CL90" s="387" t="n"/>
      <c r="CM90" s="387" t="n"/>
      <c r="CN90" s="388" t="n"/>
      <c r="CP90" s="253" t="inlineStr">
        <is>
          <t>休日</t>
        </is>
      </c>
      <c r="CQ90" s="384" t="n"/>
      <c r="CR90" s="384" t="n"/>
      <c r="CS90" s="385" t="n"/>
      <c r="CT90" s="386">
        <f>IF(Q87="作業者2",N90-N87,0)</f>
        <v/>
      </c>
      <c r="CU90" s="387" t="n"/>
      <c r="CV90" s="387" t="n"/>
      <c r="CW90" s="387" t="n"/>
      <c r="CX90" s="388" t="n"/>
      <c r="CZ90" s="254" t="inlineStr">
        <is>
          <t>休日</t>
        </is>
      </c>
      <c r="DA90" s="395" t="n"/>
      <c r="DB90" s="395" t="n"/>
      <c r="DC90" s="396" t="n"/>
      <c r="DD90" s="397">
        <f>IF(Q87="作業者3",N90-N87,0)</f>
        <v/>
      </c>
      <c r="DE90" s="395" t="n"/>
      <c r="DF90" s="395" t="n"/>
      <c r="DG90" s="395" t="n"/>
      <c r="DH90" s="396" t="n"/>
      <c r="DJ90" s="254" t="inlineStr">
        <is>
          <t>休日</t>
        </is>
      </c>
      <c r="DK90" s="395" t="n"/>
      <c r="DL90" s="395" t="n"/>
      <c r="DM90" s="396" t="n"/>
      <c r="DN90" s="397">
        <f>IF(Q87="作業者4",N90-N87,0)</f>
        <v/>
      </c>
      <c r="DO90" s="395" t="n"/>
      <c r="DP90" s="395" t="n"/>
      <c r="DQ90" s="395" t="n"/>
      <c r="DR90" s="396" t="n"/>
      <c r="DT90" s="254" t="inlineStr">
        <is>
          <t>休日</t>
        </is>
      </c>
      <c r="DU90" s="395" t="n"/>
      <c r="DV90" s="395" t="n"/>
      <c r="DW90" s="396" t="n"/>
      <c r="DX90" s="397">
        <f>IF(Q87="作業者5",N90-N87,0)</f>
        <v/>
      </c>
      <c r="DY90" s="395" t="n"/>
      <c r="DZ90" s="395" t="n"/>
      <c r="EA90" s="395" t="n"/>
      <c r="EB90" s="396" t="n"/>
    </row>
    <row r="91" ht="9" customHeight="1" s="337">
      <c r="B91" s="398" t="n"/>
      <c r="C91" s="372" t="n"/>
      <c r="D91" s="373" t="n"/>
      <c r="E91" s="399" t="n"/>
      <c r="F91" s="372" t="n"/>
      <c r="G91" s="373" t="n"/>
      <c r="H91" s="399" t="n"/>
      <c r="I91" s="372" t="n"/>
      <c r="J91" s="373" t="n"/>
      <c r="K91" s="399" t="n"/>
      <c r="L91" s="372" t="n"/>
      <c r="M91" s="373" t="n"/>
      <c r="N91" s="399" t="n"/>
      <c r="O91" s="372" t="n"/>
      <c r="P91" s="373" t="n"/>
      <c r="Q91" s="371" t="n"/>
      <c r="R91" s="372" t="n"/>
      <c r="S91" s="373" t="n"/>
      <c r="T91" s="371" t="n"/>
      <c r="U91" s="372" t="n"/>
      <c r="V91" s="373" t="n"/>
      <c r="W91" s="443" t="n"/>
      <c r="X91" s="372" t="n"/>
      <c r="Y91" s="372" t="n"/>
      <c r="Z91" s="372" t="n"/>
      <c r="AA91" s="372" t="n"/>
      <c r="AB91" s="372" t="n"/>
      <c r="AC91" s="372" t="n"/>
      <c r="AD91" s="372" t="n"/>
      <c r="AE91" s="372" t="n"/>
      <c r="AF91" s="372" t="n"/>
      <c r="AG91" s="372" t="n"/>
      <c r="AH91" s="372" t="n"/>
      <c r="AI91" s="372" t="n"/>
      <c r="AJ91" s="372" t="n"/>
      <c r="AK91" s="372" t="n"/>
      <c r="AL91" s="372" t="n"/>
      <c r="AM91" s="372" t="n"/>
      <c r="AN91" s="372" t="n"/>
      <c r="AO91" s="372" t="n"/>
      <c r="AP91" s="372" t="n"/>
      <c r="AQ91" s="372" t="n"/>
      <c r="AR91" s="372" t="n"/>
      <c r="AS91" s="372" t="n"/>
      <c r="AT91" s="372" t="n"/>
      <c r="AU91" s="372" t="n"/>
      <c r="AV91" s="372" t="n"/>
      <c r="AW91" s="372" t="n"/>
      <c r="AX91" s="372" t="n"/>
      <c r="AY91" s="372" t="n"/>
      <c r="AZ91" s="372" t="n"/>
      <c r="BA91" s="372" t="n"/>
      <c r="BB91" s="372" t="n"/>
      <c r="BC91" s="372" t="n"/>
      <c r="BD91" s="372" t="n"/>
      <c r="BE91" s="372" t="n"/>
      <c r="BF91" s="372" t="n"/>
      <c r="BG91" s="372" t="n"/>
      <c r="BH91" s="372" t="n"/>
      <c r="BI91" s="372" t="n"/>
      <c r="BJ91" s="372" t="n"/>
      <c r="BK91" s="372" t="n"/>
      <c r="BL91" s="372" t="n"/>
      <c r="BM91" s="372" t="n"/>
      <c r="BN91" s="372" t="n"/>
      <c r="BO91" s="372" t="n"/>
      <c r="BP91" s="372" t="n"/>
      <c r="BQ91" s="372" t="n"/>
      <c r="BR91" s="372" t="n"/>
      <c r="BS91" s="372" t="n"/>
      <c r="BT91" s="372" t="n"/>
      <c r="BU91" s="372" t="n"/>
      <c r="BV91" s="372" t="n"/>
      <c r="BW91" s="372" t="n"/>
      <c r="BX91" s="372" t="n"/>
      <c r="BY91" s="372" t="n"/>
      <c r="BZ91" s="372" t="n"/>
      <c r="CA91" s="372" t="n"/>
      <c r="CB91" s="372" t="n"/>
      <c r="CC91" s="402" t="n"/>
      <c r="CF91" s="259" t="inlineStr">
        <is>
          <t>移動</t>
        </is>
      </c>
      <c r="CG91" s="403" t="n"/>
      <c r="CH91" s="403" t="n"/>
      <c r="CI91" s="404" t="n"/>
      <c r="CJ91" s="379">
        <f>IF(Q91="作業者1",E94-E91,0)</f>
        <v/>
      </c>
      <c r="CK91" s="377" t="n"/>
      <c r="CL91" s="377" t="n"/>
      <c r="CM91" s="377" t="n"/>
      <c r="CN91" s="378" t="n"/>
      <c r="CP91" s="248" t="inlineStr">
        <is>
          <t>移動</t>
        </is>
      </c>
      <c r="CQ91" s="377" t="n"/>
      <c r="CR91" s="377" t="n"/>
      <c r="CS91" s="378" t="n"/>
      <c r="CT91" s="379">
        <f>IF(Q91="作業者2",E94-E91,0)</f>
        <v/>
      </c>
      <c r="CU91" s="377" t="n"/>
      <c r="CV91" s="377" t="n"/>
      <c r="CW91" s="377" t="n"/>
      <c r="CX91" s="378" t="n"/>
      <c r="CZ91" s="259" t="inlineStr">
        <is>
          <t>移動</t>
        </is>
      </c>
      <c r="DA91" s="403" t="n"/>
      <c r="DB91" s="403" t="n"/>
      <c r="DC91" s="404" t="n"/>
      <c r="DD91" s="405">
        <f>IF(Q91="作業者3",E94-E91,0)</f>
        <v/>
      </c>
      <c r="DE91" s="406" t="n"/>
      <c r="DF91" s="406" t="n"/>
      <c r="DG91" s="406" t="n"/>
      <c r="DH91" s="407" t="n"/>
      <c r="DJ91" s="259" t="inlineStr">
        <is>
          <t>移動</t>
        </is>
      </c>
      <c r="DK91" s="403" t="n"/>
      <c r="DL91" s="403" t="n"/>
      <c r="DM91" s="404" t="n"/>
      <c r="DN91" s="379">
        <f>IF(Q91="作業者4",E94-E91,0)</f>
        <v/>
      </c>
      <c r="DO91" s="377" t="n"/>
      <c r="DP91" s="377" t="n"/>
      <c r="DQ91" s="377" t="n"/>
      <c r="DR91" s="378" t="n"/>
      <c r="DT91" s="259" t="inlineStr">
        <is>
          <t>移動</t>
        </is>
      </c>
      <c r="DU91" s="403" t="n"/>
      <c r="DV91" s="403" t="n"/>
      <c r="DW91" s="404" t="n"/>
      <c r="DX91" s="379">
        <f>IF(Q91="作業者5",E94-E91,0)</f>
        <v/>
      </c>
      <c r="DY91" s="377" t="n"/>
      <c r="DZ91" s="377" t="n"/>
      <c r="EA91" s="377" t="n"/>
      <c r="EB91" s="378" t="n"/>
    </row>
    <row r="92" ht="9" customHeight="1" s="337">
      <c r="B92" s="350" t="n"/>
      <c r="C92" s="338" t="n"/>
      <c r="D92" s="380" t="n"/>
      <c r="E92" s="381" t="n"/>
      <c r="F92" s="122" t="inlineStr">
        <is>
          <t>～</t>
        </is>
      </c>
      <c r="G92" s="22" t="n"/>
      <c r="H92" s="381" t="n"/>
      <c r="I92" s="122" t="inlineStr">
        <is>
          <t>～</t>
        </is>
      </c>
      <c r="J92" s="22" t="n"/>
      <c r="K92" s="381" t="n"/>
      <c r="L92" s="122" t="inlineStr">
        <is>
          <t>～</t>
        </is>
      </c>
      <c r="M92" s="22" t="n"/>
      <c r="N92" s="381" t="n"/>
      <c r="O92" s="122" t="inlineStr">
        <is>
          <t>～</t>
        </is>
      </c>
      <c r="P92" s="22" t="n"/>
      <c r="Q92" s="382" t="n"/>
      <c r="R92" s="338" t="n"/>
      <c r="S92" s="380" t="n"/>
      <c r="T92" s="382" t="n"/>
      <c r="U92" s="338" t="n"/>
      <c r="V92" s="380" t="n"/>
      <c r="W92" s="382" t="n"/>
      <c r="X92" s="338" t="n"/>
      <c r="Y92" s="338" t="n"/>
      <c r="Z92" s="338" t="n"/>
      <c r="AA92" s="338" t="n"/>
      <c r="AB92" s="338" t="n"/>
      <c r="AC92" s="338" t="n"/>
      <c r="AD92" s="338" t="n"/>
      <c r="AE92" s="338" t="n"/>
      <c r="AF92" s="338" t="n"/>
      <c r="AG92" s="338" t="n"/>
      <c r="AH92" s="338" t="n"/>
      <c r="AI92" s="338" t="n"/>
      <c r="AJ92" s="338" t="n"/>
      <c r="AK92" s="338" t="n"/>
      <c r="AL92" s="338" t="n"/>
      <c r="AM92" s="338" t="n"/>
      <c r="AN92" s="338" t="n"/>
      <c r="AO92" s="338" t="n"/>
      <c r="AP92" s="338" t="n"/>
      <c r="AQ92" s="338" t="n"/>
      <c r="AR92" s="338" t="n"/>
      <c r="AS92" s="338" t="n"/>
      <c r="AT92" s="338" t="n"/>
      <c r="AU92" s="338" t="n"/>
      <c r="AV92" s="338" t="n"/>
      <c r="AW92" s="338" t="n"/>
      <c r="AX92" s="338" t="n"/>
      <c r="AY92" s="338" t="n"/>
      <c r="AZ92" s="338" t="n"/>
      <c r="BA92" s="338" t="n"/>
      <c r="BB92" s="338" t="n"/>
      <c r="BC92" s="338" t="n"/>
      <c r="BD92" s="338" t="n"/>
      <c r="BE92" s="338" t="n"/>
      <c r="BF92" s="338" t="n"/>
      <c r="BG92" s="338" t="n"/>
      <c r="BH92" s="338" t="n"/>
      <c r="BI92" s="338" t="n"/>
      <c r="BJ92" s="338" t="n"/>
      <c r="BK92" s="338" t="n"/>
      <c r="BL92" s="338" t="n"/>
      <c r="BM92" s="338" t="n"/>
      <c r="BN92" s="338" t="n"/>
      <c r="BO92" s="338" t="n"/>
      <c r="BP92" s="338" t="n"/>
      <c r="BQ92" s="338" t="n"/>
      <c r="BR92" s="338" t="n"/>
      <c r="BS92" s="338" t="n"/>
      <c r="BT92" s="338" t="n"/>
      <c r="BU92" s="338" t="n"/>
      <c r="BV92" s="338" t="n"/>
      <c r="BW92" s="338" t="n"/>
      <c r="BX92" s="338" t="n"/>
      <c r="BY92" s="338" t="n"/>
      <c r="BZ92" s="338" t="n"/>
      <c r="CA92" s="338" t="n"/>
      <c r="CB92" s="338" t="n"/>
      <c r="CC92" s="383" t="n"/>
      <c r="CF92" s="253" t="inlineStr">
        <is>
          <t>時間内</t>
        </is>
      </c>
      <c r="CG92" s="384" t="n"/>
      <c r="CH92" s="384" t="n"/>
      <c r="CI92" s="385" t="n"/>
      <c r="CJ92" s="386">
        <f>IF(Q91="作業者1",H94-H91,0)</f>
        <v/>
      </c>
      <c r="CK92" s="387" t="n"/>
      <c r="CL92" s="387" t="n"/>
      <c r="CM92" s="387" t="n"/>
      <c r="CN92" s="388" t="n"/>
      <c r="CP92" s="253" t="inlineStr">
        <is>
          <t>時間内</t>
        </is>
      </c>
      <c r="CQ92" s="384" t="n"/>
      <c r="CR92" s="384" t="n"/>
      <c r="CS92" s="385" t="n"/>
      <c r="CT92" s="386">
        <f>IF(Q91="作業者2",H94-H91,0)</f>
        <v/>
      </c>
      <c r="CU92" s="387" t="n"/>
      <c r="CV92" s="387" t="n"/>
      <c r="CW92" s="387" t="n"/>
      <c r="CX92" s="388" t="n"/>
      <c r="CZ92" s="253" t="inlineStr">
        <is>
          <t>時間内</t>
        </is>
      </c>
      <c r="DA92" s="384" t="n"/>
      <c r="DB92" s="384" t="n"/>
      <c r="DC92" s="385" t="n"/>
      <c r="DD92" s="386">
        <f>IF(Q91="作業者3",H94-H91,0)</f>
        <v/>
      </c>
      <c r="DE92" s="387" t="n"/>
      <c r="DF92" s="387" t="n"/>
      <c r="DG92" s="387" t="n"/>
      <c r="DH92" s="388" t="n"/>
      <c r="DJ92" s="253" t="inlineStr">
        <is>
          <t>時間内</t>
        </is>
      </c>
      <c r="DK92" s="384" t="n"/>
      <c r="DL92" s="384" t="n"/>
      <c r="DM92" s="385" t="n"/>
      <c r="DN92" s="386">
        <f>IF(Q91="作業者4",H94-H91,0)</f>
        <v/>
      </c>
      <c r="DO92" s="387" t="n"/>
      <c r="DP92" s="387" t="n"/>
      <c r="DQ92" s="387" t="n"/>
      <c r="DR92" s="388" t="n"/>
      <c r="DT92" s="253" t="inlineStr">
        <is>
          <t>時間内</t>
        </is>
      </c>
      <c r="DU92" s="384" t="n"/>
      <c r="DV92" s="384" t="n"/>
      <c r="DW92" s="385" t="n"/>
      <c r="DX92" s="386">
        <f>IF(Q91="作業者5",H94-H91,0)</f>
        <v/>
      </c>
      <c r="DY92" s="387" t="n"/>
      <c r="DZ92" s="387" t="n"/>
      <c r="EA92" s="387" t="n"/>
      <c r="EB92" s="388" t="n"/>
    </row>
    <row r="93" ht="9" customHeight="1" s="337">
      <c r="B93" s="350" t="n"/>
      <c r="C93" s="338" t="n"/>
      <c r="D93" s="380" t="n"/>
      <c r="E93" s="23" t="n"/>
      <c r="F93" s="338" t="n"/>
      <c r="G93" s="24" t="n"/>
      <c r="H93" s="23" t="n"/>
      <c r="I93" s="338" t="n"/>
      <c r="J93" s="24" t="n"/>
      <c r="K93" s="23" t="n"/>
      <c r="L93" s="338" t="n"/>
      <c r="M93" s="24" t="n"/>
      <c r="N93" s="23" t="n"/>
      <c r="O93" s="338" t="n"/>
      <c r="P93" s="24" t="n"/>
      <c r="Q93" s="382" t="n"/>
      <c r="R93" s="338" t="n"/>
      <c r="S93" s="380" t="n"/>
      <c r="T93" s="382" t="n"/>
      <c r="U93" s="338" t="n"/>
      <c r="V93" s="380" t="n"/>
      <c r="W93" s="382" t="n"/>
      <c r="X93" s="338" t="n"/>
      <c r="Y93" s="338" t="n"/>
      <c r="Z93" s="338" t="n"/>
      <c r="AA93" s="338" t="n"/>
      <c r="AB93" s="338" t="n"/>
      <c r="AC93" s="338" t="n"/>
      <c r="AD93" s="338" t="n"/>
      <c r="AE93" s="338" t="n"/>
      <c r="AF93" s="338" t="n"/>
      <c r="AG93" s="338" t="n"/>
      <c r="AH93" s="338" t="n"/>
      <c r="AI93" s="338" t="n"/>
      <c r="AJ93" s="338" t="n"/>
      <c r="AK93" s="338" t="n"/>
      <c r="AL93" s="338" t="n"/>
      <c r="AM93" s="338" t="n"/>
      <c r="AN93" s="338" t="n"/>
      <c r="AO93" s="338" t="n"/>
      <c r="AP93" s="338" t="n"/>
      <c r="AQ93" s="338" t="n"/>
      <c r="AR93" s="338" t="n"/>
      <c r="AS93" s="338" t="n"/>
      <c r="AT93" s="338" t="n"/>
      <c r="AU93" s="338" t="n"/>
      <c r="AV93" s="338" t="n"/>
      <c r="AW93" s="338" t="n"/>
      <c r="AX93" s="338" t="n"/>
      <c r="AY93" s="338" t="n"/>
      <c r="AZ93" s="338" t="n"/>
      <c r="BA93" s="338" t="n"/>
      <c r="BB93" s="338" t="n"/>
      <c r="BC93" s="338" t="n"/>
      <c r="BD93" s="338" t="n"/>
      <c r="BE93" s="338" t="n"/>
      <c r="BF93" s="338" t="n"/>
      <c r="BG93" s="338" t="n"/>
      <c r="BH93" s="338" t="n"/>
      <c r="BI93" s="338" t="n"/>
      <c r="BJ93" s="338" t="n"/>
      <c r="BK93" s="338" t="n"/>
      <c r="BL93" s="338" t="n"/>
      <c r="BM93" s="338" t="n"/>
      <c r="BN93" s="338" t="n"/>
      <c r="BO93" s="338" t="n"/>
      <c r="BP93" s="338" t="n"/>
      <c r="BQ93" s="338" t="n"/>
      <c r="BR93" s="338" t="n"/>
      <c r="BS93" s="338" t="n"/>
      <c r="BT93" s="338" t="n"/>
      <c r="BU93" s="338" t="n"/>
      <c r="BV93" s="338" t="n"/>
      <c r="BW93" s="338" t="n"/>
      <c r="BX93" s="338" t="n"/>
      <c r="BY93" s="338" t="n"/>
      <c r="BZ93" s="338" t="n"/>
      <c r="CA93" s="338" t="n"/>
      <c r="CB93" s="338" t="n"/>
      <c r="CC93" s="383" t="n"/>
      <c r="CF93" s="253" t="inlineStr">
        <is>
          <t>時間外</t>
        </is>
      </c>
      <c r="CG93" s="384" t="n"/>
      <c r="CH93" s="384" t="n"/>
      <c r="CI93" s="385" t="n"/>
      <c r="CJ93" s="386">
        <f>IF(Q91="作業者1",K94-K91,0)</f>
        <v/>
      </c>
      <c r="CK93" s="387" t="n"/>
      <c r="CL93" s="387" t="n"/>
      <c r="CM93" s="387" t="n"/>
      <c r="CN93" s="388" t="n"/>
      <c r="CP93" s="253" t="inlineStr">
        <is>
          <t>時間外</t>
        </is>
      </c>
      <c r="CQ93" s="384" t="n"/>
      <c r="CR93" s="384" t="n"/>
      <c r="CS93" s="385" t="n"/>
      <c r="CT93" s="386">
        <f>IF(Q91="作業者2",K94-K91,0)</f>
        <v/>
      </c>
      <c r="CU93" s="387" t="n"/>
      <c r="CV93" s="387" t="n"/>
      <c r="CW93" s="387" t="n"/>
      <c r="CX93" s="388" t="n"/>
      <c r="CZ93" s="253" t="inlineStr">
        <is>
          <t>時間外</t>
        </is>
      </c>
      <c r="DA93" s="384" t="n"/>
      <c r="DB93" s="384" t="n"/>
      <c r="DC93" s="385" t="n"/>
      <c r="DD93" s="386">
        <f>IF(Q91="作業者3",K94-K91,0)</f>
        <v/>
      </c>
      <c r="DE93" s="387" t="n"/>
      <c r="DF93" s="387" t="n"/>
      <c r="DG93" s="387" t="n"/>
      <c r="DH93" s="388" t="n"/>
      <c r="DJ93" s="253" t="inlineStr">
        <is>
          <t>時間外</t>
        </is>
      </c>
      <c r="DK93" s="384" t="n"/>
      <c r="DL93" s="384" t="n"/>
      <c r="DM93" s="385" t="n"/>
      <c r="DN93" s="386">
        <f>IF(Q91="作業者4",K94-K91,0)</f>
        <v/>
      </c>
      <c r="DO93" s="387" t="n"/>
      <c r="DP93" s="387" t="n"/>
      <c r="DQ93" s="387" t="n"/>
      <c r="DR93" s="388" t="n"/>
      <c r="DT93" s="253" t="inlineStr">
        <is>
          <t>時間外</t>
        </is>
      </c>
      <c r="DU93" s="384" t="n"/>
      <c r="DV93" s="384" t="n"/>
      <c r="DW93" s="385" t="n"/>
      <c r="DX93" s="386">
        <f>IF(Q91="作業者5",K94-K91,0)</f>
        <v/>
      </c>
      <c r="DY93" s="387" t="n"/>
      <c r="DZ93" s="387" t="n"/>
      <c r="EA93" s="387" t="n"/>
      <c r="EB93" s="388" t="n"/>
    </row>
    <row r="94" ht="9" customHeight="1" s="337">
      <c r="B94" s="389" t="n"/>
      <c r="C94" s="390" t="n"/>
      <c r="D94" s="391" t="n"/>
      <c r="E94" s="392" t="n"/>
      <c r="F94" s="390" t="n"/>
      <c r="G94" s="391" t="n"/>
      <c r="H94" s="392" t="n"/>
      <c r="I94" s="390" t="n"/>
      <c r="J94" s="391" t="n"/>
      <c r="K94" s="392" t="n"/>
      <c r="L94" s="390" t="n"/>
      <c r="M94" s="391" t="n"/>
      <c r="N94" s="392" t="n"/>
      <c r="O94" s="390" t="n"/>
      <c r="P94" s="391" t="n"/>
      <c r="Q94" s="393" t="n"/>
      <c r="R94" s="390" t="n"/>
      <c r="S94" s="391" t="n"/>
      <c r="T94" s="393" t="n"/>
      <c r="U94" s="390" t="n"/>
      <c r="V94" s="391" t="n"/>
      <c r="W94" s="393" t="n"/>
      <c r="X94" s="390" t="n"/>
      <c r="Y94" s="390" t="n"/>
      <c r="Z94" s="390" t="n"/>
      <c r="AA94" s="390" t="n"/>
      <c r="AB94" s="390" t="n"/>
      <c r="AC94" s="390" t="n"/>
      <c r="AD94" s="390" t="n"/>
      <c r="AE94" s="390" t="n"/>
      <c r="AF94" s="390" t="n"/>
      <c r="AG94" s="390" t="n"/>
      <c r="AH94" s="390" t="n"/>
      <c r="AI94" s="390" t="n"/>
      <c r="AJ94" s="390" t="n"/>
      <c r="AK94" s="390" t="n"/>
      <c r="AL94" s="390" t="n"/>
      <c r="AM94" s="390" t="n"/>
      <c r="AN94" s="390" t="n"/>
      <c r="AO94" s="390" t="n"/>
      <c r="AP94" s="390" t="n"/>
      <c r="AQ94" s="390" t="n"/>
      <c r="AR94" s="390" t="n"/>
      <c r="AS94" s="390" t="n"/>
      <c r="AT94" s="390" t="n"/>
      <c r="AU94" s="390" t="n"/>
      <c r="AV94" s="390" t="n"/>
      <c r="AW94" s="390" t="n"/>
      <c r="AX94" s="390" t="n"/>
      <c r="AY94" s="390" t="n"/>
      <c r="AZ94" s="390" t="n"/>
      <c r="BA94" s="390" t="n"/>
      <c r="BB94" s="390" t="n"/>
      <c r="BC94" s="390" t="n"/>
      <c r="BD94" s="390" t="n"/>
      <c r="BE94" s="390" t="n"/>
      <c r="BF94" s="390" t="n"/>
      <c r="BG94" s="390" t="n"/>
      <c r="BH94" s="390" t="n"/>
      <c r="BI94" s="390" t="n"/>
      <c r="BJ94" s="390" t="n"/>
      <c r="BK94" s="390" t="n"/>
      <c r="BL94" s="390" t="n"/>
      <c r="BM94" s="390" t="n"/>
      <c r="BN94" s="390" t="n"/>
      <c r="BO94" s="390" t="n"/>
      <c r="BP94" s="390" t="n"/>
      <c r="BQ94" s="390" t="n"/>
      <c r="BR94" s="390" t="n"/>
      <c r="BS94" s="390" t="n"/>
      <c r="BT94" s="390" t="n"/>
      <c r="BU94" s="390" t="n"/>
      <c r="BV94" s="390" t="n"/>
      <c r="BW94" s="390" t="n"/>
      <c r="BX94" s="390" t="n"/>
      <c r="BY94" s="390" t="n"/>
      <c r="BZ94" s="390" t="n"/>
      <c r="CA94" s="390" t="n"/>
      <c r="CB94" s="390" t="n"/>
      <c r="CC94" s="394" t="n"/>
      <c r="CF94" s="254" t="inlineStr">
        <is>
          <t>休日</t>
        </is>
      </c>
      <c r="CG94" s="395" t="n"/>
      <c r="CH94" s="395" t="n"/>
      <c r="CI94" s="396" t="n"/>
      <c r="CJ94" s="397">
        <f>IF(Q91="作業者1",N94-N91,0)</f>
        <v/>
      </c>
      <c r="CK94" s="395" t="n"/>
      <c r="CL94" s="395" t="n"/>
      <c r="CM94" s="395" t="n"/>
      <c r="CN94" s="396" t="n"/>
      <c r="CP94" s="254" t="inlineStr">
        <is>
          <t>休日</t>
        </is>
      </c>
      <c r="CQ94" s="395" t="n"/>
      <c r="CR94" s="395" t="n"/>
      <c r="CS94" s="396" t="n"/>
      <c r="CT94" s="397">
        <f>IF(Q91="作業者2",N94-N91,0)</f>
        <v/>
      </c>
      <c r="CU94" s="395" t="n"/>
      <c r="CV94" s="395" t="n"/>
      <c r="CW94" s="395" t="n"/>
      <c r="CX94" s="396" t="n"/>
      <c r="CZ94" s="254" t="inlineStr">
        <is>
          <t>休日</t>
        </is>
      </c>
      <c r="DA94" s="395" t="n"/>
      <c r="DB94" s="395" t="n"/>
      <c r="DC94" s="396" t="n"/>
      <c r="DD94" s="397">
        <f>IF(Q91="作業者3",N94-N91,0)</f>
        <v/>
      </c>
      <c r="DE94" s="395" t="n"/>
      <c r="DF94" s="395" t="n"/>
      <c r="DG94" s="395" t="n"/>
      <c r="DH94" s="396" t="n"/>
      <c r="DJ94" s="254" t="inlineStr">
        <is>
          <t>休日</t>
        </is>
      </c>
      <c r="DK94" s="395" t="n"/>
      <c r="DL94" s="395" t="n"/>
      <c r="DM94" s="396" t="n"/>
      <c r="DN94" s="397">
        <f>IF(Q91="作業者4",N94-N91,0)</f>
        <v/>
      </c>
      <c r="DO94" s="395" t="n"/>
      <c r="DP94" s="395" t="n"/>
      <c r="DQ94" s="395" t="n"/>
      <c r="DR94" s="396" t="n"/>
      <c r="DT94" s="254" t="inlineStr">
        <is>
          <t>休日</t>
        </is>
      </c>
      <c r="DU94" s="395" t="n"/>
      <c r="DV94" s="395" t="n"/>
      <c r="DW94" s="396" t="n"/>
      <c r="DX94" s="397">
        <f>IF(Q91="作業者5",N94-N91,0)</f>
        <v/>
      </c>
      <c r="DY94" s="395" t="n"/>
      <c r="DZ94" s="395" t="n"/>
      <c r="EA94" s="395" t="n"/>
      <c r="EB94" s="396" t="n"/>
    </row>
    <row r="95" ht="9" customHeight="1" s="337">
      <c r="B95" s="398" t="n"/>
      <c r="C95" s="372" t="n"/>
      <c r="D95" s="373" t="n"/>
      <c r="E95" s="399" t="n"/>
      <c r="F95" s="372" t="n"/>
      <c r="G95" s="373" t="n"/>
      <c r="H95" s="399" t="n"/>
      <c r="I95" s="372" t="n"/>
      <c r="J95" s="373" t="n"/>
      <c r="K95" s="399" t="n"/>
      <c r="L95" s="372" t="n"/>
      <c r="M95" s="373" t="n"/>
      <c r="N95" s="399" t="n"/>
      <c r="O95" s="372" t="n"/>
      <c r="P95" s="373" t="n"/>
      <c r="Q95" s="371" t="n"/>
      <c r="R95" s="372" t="n"/>
      <c r="S95" s="373" t="n"/>
      <c r="T95" s="371" t="n"/>
      <c r="U95" s="372" t="n"/>
      <c r="V95" s="373" t="n"/>
      <c r="W95" s="443" t="n"/>
      <c r="X95" s="372" t="n"/>
      <c r="Y95" s="372" t="n"/>
      <c r="Z95" s="372" t="n"/>
      <c r="AA95" s="372" t="n"/>
      <c r="AB95" s="372" t="n"/>
      <c r="AC95" s="372" t="n"/>
      <c r="AD95" s="372" t="n"/>
      <c r="AE95" s="372" t="n"/>
      <c r="AF95" s="372" t="n"/>
      <c r="AG95" s="372" t="n"/>
      <c r="AH95" s="372" t="n"/>
      <c r="AI95" s="372" t="n"/>
      <c r="AJ95" s="372" t="n"/>
      <c r="AK95" s="372" t="n"/>
      <c r="AL95" s="372" t="n"/>
      <c r="AM95" s="372" t="n"/>
      <c r="AN95" s="372" t="n"/>
      <c r="AO95" s="372" t="n"/>
      <c r="AP95" s="372" t="n"/>
      <c r="AQ95" s="372" t="n"/>
      <c r="AR95" s="372" t="n"/>
      <c r="AS95" s="372" t="n"/>
      <c r="AT95" s="372" t="n"/>
      <c r="AU95" s="372" t="n"/>
      <c r="AV95" s="372" t="n"/>
      <c r="AW95" s="372" t="n"/>
      <c r="AX95" s="372" t="n"/>
      <c r="AY95" s="372" t="n"/>
      <c r="AZ95" s="372" t="n"/>
      <c r="BA95" s="372" t="n"/>
      <c r="BB95" s="372" t="n"/>
      <c r="BC95" s="372" t="n"/>
      <c r="BD95" s="372" t="n"/>
      <c r="BE95" s="372" t="n"/>
      <c r="BF95" s="372" t="n"/>
      <c r="BG95" s="372" t="n"/>
      <c r="BH95" s="372" t="n"/>
      <c r="BI95" s="372" t="n"/>
      <c r="BJ95" s="372" t="n"/>
      <c r="BK95" s="372" t="n"/>
      <c r="BL95" s="372" t="n"/>
      <c r="BM95" s="372" t="n"/>
      <c r="BN95" s="372" t="n"/>
      <c r="BO95" s="372" t="n"/>
      <c r="BP95" s="372" t="n"/>
      <c r="BQ95" s="372" t="n"/>
      <c r="BR95" s="372" t="n"/>
      <c r="BS95" s="372" t="n"/>
      <c r="BT95" s="372" t="n"/>
      <c r="BU95" s="372" t="n"/>
      <c r="BV95" s="372" t="n"/>
      <c r="BW95" s="372" t="n"/>
      <c r="BX95" s="372" t="n"/>
      <c r="BY95" s="372" t="n"/>
      <c r="BZ95" s="372" t="n"/>
      <c r="CA95" s="372" t="n"/>
      <c r="CB95" s="372" t="n"/>
      <c r="CC95" s="402" t="n"/>
      <c r="CF95" s="248" t="inlineStr">
        <is>
          <t>移動</t>
        </is>
      </c>
      <c r="CG95" s="377" t="n"/>
      <c r="CH95" s="377" t="n"/>
      <c r="CI95" s="378" t="n"/>
      <c r="CJ95" s="379">
        <f>IF(Q95="作業者1",E98-E95,0)</f>
        <v/>
      </c>
      <c r="CK95" s="377" t="n"/>
      <c r="CL95" s="377" t="n"/>
      <c r="CM95" s="377" t="n"/>
      <c r="CN95" s="378" t="n"/>
      <c r="CP95" s="248" t="inlineStr">
        <is>
          <t>移動</t>
        </is>
      </c>
      <c r="CQ95" s="377" t="n"/>
      <c r="CR95" s="377" t="n"/>
      <c r="CS95" s="378" t="n"/>
      <c r="CT95" s="379">
        <f>IF(Q95="作業者2",E98-E95,0)</f>
        <v/>
      </c>
      <c r="CU95" s="377" t="n"/>
      <c r="CV95" s="377" t="n"/>
      <c r="CW95" s="377" t="n"/>
      <c r="CX95" s="378" t="n"/>
      <c r="CZ95" s="248" t="inlineStr">
        <is>
          <t>移動</t>
        </is>
      </c>
      <c r="DA95" s="377" t="n"/>
      <c r="DB95" s="377" t="n"/>
      <c r="DC95" s="378" t="n"/>
      <c r="DD95" s="379">
        <f>IF(Q95="作業者3",E98-E95,0)</f>
        <v/>
      </c>
      <c r="DE95" s="377" t="n"/>
      <c r="DF95" s="377" t="n"/>
      <c r="DG95" s="377" t="n"/>
      <c r="DH95" s="378" t="n"/>
      <c r="DJ95" s="248" t="inlineStr">
        <is>
          <t>移動</t>
        </is>
      </c>
      <c r="DK95" s="377" t="n"/>
      <c r="DL95" s="377" t="n"/>
      <c r="DM95" s="378" t="n"/>
      <c r="DN95" s="379">
        <f>IF(Q95="作業者4",E98-E95,0)</f>
        <v/>
      </c>
      <c r="DO95" s="377" t="n"/>
      <c r="DP95" s="377" t="n"/>
      <c r="DQ95" s="377" t="n"/>
      <c r="DR95" s="378" t="n"/>
      <c r="DT95" s="259" t="inlineStr">
        <is>
          <t>移動</t>
        </is>
      </c>
      <c r="DU95" s="403" t="n"/>
      <c r="DV95" s="403" t="n"/>
      <c r="DW95" s="404" t="n"/>
      <c r="DX95" s="379">
        <f>IF(Q95="作業者5",E98-E95,0)</f>
        <v/>
      </c>
      <c r="DY95" s="377" t="n"/>
      <c r="DZ95" s="377" t="n"/>
      <c r="EA95" s="377" t="n"/>
      <c r="EB95" s="378" t="n"/>
    </row>
    <row r="96" ht="9" customHeight="1" s="337">
      <c r="B96" s="350" t="n"/>
      <c r="C96" s="338" t="n"/>
      <c r="D96" s="380" t="n"/>
      <c r="E96" s="381" t="n"/>
      <c r="F96" s="122" t="inlineStr">
        <is>
          <t>～</t>
        </is>
      </c>
      <c r="G96" s="22" t="n"/>
      <c r="H96" s="381" t="n"/>
      <c r="I96" s="122" t="inlineStr">
        <is>
          <t>～</t>
        </is>
      </c>
      <c r="J96" s="22" t="n"/>
      <c r="K96" s="381" t="n"/>
      <c r="L96" s="122" t="inlineStr">
        <is>
          <t>～</t>
        </is>
      </c>
      <c r="M96" s="22" t="n"/>
      <c r="N96" s="381" t="n"/>
      <c r="O96" s="122" t="inlineStr">
        <is>
          <t>～</t>
        </is>
      </c>
      <c r="P96" s="22" t="n"/>
      <c r="Q96" s="382" t="n"/>
      <c r="R96" s="338" t="n"/>
      <c r="S96" s="380" t="n"/>
      <c r="T96" s="382" t="n"/>
      <c r="U96" s="338" t="n"/>
      <c r="V96" s="380" t="n"/>
      <c r="W96" s="382" t="n"/>
      <c r="X96" s="338" t="n"/>
      <c r="Y96" s="338" t="n"/>
      <c r="Z96" s="338" t="n"/>
      <c r="AA96" s="338" t="n"/>
      <c r="AB96" s="338" t="n"/>
      <c r="AC96" s="338" t="n"/>
      <c r="AD96" s="338" t="n"/>
      <c r="AE96" s="338" t="n"/>
      <c r="AF96" s="338" t="n"/>
      <c r="AG96" s="338" t="n"/>
      <c r="AH96" s="338" t="n"/>
      <c r="AI96" s="338" t="n"/>
      <c r="AJ96" s="338" t="n"/>
      <c r="AK96" s="338" t="n"/>
      <c r="AL96" s="338" t="n"/>
      <c r="AM96" s="338" t="n"/>
      <c r="AN96" s="338" t="n"/>
      <c r="AO96" s="338" t="n"/>
      <c r="AP96" s="338" t="n"/>
      <c r="AQ96" s="338" t="n"/>
      <c r="AR96" s="338" t="n"/>
      <c r="AS96" s="338" t="n"/>
      <c r="AT96" s="338" t="n"/>
      <c r="AU96" s="338" t="n"/>
      <c r="AV96" s="338" t="n"/>
      <c r="AW96" s="338" t="n"/>
      <c r="AX96" s="338" t="n"/>
      <c r="AY96" s="338" t="n"/>
      <c r="AZ96" s="338" t="n"/>
      <c r="BA96" s="338" t="n"/>
      <c r="BB96" s="338" t="n"/>
      <c r="BC96" s="338" t="n"/>
      <c r="BD96" s="338" t="n"/>
      <c r="BE96" s="338" t="n"/>
      <c r="BF96" s="338" t="n"/>
      <c r="BG96" s="338" t="n"/>
      <c r="BH96" s="338" t="n"/>
      <c r="BI96" s="338" t="n"/>
      <c r="BJ96" s="338" t="n"/>
      <c r="BK96" s="338" t="n"/>
      <c r="BL96" s="338" t="n"/>
      <c r="BM96" s="338" t="n"/>
      <c r="BN96" s="338" t="n"/>
      <c r="BO96" s="338" t="n"/>
      <c r="BP96" s="338" t="n"/>
      <c r="BQ96" s="338" t="n"/>
      <c r="BR96" s="338" t="n"/>
      <c r="BS96" s="338" t="n"/>
      <c r="BT96" s="338" t="n"/>
      <c r="BU96" s="338" t="n"/>
      <c r="BV96" s="338" t="n"/>
      <c r="BW96" s="338" t="n"/>
      <c r="BX96" s="338" t="n"/>
      <c r="BY96" s="338" t="n"/>
      <c r="BZ96" s="338" t="n"/>
      <c r="CA96" s="338" t="n"/>
      <c r="CB96" s="338" t="n"/>
      <c r="CC96" s="383" t="n"/>
      <c r="CF96" s="253" t="inlineStr">
        <is>
          <t>時間内</t>
        </is>
      </c>
      <c r="CG96" s="384" t="n"/>
      <c r="CH96" s="384" t="n"/>
      <c r="CI96" s="385" t="n"/>
      <c r="CJ96" s="386">
        <f>IF(Q95="作業者1",H98-H95,0)</f>
        <v/>
      </c>
      <c r="CK96" s="387" t="n"/>
      <c r="CL96" s="387" t="n"/>
      <c r="CM96" s="387" t="n"/>
      <c r="CN96" s="388" t="n"/>
      <c r="CP96" s="253" t="inlineStr">
        <is>
          <t>時間内</t>
        </is>
      </c>
      <c r="CQ96" s="384" t="n"/>
      <c r="CR96" s="384" t="n"/>
      <c r="CS96" s="385" t="n"/>
      <c r="CT96" s="386">
        <f>IF(Q95="作業者2",H98-H95,0)</f>
        <v/>
      </c>
      <c r="CU96" s="387" t="n"/>
      <c r="CV96" s="387" t="n"/>
      <c r="CW96" s="387" t="n"/>
      <c r="CX96" s="388" t="n"/>
      <c r="CZ96" s="253" t="inlineStr">
        <is>
          <t>時間内</t>
        </is>
      </c>
      <c r="DA96" s="384" t="n"/>
      <c r="DB96" s="384" t="n"/>
      <c r="DC96" s="385" t="n"/>
      <c r="DD96" s="386">
        <f>IF(Q95="作業者3",H98-H95,0)</f>
        <v/>
      </c>
      <c r="DE96" s="387" t="n"/>
      <c r="DF96" s="387" t="n"/>
      <c r="DG96" s="387" t="n"/>
      <c r="DH96" s="388" t="n"/>
      <c r="DJ96" s="253" t="inlineStr">
        <is>
          <t>時間内</t>
        </is>
      </c>
      <c r="DK96" s="384" t="n"/>
      <c r="DL96" s="384" t="n"/>
      <c r="DM96" s="385" t="n"/>
      <c r="DN96" s="386">
        <f>IF(Q95="作業者4",H98-H95,0)</f>
        <v/>
      </c>
      <c r="DO96" s="387" t="n"/>
      <c r="DP96" s="387" t="n"/>
      <c r="DQ96" s="387" t="n"/>
      <c r="DR96" s="388" t="n"/>
      <c r="DT96" s="253" t="inlineStr">
        <is>
          <t>時間内</t>
        </is>
      </c>
      <c r="DU96" s="384" t="n"/>
      <c r="DV96" s="384" t="n"/>
      <c r="DW96" s="385" t="n"/>
      <c r="DX96" s="386">
        <f>IF(Q95="作業者5",H98-H95,0)</f>
        <v/>
      </c>
      <c r="DY96" s="387" t="n"/>
      <c r="DZ96" s="387" t="n"/>
      <c r="EA96" s="387" t="n"/>
      <c r="EB96" s="388" t="n"/>
    </row>
    <row r="97" ht="9" customHeight="1" s="337">
      <c r="B97" s="350" t="n"/>
      <c r="C97" s="338" t="n"/>
      <c r="D97" s="380" t="n"/>
      <c r="E97" s="23" t="n"/>
      <c r="F97" s="338" t="n"/>
      <c r="G97" s="24" t="n"/>
      <c r="H97" s="23" t="n"/>
      <c r="I97" s="338" t="n"/>
      <c r="J97" s="24" t="n"/>
      <c r="K97" s="23" t="n"/>
      <c r="L97" s="338" t="n"/>
      <c r="M97" s="24" t="n"/>
      <c r="N97" s="23" t="n"/>
      <c r="O97" s="338" t="n"/>
      <c r="P97" s="24" t="n"/>
      <c r="Q97" s="382" t="n"/>
      <c r="R97" s="338" t="n"/>
      <c r="S97" s="380" t="n"/>
      <c r="T97" s="382" t="n"/>
      <c r="U97" s="338" t="n"/>
      <c r="V97" s="380" t="n"/>
      <c r="W97" s="382" t="n"/>
      <c r="X97" s="338" t="n"/>
      <c r="Y97" s="338" t="n"/>
      <c r="Z97" s="338" t="n"/>
      <c r="AA97" s="338" t="n"/>
      <c r="AB97" s="338" t="n"/>
      <c r="AC97" s="338" t="n"/>
      <c r="AD97" s="338" t="n"/>
      <c r="AE97" s="338" t="n"/>
      <c r="AF97" s="338" t="n"/>
      <c r="AG97" s="338" t="n"/>
      <c r="AH97" s="338" t="n"/>
      <c r="AI97" s="338" t="n"/>
      <c r="AJ97" s="338" t="n"/>
      <c r="AK97" s="338" t="n"/>
      <c r="AL97" s="338" t="n"/>
      <c r="AM97" s="338" t="n"/>
      <c r="AN97" s="338" t="n"/>
      <c r="AO97" s="338" t="n"/>
      <c r="AP97" s="338" t="n"/>
      <c r="AQ97" s="338" t="n"/>
      <c r="AR97" s="338" t="n"/>
      <c r="AS97" s="338" t="n"/>
      <c r="AT97" s="338" t="n"/>
      <c r="AU97" s="338" t="n"/>
      <c r="AV97" s="338" t="n"/>
      <c r="AW97" s="338" t="n"/>
      <c r="AX97" s="338" t="n"/>
      <c r="AY97" s="338" t="n"/>
      <c r="AZ97" s="338" t="n"/>
      <c r="BA97" s="338" t="n"/>
      <c r="BB97" s="338" t="n"/>
      <c r="BC97" s="338" t="n"/>
      <c r="BD97" s="338" t="n"/>
      <c r="BE97" s="338" t="n"/>
      <c r="BF97" s="338" t="n"/>
      <c r="BG97" s="338" t="n"/>
      <c r="BH97" s="338" t="n"/>
      <c r="BI97" s="338" t="n"/>
      <c r="BJ97" s="338" t="n"/>
      <c r="BK97" s="338" t="n"/>
      <c r="BL97" s="338" t="n"/>
      <c r="BM97" s="338" t="n"/>
      <c r="BN97" s="338" t="n"/>
      <c r="BO97" s="338" t="n"/>
      <c r="BP97" s="338" t="n"/>
      <c r="BQ97" s="338" t="n"/>
      <c r="BR97" s="338" t="n"/>
      <c r="BS97" s="338" t="n"/>
      <c r="BT97" s="338" t="n"/>
      <c r="BU97" s="338" t="n"/>
      <c r="BV97" s="338" t="n"/>
      <c r="BW97" s="338" t="n"/>
      <c r="BX97" s="338" t="n"/>
      <c r="BY97" s="338" t="n"/>
      <c r="BZ97" s="338" t="n"/>
      <c r="CA97" s="338" t="n"/>
      <c r="CB97" s="338" t="n"/>
      <c r="CC97" s="383" t="n"/>
      <c r="CF97" s="253" t="inlineStr">
        <is>
          <t>時間外</t>
        </is>
      </c>
      <c r="CG97" s="384" t="n"/>
      <c r="CH97" s="384" t="n"/>
      <c r="CI97" s="385" t="n"/>
      <c r="CJ97" s="386">
        <f>IF(Q95="作業者1",K98-K95,0)</f>
        <v/>
      </c>
      <c r="CK97" s="387" t="n"/>
      <c r="CL97" s="387" t="n"/>
      <c r="CM97" s="387" t="n"/>
      <c r="CN97" s="388" t="n"/>
      <c r="CP97" s="253" t="inlineStr">
        <is>
          <t>時間外</t>
        </is>
      </c>
      <c r="CQ97" s="384" t="n"/>
      <c r="CR97" s="384" t="n"/>
      <c r="CS97" s="385" t="n"/>
      <c r="CT97" s="386">
        <f>IF(Q95="作業者2",K98-K95,0)</f>
        <v/>
      </c>
      <c r="CU97" s="387" t="n"/>
      <c r="CV97" s="387" t="n"/>
      <c r="CW97" s="387" t="n"/>
      <c r="CX97" s="388" t="n"/>
      <c r="CZ97" s="253" t="inlineStr">
        <is>
          <t>時間外</t>
        </is>
      </c>
      <c r="DA97" s="384" t="n"/>
      <c r="DB97" s="384" t="n"/>
      <c r="DC97" s="385" t="n"/>
      <c r="DD97" s="386">
        <f>IF(Q95="作業者3",K98-K95,0)</f>
        <v/>
      </c>
      <c r="DE97" s="387" t="n"/>
      <c r="DF97" s="387" t="n"/>
      <c r="DG97" s="387" t="n"/>
      <c r="DH97" s="388" t="n"/>
      <c r="DJ97" s="253" t="inlineStr">
        <is>
          <t>時間外</t>
        </is>
      </c>
      <c r="DK97" s="384" t="n"/>
      <c r="DL97" s="384" t="n"/>
      <c r="DM97" s="385" t="n"/>
      <c r="DN97" s="386">
        <f>IF(Q95="作業者4",K98-K95,0)</f>
        <v/>
      </c>
      <c r="DO97" s="387" t="n"/>
      <c r="DP97" s="387" t="n"/>
      <c r="DQ97" s="387" t="n"/>
      <c r="DR97" s="388" t="n"/>
      <c r="DT97" s="253" t="inlineStr">
        <is>
          <t>時間外</t>
        </is>
      </c>
      <c r="DU97" s="384" t="n"/>
      <c r="DV97" s="384" t="n"/>
      <c r="DW97" s="385" t="n"/>
      <c r="DX97" s="386">
        <f>IF(Q95="作業者5",K98-K95,0)</f>
        <v/>
      </c>
      <c r="DY97" s="387" t="n"/>
      <c r="DZ97" s="387" t="n"/>
      <c r="EA97" s="387" t="n"/>
      <c r="EB97" s="388" t="n"/>
    </row>
    <row r="98" ht="9" customHeight="1" s="337">
      <c r="B98" s="389" t="n"/>
      <c r="C98" s="390" t="n"/>
      <c r="D98" s="391" t="n"/>
      <c r="E98" s="392" t="n"/>
      <c r="F98" s="390" t="n"/>
      <c r="G98" s="391" t="n"/>
      <c r="H98" s="392" t="n"/>
      <c r="I98" s="390" t="n"/>
      <c r="J98" s="391" t="n"/>
      <c r="K98" s="392" t="n"/>
      <c r="L98" s="390" t="n"/>
      <c r="M98" s="391" t="n"/>
      <c r="N98" s="392" t="n"/>
      <c r="O98" s="390" t="n"/>
      <c r="P98" s="391" t="n"/>
      <c r="Q98" s="393" t="n"/>
      <c r="R98" s="390" t="n"/>
      <c r="S98" s="391" t="n"/>
      <c r="T98" s="393" t="n"/>
      <c r="U98" s="390" t="n"/>
      <c r="V98" s="391" t="n"/>
      <c r="W98" s="393" t="n"/>
      <c r="X98" s="390" t="n"/>
      <c r="Y98" s="390" t="n"/>
      <c r="Z98" s="390" t="n"/>
      <c r="AA98" s="390" t="n"/>
      <c r="AB98" s="390" t="n"/>
      <c r="AC98" s="390" t="n"/>
      <c r="AD98" s="390" t="n"/>
      <c r="AE98" s="390" t="n"/>
      <c r="AF98" s="390" t="n"/>
      <c r="AG98" s="390" t="n"/>
      <c r="AH98" s="390" t="n"/>
      <c r="AI98" s="390" t="n"/>
      <c r="AJ98" s="390" t="n"/>
      <c r="AK98" s="390" t="n"/>
      <c r="AL98" s="390" t="n"/>
      <c r="AM98" s="390" t="n"/>
      <c r="AN98" s="390" t="n"/>
      <c r="AO98" s="390" t="n"/>
      <c r="AP98" s="390" t="n"/>
      <c r="AQ98" s="390" t="n"/>
      <c r="AR98" s="390" t="n"/>
      <c r="AS98" s="390" t="n"/>
      <c r="AT98" s="390" t="n"/>
      <c r="AU98" s="390" t="n"/>
      <c r="AV98" s="390" t="n"/>
      <c r="AW98" s="390" t="n"/>
      <c r="AX98" s="390" t="n"/>
      <c r="AY98" s="390" t="n"/>
      <c r="AZ98" s="390" t="n"/>
      <c r="BA98" s="390" t="n"/>
      <c r="BB98" s="390" t="n"/>
      <c r="BC98" s="390" t="n"/>
      <c r="BD98" s="390" t="n"/>
      <c r="BE98" s="390" t="n"/>
      <c r="BF98" s="390" t="n"/>
      <c r="BG98" s="390" t="n"/>
      <c r="BH98" s="390" t="n"/>
      <c r="BI98" s="390" t="n"/>
      <c r="BJ98" s="390" t="n"/>
      <c r="BK98" s="390" t="n"/>
      <c r="BL98" s="390" t="n"/>
      <c r="BM98" s="390" t="n"/>
      <c r="BN98" s="390" t="n"/>
      <c r="BO98" s="390" t="n"/>
      <c r="BP98" s="390" t="n"/>
      <c r="BQ98" s="390" t="n"/>
      <c r="BR98" s="390" t="n"/>
      <c r="BS98" s="390" t="n"/>
      <c r="BT98" s="390" t="n"/>
      <c r="BU98" s="390" t="n"/>
      <c r="BV98" s="390" t="n"/>
      <c r="BW98" s="390" t="n"/>
      <c r="BX98" s="390" t="n"/>
      <c r="BY98" s="390" t="n"/>
      <c r="BZ98" s="390" t="n"/>
      <c r="CA98" s="390" t="n"/>
      <c r="CB98" s="390" t="n"/>
      <c r="CC98" s="394" t="n"/>
      <c r="CF98" s="254" t="inlineStr">
        <is>
          <t>休日</t>
        </is>
      </c>
      <c r="CG98" s="395" t="n"/>
      <c r="CH98" s="395" t="n"/>
      <c r="CI98" s="396" t="n"/>
      <c r="CJ98" s="386">
        <f>IF(Q95="作業者1",N98-N95,0)</f>
        <v/>
      </c>
      <c r="CK98" s="387" t="n"/>
      <c r="CL98" s="387" t="n"/>
      <c r="CM98" s="387" t="n"/>
      <c r="CN98" s="388" t="n"/>
      <c r="CP98" s="253" t="inlineStr">
        <is>
          <t>休日</t>
        </is>
      </c>
      <c r="CQ98" s="384" t="n"/>
      <c r="CR98" s="384" t="n"/>
      <c r="CS98" s="385" t="n"/>
      <c r="CT98" s="386">
        <f>IF(Q95="作業者2",N98-N95,0)</f>
        <v/>
      </c>
      <c r="CU98" s="387" t="n"/>
      <c r="CV98" s="387" t="n"/>
      <c r="CW98" s="387" t="n"/>
      <c r="CX98" s="388" t="n"/>
      <c r="CZ98" s="254" t="inlineStr">
        <is>
          <t>休日</t>
        </is>
      </c>
      <c r="DA98" s="395" t="n"/>
      <c r="DB98" s="395" t="n"/>
      <c r="DC98" s="396" t="n"/>
      <c r="DD98" s="397">
        <f>IF(Q95="作業者3",N98-N95,0)</f>
        <v/>
      </c>
      <c r="DE98" s="395" t="n"/>
      <c r="DF98" s="395" t="n"/>
      <c r="DG98" s="395" t="n"/>
      <c r="DH98" s="396" t="n"/>
      <c r="DJ98" s="254" t="inlineStr">
        <is>
          <t>休日</t>
        </is>
      </c>
      <c r="DK98" s="395" t="n"/>
      <c r="DL98" s="395" t="n"/>
      <c r="DM98" s="396" t="n"/>
      <c r="DN98" s="397">
        <f>IF(Q95="作業者4",N98-N95,0)</f>
        <v/>
      </c>
      <c r="DO98" s="395" t="n"/>
      <c r="DP98" s="395" t="n"/>
      <c r="DQ98" s="395" t="n"/>
      <c r="DR98" s="396" t="n"/>
      <c r="DT98" s="254" t="inlineStr">
        <is>
          <t>休日</t>
        </is>
      </c>
      <c r="DU98" s="395" t="n"/>
      <c r="DV98" s="395" t="n"/>
      <c r="DW98" s="396" t="n"/>
      <c r="DX98" s="397">
        <f>IF(Q95="作業者5",N98-N95,0)</f>
        <v/>
      </c>
      <c r="DY98" s="395" t="n"/>
      <c r="DZ98" s="395" t="n"/>
      <c r="EA98" s="395" t="n"/>
      <c r="EB98" s="396" t="n"/>
    </row>
    <row r="99" ht="9" customHeight="1" s="337">
      <c r="B99" s="398" t="n"/>
      <c r="C99" s="372" t="n"/>
      <c r="D99" s="373" t="n"/>
      <c r="E99" s="399" t="n"/>
      <c r="F99" s="372" t="n"/>
      <c r="G99" s="373" t="n"/>
      <c r="H99" s="399" t="n"/>
      <c r="I99" s="372" t="n"/>
      <c r="J99" s="373" t="n"/>
      <c r="K99" s="399" t="n"/>
      <c r="L99" s="372" t="n"/>
      <c r="M99" s="373" t="n"/>
      <c r="N99" s="399" t="n"/>
      <c r="O99" s="372" t="n"/>
      <c r="P99" s="373" t="n"/>
      <c r="Q99" s="371" t="n"/>
      <c r="R99" s="372" t="n"/>
      <c r="S99" s="373" t="n"/>
      <c r="T99" s="371" t="n"/>
      <c r="U99" s="372" t="n"/>
      <c r="V99" s="373" t="n"/>
      <c r="W99" s="443" t="n"/>
      <c r="X99" s="372" t="n"/>
      <c r="Y99" s="372" t="n"/>
      <c r="Z99" s="372" t="n"/>
      <c r="AA99" s="372" t="n"/>
      <c r="AB99" s="372" t="n"/>
      <c r="AC99" s="372" t="n"/>
      <c r="AD99" s="372" t="n"/>
      <c r="AE99" s="372" t="n"/>
      <c r="AF99" s="372" t="n"/>
      <c r="AG99" s="372" t="n"/>
      <c r="AH99" s="372" t="n"/>
      <c r="AI99" s="372" t="n"/>
      <c r="AJ99" s="372" t="n"/>
      <c r="AK99" s="372" t="n"/>
      <c r="AL99" s="372" t="n"/>
      <c r="AM99" s="372" t="n"/>
      <c r="AN99" s="372" t="n"/>
      <c r="AO99" s="372" t="n"/>
      <c r="AP99" s="372" t="n"/>
      <c r="AQ99" s="372" t="n"/>
      <c r="AR99" s="372" t="n"/>
      <c r="AS99" s="372" t="n"/>
      <c r="AT99" s="372" t="n"/>
      <c r="AU99" s="372" t="n"/>
      <c r="AV99" s="372" t="n"/>
      <c r="AW99" s="372" t="n"/>
      <c r="AX99" s="372" t="n"/>
      <c r="AY99" s="372" t="n"/>
      <c r="AZ99" s="372" t="n"/>
      <c r="BA99" s="372" t="n"/>
      <c r="BB99" s="372" t="n"/>
      <c r="BC99" s="372" t="n"/>
      <c r="BD99" s="372" t="n"/>
      <c r="BE99" s="372" t="n"/>
      <c r="BF99" s="372" t="n"/>
      <c r="BG99" s="372" t="n"/>
      <c r="BH99" s="372" t="n"/>
      <c r="BI99" s="372" t="n"/>
      <c r="BJ99" s="372" t="n"/>
      <c r="BK99" s="372" t="n"/>
      <c r="BL99" s="372" t="n"/>
      <c r="BM99" s="372" t="n"/>
      <c r="BN99" s="372" t="n"/>
      <c r="BO99" s="372" t="n"/>
      <c r="BP99" s="372" t="n"/>
      <c r="BQ99" s="372" t="n"/>
      <c r="BR99" s="372" t="n"/>
      <c r="BS99" s="372" t="n"/>
      <c r="BT99" s="372" t="n"/>
      <c r="BU99" s="372" t="n"/>
      <c r="BV99" s="372" t="n"/>
      <c r="BW99" s="372" t="n"/>
      <c r="BX99" s="372" t="n"/>
      <c r="BY99" s="372" t="n"/>
      <c r="BZ99" s="372" t="n"/>
      <c r="CA99" s="372" t="n"/>
      <c r="CB99" s="372" t="n"/>
      <c r="CC99" s="402" t="n"/>
      <c r="CF99" s="259" t="inlineStr">
        <is>
          <t>移動</t>
        </is>
      </c>
      <c r="CG99" s="403" t="n"/>
      <c r="CH99" s="403" t="n"/>
      <c r="CI99" s="404" t="n"/>
      <c r="CJ99" s="379">
        <f>IF(Q99="作業者1",E102-E99,0)</f>
        <v/>
      </c>
      <c r="CK99" s="377" t="n"/>
      <c r="CL99" s="377" t="n"/>
      <c r="CM99" s="377" t="n"/>
      <c r="CN99" s="378" t="n"/>
      <c r="CP99" s="248" t="inlineStr">
        <is>
          <t>移動</t>
        </is>
      </c>
      <c r="CQ99" s="377" t="n"/>
      <c r="CR99" s="377" t="n"/>
      <c r="CS99" s="378" t="n"/>
      <c r="CT99" s="379">
        <f>IF(Q99="作業者2",E102-E99,0)</f>
        <v/>
      </c>
      <c r="CU99" s="377" t="n"/>
      <c r="CV99" s="377" t="n"/>
      <c r="CW99" s="377" t="n"/>
      <c r="CX99" s="378" t="n"/>
      <c r="CZ99" s="259" t="inlineStr">
        <is>
          <t>移動</t>
        </is>
      </c>
      <c r="DA99" s="403" t="n"/>
      <c r="DB99" s="403" t="n"/>
      <c r="DC99" s="404" t="n"/>
      <c r="DD99" s="405">
        <f>IF(Q99="作業者3",E102-E99,0)</f>
        <v/>
      </c>
      <c r="DE99" s="406" t="n"/>
      <c r="DF99" s="406" t="n"/>
      <c r="DG99" s="406" t="n"/>
      <c r="DH99" s="407" t="n"/>
      <c r="DJ99" s="259" t="inlineStr">
        <is>
          <t>移動</t>
        </is>
      </c>
      <c r="DK99" s="403" t="n"/>
      <c r="DL99" s="403" t="n"/>
      <c r="DM99" s="404" t="n"/>
      <c r="DN99" s="379">
        <f>IF(Q99="作業者4",E102-E99,0)</f>
        <v/>
      </c>
      <c r="DO99" s="377" t="n"/>
      <c r="DP99" s="377" t="n"/>
      <c r="DQ99" s="377" t="n"/>
      <c r="DR99" s="378" t="n"/>
      <c r="DT99" s="259" t="inlineStr">
        <is>
          <t>移動</t>
        </is>
      </c>
      <c r="DU99" s="403" t="n"/>
      <c r="DV99" s="403" t="n"/>
      <c r="DW99" s="404" t="n"/>
      <c r="DX99" s="379">
        <f>IF(Q99="作業者5",E102-E99,0)</f>
        <v/>
      </c>
      <c r="DY99" s="377" t="n"/>
      <c r="DZ99" s="377" t="n"/>
      <c r="EA99" s="377" t="n"/>
      <c r="EB99" s="378" t="n"/>
    </row>
    <row r="100" ht="9" customHeight="1" s="337">
      <c r="B100" s="350" t="n"/>
      <c r="C100" s="338" t="n"/>
      <c r="D100" s="380" t="n"/>
      <c r="E100" s="381" t="n"/>
      <c r="F100" s="122" t="inlineStr">
        <is>
          <t>～</t>
        </is>
      </c>
      <c r="G100" s="22" t="n"/>
      <c r="H100" s="381" t="n"/>
      <c r="I100" s="122" t="inlineStr">
        <is>
          <t>～</t>
        </is>
      </c>
      <c r="J100" s="22" t="n"/>
      <c r="K100" s="381" t="n"/>
      <c r="L100" s="122" t="inlineStr">
        <is>
          <t>～</t>
        </is>
      </c>
      <c r="M100" s="22" t="n"/>
      <c r="N100" s="381" t="n"/>
      <c r="O100" s="122" t="inlineStr">
        <is>
          <t>～</t>
        </is>
      </c>
      <c r="P100" s="22" t="n"/>
      <c r="Q100" s="382" t="n"/>
      <c r="R100" s="338" t="n"/>
      <c r="S100" s="380" t="n"/>
      <c r="T100" s="382" t="n"/>
      <c r="U100" s="338" t="n"/>
      <c r="V100" s="380" t="n"/>
      <c r="W100" s="382" t="n"/>
      <c r="X100" s="338" t="n"/>
      <c r="Y100" s="338" t="n"/>
      <c r="Z100" s="338" t="n"/>
      <c r="AA100" s="338" t="n"/>
      <c r="AB100" s="338" t="n"/>
      <c r="AC100" s="338" t="n"/>
      <c r="AD100" s="338" t="n"/>
      <c r="AE100" s="338" t="n"/>
      <c r="AF100" s="338" t="n"/>
      <c r="AG100" s="338" t="n"/>
      <c r="AH100" s="338" t="n"/>
      <c r="AI100" s="338" t="n"/>
      <c r="AJ100" s="338" t="n"/>
      <c r="AK100" s="338" t="n"/>
      <c r="AL100" s="338" t="n"/>
      <c r="AM100" s="338" t="n"/>
      <c r="AN100" s="338" t="n"/>
      <c r="AO100" s="338" t="n"/>
      <c r="AP100" s="338" t="n"/>
      <c r="AQ100" s="338" t="n"/>
      <c r="AR100" s="338" t="n"/>
      <c r="AS100" s="338" t="n"/>
      <c r="AT100" s="338" t="n"/>
      <c r="AU100" s="338" t="n"/>
      <c r="AV100" s="338" t="n"/>
      <c r="AW100" s="338" t="n"/>
      <c r="AX100" s="338" t="n"/>
      <c r="AY100" s="338" t="n"/>
      <c r="AZ100" s="338" t="n"/>
      <c r="BA100" s="338" t="n"/>
      <c r="BB100" s="338" t="n"/>
      <c r="BC100" s="338" t="n"/>
      <c r="BD100" s="338" t="n"/>
      <c r="BE100" s="338" t="n"/>
      <c r="BF100" s="338" t="n"/>
      <c r="BG100" s="338" t="n"/>
      <c r="BH100" s="338" t="n"/>
      <c r="BI100" s="338" t="n"/>
      <c r="BJ100" s="338" t="n"/>
      <c r="BK100" s="338" t="n"/>
      <c r="BL100" s="338" t="n"/>
      <c r="BM100" s="338" t="n"/>
      <c r="BN100" s="338" t="n"/>
      <c r="BO100" s="338" t="n"/>
      <c r="BP100" s="338" t="n"/>
      <c r="BQ100" s="338" t="n"/>
      <c r="BR100" s="338" t="n"/>
      <c r="BS100" s="338" t="n"/>
      <c r="BT100" s="338" t="n"/>
      <c r="BU100" s="338" t="n"/>
      <c r="BV100" s="338" t="n"/>
      <c r="BW100" s="338" t="n"/>
      <c r="BX100" s="338" t="n"/>
      <c r="BY100" s="338" t="n"/>
      <c r="BZ100" s="338" t="n"/>
      <c r="CA100" s="338" t="n"/>
      <c r="CB100" s="338" t="n"/>
      <c r="CC100" s="383" t="n"/>
      <c r="CF100" s="253" t="inlineStr">
        <is>
          <t>時間内</t>
        </is>
      </c>
      <c r="CG100" s="384" t="n"/>
      <c r="CH100" s="384" t="n"/>
      <c r="CI100" s="385" t="n"/>
      <c r="CJ100" s="386">
        <f>IF(Q99="作業者1",H102-H99,0)</f>
        <v/>
      </c>
      <c r="CK100" s="387" t="n"/>
      <c r="CL100" s="387" t="n"/>
      <c r="CM100" s="387" t="n"/>
      <c r="CN100" s="388" t="n"/>
      <c r="CP100" s="253" t="inlineStr">
        <is>
          <t>時間内</t>
        </is>
      </c>
      <c r="CQ100" s="384" t="n"/>
      <c r="CR100" s="384" t="n"/>
      <c r="CS100" s="385" t="n"/>
      <c r="CT100" s="386">
        <f>IF(Q99="作業者2",H102-H99,0)</f>
        <v/>
      </c>
      <c r="CU100" s="387" t="n"/>
      <c r="CV100" s="387" t="n"/>
      <c r="CW100" s="387" t="n"/>
      <c r="CX100" s="388" t="n"/>
      <c r="CZ100" s="253" t="inlineStr">
        <is>
          <t>時間内</t>
        </is>
      </c>
      <c r="DA100" s="384" t="n"/>
      <c r="DB100" s="384" t="n"/>
      <c r="DC100" s="385" t="n"/>
      <c r="DD100" s="386">
        <f>IF(Q99="作業者3",H102-H99,0)</f>
        <v/>
      </c>
      <c r="DE100" s="387" t="n"/>
      <c r="DF100" s="387" t="n"/>
      <c r="DG100" s="387" t="n"/>
      <c r="DH100" s="388" t="n"/>
      <c r="DJ100" s="253" t="inlineStr">
        <is>
          <t>時間内</t>
        </is>
      </c>
      <c r="DK100" s="384" t="n"/>
      <c r="DL100" s="384" t="n"/>
      <c r="DM100" s="385" t="n"/>
      <c r="DN100" s="386">
        <f>IF(Q99="作業者4",H102-H99,0)</f>
        <v/>
      </c>
      <c r="DO100" s="387" t="n"/>
      <c r="DP100" s="387" t="n"/>
      <c r="DQ100" s="387" t="n"/>
      <c r="DR100" s="388" t="n"/>
      <c r="DT100" s="253" t="inlineStr">
        <is>
          <t>時間内</t>
        </is>
      </c>
      <c r="DU100" s="384" t="n"/>
      <c r="DV100" s="384" t="n"/>
      <c r="DW100" s="385" t="n"/>
      <c r="DX100" s="386">
        <f>IF(Q99="作業者5",H102-H99,0)</f>
        <v/>
      </c>
      <c r="DY100" s="387" t="n"/>
      <c r="DZ100" s="387" t="n"/>
      <c r="EA100" s="387" t="n"/>
      <c r="EB100" s="388" t="n"/>
    </row>
    <row r="101" ht="9" customHeight="1" s="337">
      <c r="B101" s="350" t="n"/>
      <c r="C101" s="338" t="n"/>
      <c r="D101" s="380" t="n"/>
      <c r="E101" s="23" t="n"/>
      <c r="F101" s="338" t="n"/>
      <c r="G101" s="24" t="n"/>
      <c r="H101" s="23" t="n"/>
      <c r="I101" s="338" t="n"/>
      <c r="J101" s="24" t="n"/>
      <c r="K101" s="23" t="n"/>
      <c r="L101" s="338" t="n"/>
      <c r="M101" s="24" t="n"/>
      <c r="N101" s="23" t="n"/>
      <c r="O101" s="338" t="n"/>
      <c r="P101" s="24" t="n"/>
      <c r="Q101" s="382" t="n"/>
      <c r="R101" s="338" t="n"/>
      <c r="S101" s="380" t="n"/>
      <c r="T101" s="382" t="n"/>
      <c r="U101" s="338" t="n"/>
      <c r="V101" s="380" t="n"/>
      <c r="W101" s="382" t="n"/>
      <c r="X101" s="338" t="n"/>
      <c r="Y101" s="338" t="n"/>
      <c r="Z101" s="338" t="n"/>
      <c r="AA101" s="338" t="n"/>
      <c r="AB101" s="338" t="n"/>
      <c r="AC101" s="338" t="n"/>
      <c r="AD101" s="338" t="n"/>
      <c r="AE101" s="338" t="n"/>
      <c r="AF101" s="338" t="n"/>
      <c r="AG101" s="338" t="n"/>
      <c r="AH101" s="338" t="n"/>
      <c r="AI101" s="338" t="n"/>
      <c r="AJ101" s="338" t="n"/>
      <c r="AK101" s="338" t="n"/>
      <c r="AL101" s="338" t="n"/>
      <c r="AM101" s="338" t="n"/>
      <c r="AN101" s="338" t="n"/>
      <c r="AO101" s="338" t="n"/>
      <c r="AP101" s="338" t="n"/>
      <c r="AQ101" s="338" t="n"/>
      <c r="AR101" s="338" t="n"/>
      <c r="AS101" s="338" t="n"/>
      <c r="AT101" s="338" t="n"/>
      <c r="AU101" s="338" t="n"/>
      <c r="AV101" s="338" t="n"/>
      <c r="AW101" s="338" t="n"/>
      <c r="AX101" s="338" t="n"/>
      <c r="AY101" s="338" t="n"/>
      <c r="AZ101" s="338" t="n"/>
      <c r="BA101" s="338" t="n"/>
      <c r="BB101" s="338" t="n"/>
      <c r="BC101" s="338" t="n"/>
      <c r="BD101" s="338" t="n"/>
      <c r="BE101" s="338" t="n"/>
      <c r="BF101" s="338" t="n"/>
      <c r="BG101" s="338" t="n"/>
      <c r="BH101" s="338" t="n"/>
      <c r="BI101" s="338" t="n"/>
      <c r="BJ101" s="338" t="n"/>
      <c r="BK101" s="338" t="n"/>
      <c r="BL101" s="338" t="n"/>
      <c r="BM101" s="338" t="n"/>
      <c r="BN101" s="338" t="n"/>
      <c r="BO101" s="338" t="n"/>
      <c r="BP101" s="338" t="n"/>
      <c r="BQ101" s="338" t="n"/>
      <c r="BR101" s="338" t="n"/>
      <c r="BS101" s="338" t="n"/>
      <c r="BT101" s="338" t="n"/>
      <c r="BU101" s="338" t="n"/>
      <c r="BV101" s="338" t="n"/>
      <c r="BW101" s="338" t="n"/>
      <c r="BX101" s="338" t="n"/>
      <c r="BY101" s="338" t="n"/>
      <c r="BZ101" s="338" t="n"/>
      <c r="CA101" s="338" t="n"/>
      <c r="CB101" s="338" t="n"/>
      <c r="CC101" s="383" t="n"/>
      <c r="CF101" s="253" t="inlineStr">
        <is>
          <t>時間外</t>
        </is>
      </c>
      <c r="CG101" s="384" t="n"/>
      <c r="CH101" s="384" t="n"/>
      <c r="CI101" s="385" t="n"/>
      <c r="CJ101" s="386">
        <f>IF(Q99="作業者1",K102-K99,0)</f>
        <v/>
      </c>
      <c r="CK101" s="387" t="n"/>
      <c r="CL101" s="387" t="n"/>
      <c r="CM101" s="387" t="n"/>
      <c r="CN101" s="388" t="n"/>
      <c r="CP101" s="253" t="inlineStr">
        <is>
          <t>時間外</t>
        </is>
      </c>
      <c r="CQ101" s="384" t="n"/>
      <c r="CR101" s="384" t="n"/>
      <c r="CS101" s="385" t="n"/>
      <c r="CT101" s="386">
        <f>IF(Q99="作業者2",K102-K99,0)</f>
        <v/>
      </c>
      <c r="CU101" s="387" t="n"/>
      <c r="CV101" s="387" t="n"/>
      <c r="CW101" s="387" t="n"/>
      <c r="CX101" s="388" t="n"/>
      <c r="CZ101" s="253" t="inlineStr">
        <is>
          <t>時間外</t>
        </is>
      </c>
      <c r="DA101" s="384" t="n"/>
      <c r="DB101" s="384" t="n"/>
      <c r="DC101" s="385" t="n"/>
      <c r="DD101" s="386">
        <f>IF(Q99="作業者3",K102-K99,0)</f>
        <v/>
      </c>
      <c r="DE101" s="387" t="n"/>
      <c r="DF101" s="387" t="n"/>
      <c r="DG101" s="387" t="n"/>
      <c r="DH101" s="388" t="n"/>
      <c r="DJ101" s="253" t="inlineStr">
        <is>
          <t>時間外</t>
        </is>
      </c>
      <c r="DK101" s="384" t="n"/>
      <c r="DL101" s="384" t="n"/>
      <c r="DM101" s="385" t="n"/>
      <c r="DN101" s="386">
        <f>IF(Q99="作業者4",K102-K99,0)</f>
        <v/>
      </c>
      <c r="DO101" s="387" t="n"/>
      <c r="DP101" s="387" t="n"/>
      <c r="DQ101" s="387" t="n"/>
      <c r="DR101" s="388" t="n"/>
      <c r="DT101" s="253" t="inlineStr">
        <is>
          <t>時間外</t>
        </is>
      </c>
      <c r="DU101" s="384" t="n"/>
      <c r="DV101" s="384" t="n"/>
      <c r="DW101" s="385" t="n"/>
      <c r="DX101" s="386">
        <f>IF(Q99="作業者5",K102-K99,0)</f>
        <v/>
      </c>
      <c r="DY101" s="387" t="n"/>
      <c r="DZ101" s="387" t="n"/>
      <c r="EA101" s="387" t="n"/>
      <c r="EB101" s="388" t="n"/>
    </row>
    <row r="102" ht="9" customHeight="1" s="337">
      <c r="B102" s="389" t="n"/>
      <c r="C102" s="390" t="n"/>
      <c r="D102" s="391" t="n"/>
      <c r="E102" s="392" t="n"/>
      <c r="F102" s="390" t="n"/>
      <c r="G102" s="391" t="n"/>
      <c r="H102" s="392" t="n"/>
      <c r="I102" s="390" t="n"/>
      <c r="J102" s="391" t="n"/>
      <c r="K102" s="392" t="n"/>
      <c r="L102" s="390" t="n"/>
      <c r="M102" s="391" t="n"/>
      <c r="N102" s="392" t="n"/>
      <c r="O102" s="390" t="n"/>
      <c r="P102" s="391" t="n"/>
      <c r="Q102" s="393" t="n"/>
      <c r="R102" s="390" t="n"/>
      <c r="S102" s="391" t="n"/>
      <c r="T102" s="393" t="n"/>
      <c r="U102" s="390" t="n"/>
      <c r="V102" s="391" t="n"/>
      <c r="W102" s="393" t="n"/>
      <c r="X102" s="390" t="n"/>
      <c r="Y102" s="390" t="n"/>
      <c r="Z102" s="390" t="n"/>
      <c r="AA102" s="390" t="n"/>
      <c r="AB102" s="390" t="n"/>
      <c r="AC102" s="390" t="n"/>
      <c r="AD102" s="390" t="n"/>
      <c r="AE102" s="390" t="n"/>
      <c r="AF102" s="390" t="n"/>
      <c r="AG102" s="390" t="n"/>
      <c r="AH102" s="390" t="n"/>
      <c r="AI102" s="390" t="n"/>
      <c r="AJ102" s="390" t="n"/>
      <c r="AK102" s="390" t="n"/>
      <c r="AL102" s="390" t="n"/>
      <c r="AM102" s="390" t="n"/>
      <c r="AN102" s="390" t="n"/>
      <c r="AO102" s="390" t="n"/>
      <c r="AP102" s="390" t="n"/>
      <c r="AQ102" s="390" t="n"/>
      <c r="AR102" s="390" t="n"/>
      <c r="AS102" s="390" t="n"/>
      <c r="AT102" s="390" t="n"/>
      <c r="AU102" s="390" t="n"/>
      <c r="AV102" s="390" t="n"/>
      <c r="AW102" s="390" t="n"/>
      <c r="AX102" s="390" t="n"/>
      <c r="AY102" s="390" t="n"/>
      <c r="AZ102" s="390" t="n"/>
      <c r="BA102" s="390" t="n"/>
      <c r="BB102" s="390" t="n"/>
      <c r="BC102" s="390" t="n"/>
      <c r="BD102" s="390" t="n"/>
      <c r="BE102" s="390" t="n"/>
      <c r="BF102" s="390" t="n"/>
      <c r="BG102" s="390" t="n"/>
      <c r="BH102" s="390" t="n"/>
      <c r="BI102" s="390" t="n"/>
      <c r="BJ102" s="390" t="n"/>
      <c r="BK102" s="390" t="n"/>
      <c r="BL102" s="390" t="n"/>
      <c r="BM102" s="390" t="n"/>
      <c r="BN102" s="390" t="n"/>
      <c r="BO102" s="390" t="n"/>
      <c r="BP102" s="390" t="n"/>
      <c r="BQ102" s="390" t="n"/>
      <c r="BR102" s="390" t="n"/>
      <c r="BS102" s="390" t="n"/>
      <c r="BT102" s="390" t="n"/>
      <c r="BU102" s="390" t="n"/>
      <c r="BV102" s="390" t="n"/>
      <c r="BW102" s="390" t="n"/>
      <c r="BX102" s="390" t="n"/>
      <c r="BY102" s="390" t="n"/>
      <c r="BZ102" s="390" t="n"/>
      <c r="CA102" s="390" t="n"/>
      <c r="CB102" s="390" t="n"/>
      <c r="CC102" s="394" t="n"/>
      <c r="CF102" s="254" t="inlineStr">
        <is>
          <t>休日</t>
        </is>
      </c>
      <c r="CG102" s="395" t="n"/>
      <c r="CH102" s="395" t="n"/>
      <c r="CI102" s="396" t="n"/>
      <c r="CJ102" s="397">
        <f>IF(Q99="作業者1",N102-N99,0)</f>
        <v/>
      </c>
      <c r="CK102" s="395" t="n"/>
      <c r="CL102" s="395" t="n"/>
      <c r="CM102" s="395" t="n"/>
      <c r="CN102" s="396" t="n"/>
      <c r="CP102" s="254" t="inlineStr">
        <is>
          <t>休日</t>
        </is>
      </c>
      <c r="CQ102" s="395" t="n"/>
      <c r="CR102" s="395" t="n"/>
      <c r="CS102" s="396" t="n"/>
      <c r="CT102" s="397">
        <f>IF(Q99="作業者2",N102-N99,0)</f>
        <v/>
      </c>
      <c r="CU102" s="395" t="n"/>
      <c r="CV102" s="395" t="n"/>
      <c r="CW102" s="395" t="n"/>
      <c r="CX102" s="396" t="n"/>
      <c r="CZ102" s="254" t="inlineStr">
        <is>
          <t>休日</t>
        </is>
      </c>
      <c r="DA102" s="395" t="n"/>
      <c r="DB102" s="395" t="n"/>
      <c r="DC102" s="396" t="n"/>
      <c r="DD102" s="397">
        <f>IF(Q99="作業者3",N102-N99,0)</f>
        <v/>
      </c>
      <c r="DE102" s="395" t="n"/>
      <c r="DF102" s="395" t="n"/>
      <c r="DG102" s="395" t="n"/>
      <c r="DH102" s="396" t="n"/>
      <c r="DJ102" s="254" t="inlineStr">
        <is>
          <t>休日</t>
        </is>
      </c>
      <c r="DK102" s="395" t="n"/>
      <c r="DL102" s="395" t="n"/>
      <c r="DM102" s="396" t="n"/>
      <c r="DN102" s="397">
        <f>IF(Q99="作業者4",N102-N99,0)</f>
        <v/>
      </c>
      <c r="DO102" s="395" t="n"/>
      <c r="DP102" s="395" t="n"/>
      <c r="DQ102" s="395" t="n"/>
      <c r="DR102" s="396" t="n"/>
      <c r="DT102" s="254" t="inlineStr">
        <is>
          <t>休日</t>
        </is>
      </c>
      <c r="DU102" s="395" t="n"/>
      <c r="DV102" s="395" t="n"/>
      <c r="DW102" s="396" t="n"/>
      <c r="DX102" s="397">
        <f>IF(Q99="作業者5",N102-N99,0)</f>
        <v/>
      </c>
      <c r="DY102" s="395" t="n"/>
      <c r="DZ102" s="395" t="n"/>
      <c r="EA102" s="395" t="n"/>
      <c r="EB102" s="396" t="n"/>
    </row>
    <row r="103" ht="9" customHeight="1" s="337">
      <c r="B103" s="398" t="n"/>
      <c r="C103" s="372" t="n"/>
      <c r="D103" s="373" t="n"/>
      <c r="E103" s="399" t="n"/>
      <c r="F103" s="372" t="n"/>
      <c r="G103" s="373" t="n"/>
      <c r="H103" s="399" t="n"/>
      <c r="I103" s="372" t="n"/>
      <c r="J103" s="373" t="n"/>
      <c r="K103" s="399" t="n"/>
      <c r="L103" s="372" t="n"/>
      <c r="M103" s="373" t="n"/>
      <c r="N103" s="399" t="n"/>
      <c r="O103" s="372" t="n"/>
      <c r="P103" s="373" t="n"/>
      <c r="Q103" s="371" t="n"/>
      <c r="R103" s="372" t="n"/>
      <c r="S103" s="373" t="n"/>
      <c r="T103" s="371" t="n"/>
      <c r="U103" s="372" t="n"/>
      <c r="V103" s="373" t="n"/>
      <c r="W103" s="443" t="n"/>
      <c r="X103" s="372" t="n"/>
      <c r="Y103" s="372" t="n"/>
      <c r="Z103" s="372" t="n"/>
      <c r="AA103" s="372" t="n"/>
      <c r="AB103" s="372" t="n"/>
      <c r="AC103" s="372" t="n"/>
      <c r="AD103" s="372" t="n"/>
      <c r="AE103" s="372" t="n"/>
      <c r="AF103" s="372" t="n"/>
      <c r="AG103" s="372" t="n"/>
      <c r="AH103" s="372" t="n"/>
      <c r="AI103" s="372" t="n"/>
      <c r="AJ103" s="372" t="n"/>
      <c r="AK103" s="372" t="n"/>
      <c r="AL103" s="372" t="n"/>
      <c r="AM103" s="372" t="n"/>
      <c r="AN103" s="372" t="n"/>
      <c r="AO103" s="372" t="n"/>
      <c r="AP103" s="372" t="n"/>
      <c r="AQ103" s="372" t="n"/>
      <c r="AR103" s="372" t="n"/>
      <c r="AS103" s="372" t="n"/>
      <c r="AT103" s="372" t="n"/>
      <c r="AU103" s="372" t="n"/>
      <c r="AV103" s="372" t="n"/>
      <c r="AW103" s="372" t="n"/>
      <c r="AX103" s="372" t="n"/>
      <c r="AY103" s="372" t="n"/>
      <c r="AZ103" s="372" t="n"/>
      <c r="BA103" s="372" t="n"/>
      <c r="BB103" s="372" t="n"/>
      <c r="BC103" s="372" t="n"/>
      <c r="BD103" s="372" t="n"/>
      <c r="BE103" s="372" t="n"/>
      <c r="BF103" s="372" t="n"/>
      <c r="BG103" s="372" t="n"/>
      <c r="BH103" s="372" t="n"/>
      <c r="BI103" s="372" t="n"/>
      <c r="BJ103" s="372" t="n"/>
      <c r="BK103" s="372" t="n"/>
      <c r="BL103" s="372" t="n"/>
      <c r="BM103" s="372" t="n"/>
      <c r="BN103" s="372" t="n"/>
      <c r="BO103" s="372" t="n"/>
      <c r="BP103" s="372" t="n"/>
      <c r="BQ103" s="372" t="n"/>
      <c r="BR103" s="372" t="n"/>
      <c r="BS103" s="372" t="n"/>
      <c r="BT103" s="372" t="n"/>
      <c r="BU103" s="372" t="n"/>
      <c r="BV103" s="372" t="n"/>
      <c r="BW103" s="372" t="n"/>
      <c r="BX103" s="372" t="n"/>
      <c r="BY103" s="372" t="n"/>
      <c r="BZ103" s="372" t="n"/>
      <c r="CA103" s="372" t="n"/>
      <c r="CB103" s="372" t="n"/>
      <c r="CC103" s="402" t="n"/>
      <c r="CF103" s="248" t="inlineStr">
        <is>
          <t>移動</t>
        </is>
      </c>
      <c r="CG103" s="377" t="n"/>
      <c r="CH103" s="377" t="n"/>
      <c r="CI103" s="378" t="n"/>
      <c r="CJ103" s="379">
        <f>IF(Q103="作業者1",E106-E103,0)</f>
        <v/>
      </c>
      <c r="CK103" s="377" t="n"/>
      <c r="CL103" s="377" t="n"/>
      <c r="CM103" s="377" t="n"/>
      <c r="CN103" s="378" t="n"/>
      <c r="CP103" s="248" t="inlineStr">
        <is>
          <t>移動</t>
        </is>
      </c>
      <c r="CQ103" s="377" t="n"/>
      <c r="CR103" s="377" t="n"/>
      <c r="CS103" s="378" t="n"/>
      <c r="CT103" s="379">
        <f>IF(Q103="作業者2",E106-E103,0)</f>
        <v/>
      </c>
      <c r="CU103" s="377" t="n"/>
      <c r="CV103" s="377" t="n"/>
      <c r="CW103" s="377" t="n"/>
      <c r="CX103" s="378" t="n"/>
      <c r="CZ103" s="248" t="inlineStr">
        <is>
          <t>移動</t>
        </is>
      </c>
      <c r="DA103" s="377" t="n"/>
      <c r="DB103" s="377" t="n"/>
      <c r="DC103" s="378" t="n"/>
      <c r="DD103" s="379">
        <f>IF(Q103="作業者3",E106-E103,0)</f>
        <v/>
      </c>
      <c r="DE103" s="377" t="n"/>
      <c r="DF103" s="377" t="n"/>
      <c r="DG103" s="377" t="n"/>
      <c r="DH103" s="378" t="n"/>
      <c r="DJ103" s="248" t="inlineStr">
        <is>
          <t>移動</t>
        </is>
      </c>
      <c r="DK103" s="377" t="n"/>
      <c r="DL103" s="377" t="n"/>
      <c r="DM103" s="378" t="n"/>
      <c r="DN103" s="379">
        <f>IF(Q103="作業者4",E106-E103,0)</f>
        <v/>
      </c>
      <c r="DO103" s="377" t="n"/>
      <c r="DP103" s="377" t="n"/>
      <c r="DQ103" s="377" t="n"/>
      <c r="DR103" s="378" t="n"/>
      <c r="DT103" s="259" t="inlineStr">
        <is>
          <t>移動</t>
        </is>
      </c>
      <c r="DU103" s="403" t="n"/>
      <c r="DV103" s="403" t="n"/>
      <c r="DW103" s="404" t="n"/>
      <c r="DX103" s="379">
        <f>IF(Q103="作業者5",E106-E103,0)</f>
        <v/>
      </c>
      <c r="DY103" s="377" t="n"/>
      <c r="DZ103" s="377" t="n"/>
      <c r="EA103" s="377" t="n"/>
      <c r="EB103" s="378" t="n"/>
    </row>
    <row r="104" ht="9" customHeight="1" s="337">
      <c r="B104" s="350" t="n"/>
      <c r="C104" s="338" t="n"/>
      <c r="D104" s="380" t="n"/>
      <c r="E104" s="381" t="n"/>
      <c r="F104" s="122" t="inlineStr">
        <is>
          <t>～</t>
        </is>
      </c>
      <c r="G104" s="22" t="n"/>
      <c r="H104" s="381" t="n"/>
      <c r="I104" s="122" t="inlineStr">
        <is>
          <t>～</t>
        </is>
      </c>
      <c r="J104" s="22" t="n"/>
      <c r="K104" s="381" t="n"/>
      <c r="L104" s="122" t="inlineStr">
        <is>
          <t>～</t>
        </is>
      </c>
      <c r="M104" s="22" t="n"/>
      <c r="N104" s="381" t="n"/>
      <c r="O104" s="122" t="inlineStr">
        <is>
          <t>～</t>
        </is>
      </c>
      <c r="P104" s="22" t="n"/>
      <c r="Q104" s="382" t="n"/>
      <c r="R104" s="338" t="n"/>
      <c r="S104" s="380" t="n"/>
      <c r="T104" s="382" t="n"/>
      <c r="U104" s="338" t="n"/>
      <c r="V104" s="380" t="n"/>
      <c r="W104" s="382" t="n"/>
      <c r="X104" s="338" t="n"/>
      <c r="Y104" s="338" t="n"/>
      <c r="Z104" s="338" t="n"/>
      <c r="AA104" s="338" t="n"/>
      <c r="AB104" s="338" t="n"/>
      <c r="AC104" s="338" t="n"/>
      <c r="AD104" s="338" t="n"/>
      <c r="AE104" s="338" t="n"/>
      <c r="AF104" s="338" t="n"/>
      <c r="AG104" s="338" t="n"/>
      <c r="AH104" s="338" t="n"/>
      <c r="AI104" s="338" t="n"/>
      <c r="AJ104" s="338" t="n"/>
      <c r="AK104" s="338" t="n"/>
      <c r="AL104" s="338" t="n"/>
      <c r="AM104" s="338" t="n"/>
      <c r="AN104" s="338" t="n"/>
      <c r="AO104" s="338" t="n"/>
      <c r="AP104" s="338" t="n"/>
      <c r="AQ104" s="338" t="n"/>
      <c r="AR104" s="338" t="n"/>
      <c r="AS104" s="338" t="n"/>
      <c r="AT104" s="338" t="n"/>
      <c r="AU104" s="338" t="n"/>
      <c r="AV104" s="338" t="n"/>
      <c r="AW104" s="338" t="n"/>
      <c r="AX104" s="338" t="n"/>
      <c r="AY104" s="338" t="n"/>
      <c r="AZ104" s="338" t="n"/>
      <c r="BA104" s="338" t="n"/>
      <c r="BB104" s="338" t="n"/>
      <c r="BC104" s="338" t="n"/>
      <c r="BD104" s="338" t="n"/>
      <c r="BE104" s="338" t="n"/>
      <c r="BF104" s="338" t="n"/>
      <c r="BG104" s="338" t="n"/>
      <c r="BH104" s="338" t="n"/>
      <c r="BI104" s="338" t="n"/>
      <c r="BJ104" s="338" t="n"/>
      <c r="BK104" s="338" t="n"/>
      <c r="BL104" s="338" t="n"/>
      <c r="BM104" s="338" t="n"/>
      <c r="BN104" s="338" t="n"/>
      <c r="BO104" s="338" t="n"/>
      <c r="BP104" s="338" t="n"/>
      <c r="BQ104" s="338" t="n"/>
      <c r="BR104" s="338" t="n"/>
      <c r="BS104" s="338" t="n"/>
      <c r="BT104" s="338" t="n"/>
      <c r="BU104" s="338" t="n"/>
      <c r="BV104" s="338" t="n"/>
      <c r="BW104" s="338" t="n"/>
      <c r="BX104" s="338" t="n"/>
      <c r="BY104" s="338" t="n"/>
      <c r="BZ104" s="338" t="n"/>
      <c r="CA104" s="338" t="n"/>
      <c r="CB104" s="338" t="n"/>
      <c r="CC104" s="383" t="n"/>
      <c r="CF104" s="253" t="inlineStr">
        <is>
          <t>時間内</t>
        </is>
      </c>
      <c r="CG104" s="384" t="n"/>
      <c r="CH104" s="384" t="n"/>
      <c r="CI104" s="385" t="n"/>
      <c r="CJ104" s="386">
        <f>IF(Q103="作業者1",H106-H103,0)</f>
        <v/>
      </c>
      <c r="CK104" s="387" t="n"/>
      <c r="CL104" s="387" t="n"/>
      <c r="CM104" s="387" t="n"/>
      <c r="CN104" s="388" t="n"/>
      <c r="CP104" s="253" t="inlineStr">
        <is>
          <t>時間内</t>
        </is>
      </c>
      <c r="CQ104" s="384" t="n"/>
      <c r="CR104" s="384" t="n"/>
      <c r="CS104" s="385" t="n"/>
      <c r="CT104" s="386">
        <f>IF(Q103="作業者2",H106-H103,0)</f>
        <v/>
      </c>
      <c r="CU104" s="387" t="n"/>
      <c r="CV104" s="387" t="n"/>
      <c r="CW104" s="387" t="n"/>
      <c r="CX104" s="388" t="n"/>
      <c r="CZ104" s="253" t="inlineStr">
        <is>
          <t>時間内</t>
        </is>
      </c>
      <c r="DA104" s="384" t="n"/>
      <c r="DB104" s="384" t="n"/>
      <c r="DC104" s="385" t="n"/>
      <c r="DD104" s="386">
        <f>IF(Q103="作業者3",H106-H103,0)</f>
        <v/>
      </c>
      <c r="DE104" s="387" t="n"/>
      <c r="DF104" s="387" t="n"/>
      <c r="DG104" s="387" t="n"/>
      <c r="DH104" s="388" t="n"/>
      <c r="DJ104" s="253" t="inlineStr">
        <is>
          <t>時間内</t>
        </is>
      </c>
      <c r="DK104" s="384" t="n"/>
      <c r="DL104" s="384" t="n"/>
      <c r="DM104" s="385" t="n"/>
      <c r="DN104" s="386">
        <f>IF(Q103="作業者4",H106-H103,0)</f>
        <v/>
      </c>
      <c r="DO104" s="387" t="n"/>
      <c r="DP104" s="387" t="n"/>
      <c r="DQ104" s="387" t="n"/>
      <c r="DR104" s="388" t="n"/>
      <c r="DT104" s="253" t="inlineStr">
        <is>
          <t>時間内</t>
        </is>
      </c>
      <c r="DU104" s="384" t="n"/>
      <c r="DV104" s="384" t="n"/>
      <c r="DW104" s="385" t="n"/>
      <c r="DX104" s="386">
        <f>IF(Q103="作業者5",H106-H103,0)</f>
        <v/>
      </c>
      <c r="DY104" s="387" t="n"/>
      <c r="DZ104" s="387" t="n"/>
      <c r="EA104" s="387" t="n"/>
      <c r="EB104" s="388" t="n"/>
    </row>
    <row r="105" ht="9" customHeight="1" s="337">
      <c r="B105" s="350" t="n"/>
      <c r="C105" s="338" t="n"/>
      <c r="D105" s="380" t="n"/>
      <c r="E105" s="23" t="n"/>
      <c r="F105" s="338" t="n"/>
      <c r="G105" s="24" t="n"/>
      <c r="H105" s="23" t="n"/>
      <c r="I105" s="338" t="n"/>
      <c r="J105" s="24" t="n"/>
      <c r="K105" s="23" t="n"/>
      <c r="L105" s="338" t="n"/>
      <c r="M105" s="24" t="n"/>
      <c r="N105" s="23" t="n"/>
      <c r="O105" s="338" t="n"/>
      <c r="P105" s="24" t="n"/>
      <c r="Q105" s="382" t="n"/>
      <c r="R105" s="338" t="n"/>
      <c r="S105" s="380" t="n"/>
      <c r="T105" s="382" t="n"/>
      <c r="U105" s="338" t="n"/>
      <c r="V105" s="380" t="n"/>
      <c r="W105" s="382" t="n"/>
      <c r="X105" s="338" t="n"/>
      <c r="Y105" s="338" t="n"/>
      <c r="Z105" s="338" t="n"/>
      <c r="AA105" s="338" t="n"/>
      <c r="AB105" s="338" t="n"/>
      <c r="AC105" s="338" t="n"/>
      <c r="AD105" s="338" t="n"/>
      <c r="AE105" s="338" t="n"/>
      <c r="AF105" s="338" t="n"/>
      <c r="AG105" s="338" t="n"/>
      <c r="AH105" s="338" t="n"/>
      <c r="AI105" s="338" t="n"/>
      <c r="AJ105" s="338" t="n"/>
      <c r="AK105" s="338" t="n"/>
      <c r="AL105" s="338" t="n"/>
      <c r="AM105" s="338" t="n"/>
      <c r="AN105" s="338" t="n"/>
      <c r="AO105" s="338" t="n"/>
      <c r="AP105" s="338" t="n"/>
      <c r="AQ105" s="338" t="n"/>
      <c r="AR105" s="338" t="n"/>
      <c r="AS105" s="338" t="n"/>
      <c r="AT105" s="338" t="n"/>
      <c r="AU105" s="338" t="n"/>
      <c r="AV105" s="338" t="n"/>
      <c r="AW105" s="338" t="n"/>
      <c r="AX105" s="338" t="n"/>
      <c r="AY105" s="338" t="n"/>
      <c r="AZ105" s="338" t="n"/>
      <c r="BA105" s="338" t="n"/>
      <c r="BB105" s="338" t="n"/>
      <c r="BC105" s="338" t="n"/>
      <c r="BD105" s="338" t="n"/>
      <c r="BE105" s="338" t="n"/>
      <c r="BF105" s="338" t="n"/>
      <c r="BG105" s="338" t="n"/>
      <c r="BH105" s="338" t="n"/>
      <c r="BI105" s="338" t="n"/>
      <c r="BJ105" s="338" t="n"/>
      <c r="BK105" s="338" t="n"/>
      <c r="BL105" s="338" t="n"/>
      <c r="BM105" s="338" t="n"/>
      <c r="BN105" s="338" t="n"/>
      <c r="BO105" s="338" t="n"/>
      <c r="BP105" s="338" t="n"/>
      <c r="BQ105" s="338" t="n"/>
      <c r="BR105" s="338" t="n"/>
      <c r="BS105" s="338" t="n"/>
      <c r="BT105" s="338" t="n"/>
      <c r="BU105" s="338" t="n"/>
      <c r="BV105" s="338" t="n"/>
      <c r="BW105" s="338" t="n"/>
      <c r="BX105" s="338" t="n"/>
      <c r="BY105" s="338" t="n"/>
      <c r="BZ105" s="338" t="n"/>
      <c r="CA105" s="338" t="n"/>
      <c r="CB105" s="338" t="n"/>
      <c r="CC105" s="383" t="n"/>
      <c r="CF105" s="253" t="inlineStr">
        <is>
          <t>時間外</t>
        </is>
      </c>
      <c r="CG105" s="384" t="n"/>
      <c r="CH105" s="384" t="n"/>
      <c r="CI105" s="385" t="n"/>
      <c r="CJ105" s="386">
        <f>IF(Q103="作業者1",K106-K103,0)</f>
        <v/>
      </c>
      <c r="CK105" s="387" t="n"/>
      <c r="CL105" s="387" t="n"/>
      <c r="CM105" s="387" t="n"/>
      <c r="CN105" s="388" t="n"/>
      <c r="CP105" s="253" t="inlineStr">
        <is>
          <t>時間外</t>
        </is>
      </c>
      <c r="CQ105" s="384" t="n"/>
      <c r="CR105" s="384" t="n"/>
      <c r="CS105" s="385" t="n"/>
      <c r="CT105" s="386">
        <f>IF(Q103="作業者2",K106-K103,0)</f>
        <v/>
      </c>
      <c r="CU105" s="387" t="n"/>
      <c r="CV105" s="387" t="n"/>
      <c r="CW105" s="387" t="n"/>
      <c r="CX105" s="388" t="n"/>
      <c r="CZ105" s="253" t="inlineStr">
        <is>
          <t>時間外</t>
        </is>
      </c>
      <c r="DA105" s="384" t="n"/>
      <c r="DB105" s="384" t="n"/>
      <c r="DC105" s="385" t="n"/>
      <c r="DD105" s="386">
        <f>IF(Q103="作業者3",K106-K103,0)</f>
        <v/>
      </c>
      <c r="DE105" s="387" t="n"/>
      <c r="DF105" s="387" t="n"/>
      <c r="DG105" s="387" t="n"/>
      <c r="DH105" s="388" t="n"/>
      <c r="DJ105" s="253" t="inlineStr">
        <is>
          <t>時間外</t>
        </is>
      </c>
      <c r="DK105" s="384" t="n"/>
      <c r="DL105" s="384" t="n"/>
      <c r="DM105" s="385" t="n"/>
      <c r="DN105" s="386">
        <f>IF(Q103="作業者4",K106-K103,0)</f>
        <v/>
      </c>
      <c r="DO105" s="387" t="n"/>
      <c r="DP105" s="387" t="n"/>
      <c r="DQ105" s="387" t="n"/>
      <c r="DR105" s="388" t="n"/>
      <c r="DT105" s="253" t="inlineStr">
        <is>
          <t>時間外</t>
        </is>
      </c>
      <c r="DU105" s="384" t="n"/>
      <c r="DV105" s="384" t="n"/>
      <c r="DW105" s="385" t="n"/>
      <c r="DX105" s="386">
        <f>IF(Q103="作業者5",K106-K103,0)</f>
        <v/>
      </c>
      <c r="DY105" s="387" t="n"/>
      <c r="DZ105" s="387" t="n"/>
      <c r="EA105" s="387" t="n"/>
      <c r="EB105" s="388" t="n"/>
    </row>
    <row r="106" ht="9" customHeight="1" s="337">
      <c r="B106" s="389" t="n"/>
      <c r="C106" s="390" t="n"/>
      <c r="D106" s="391" t="n"/>
      <c r="E106" s="392" t="n"/>
      <c r="F106" s="390" t="n"/>
      <c r="G106" s="391" t="n"/>
      <c r="H106" s="392" t="n"/>
      <c r="I106" s="390" t="n"/>
      <c r="J106" s="391" t="n"/>
      <c r="K106" s="392" t="n"/>
      <c r="L106" s="390" t="n"/>
      <c r="M106" s="391" t="n"/>
      <c r="N106" s="392" t="n"/>
      <c r="O106" s="390" t="n"/>
      <c r="P106" s="391" t="n"/>
      <c r="Q106" s="393" t="n"/>
      <c r="R106" s="390" t="n"/>
      <c r="S106" s="391" t="n"/>
      <c r="T106" s="393" t="n"/>
      <c r="U106" s="390" t="n"/>
      <c r="V106" s="391" t="n"/>
      <c r="W106" s="393" t="n"/>
      <c r="X106" s="390" t="n"/>
      <c r="Y106" s="390" t="n"/>
      <c r="Z106" s="390" t="n"/>
      <c r="AA106" s="390" t="n"/>
      <c r="AB106" s="390" t="n"/>
      <c r="AC106" s="390" t="n"/>
      <c r="AD106" s="390" t="n"/>
      <c r="AE106" s="390" t="n"/>
      <c r="AF106" s="390" t="n"/>
      <c r="AG106" s="390" t="n"/>
      <c r="AH106" s="390" t="n"/>
      <c r="AI106" s="390" t="n"/>
      <c r="AJ106" s="390" t="n"/>
      <c r="AK106" s="390" t="n"/>
      <c r="AL106" s="390" t="n"/>
      <c r="AM106" s="390" t="n"/>
      <c r="AN106" s="390" t="n"/>
      <c r="AO106" s="390" t="n"/>
      <c r="AP106" s="390" t="n"/>
      <c r="AQ106" s="390" t="n"/>
      <c r="AR106" s="390" t="n"/>
      <c r="AS106" s="390" t="n"/>
      <c r="AT106" s="390" t="n"/>
      <c r="AU106" s="390" t="n"/>
      <c r="AV106" s="390" t="n"/>
      <c r="AW106" s="390" t="n"/>
      <c r="AX106" s="390" t="n"/>
      <c r="AY106" s="390" t="n"/>
      <c r="AZ106" s="390" t="n"/>
      <c r="BA106" s="390" t="n"/>
      <c r="BB106" s="390" t="n"/>
      <c r="BC106" s="390" t="n"/>
      <c r="BD106" s="390" t="n"/>
      <c r="BE106" s="390" t="n"/>
      <c r="BF106" s="390" t="n"/>
      <c r="BG106" s="390" t="n"/>
      <c r="BH106" s="390" t="n"/>
      <c r="BI106" s="390" t="n"/>
      <c r="BJ106" s="390" t="n"/>
      <c r="BK106" s="390" t="n"/>
      <c r="BL106" s="390" t="n"/>
      <c r="BM106" s="390" t="n"/>
      <c r="BN106" s="390" t="n"/>
      <c r="BO106" s="390" t="n"/>
      <c r="BP106" s="390" t="n"/>
      <c r="BQ106" s="390" t="n"/>
      <c r="BR106" s="390" t="n"/>
      <c r="BS106" s="390" t="n"/>
      <c r="BT106" s="390" t="n"/>
      <c r="BU106" s="390" t="n"/>
      <c r="BV106" s="390" t="n"/>
      <c r="BW106" s="390" t="n"/>
      <c r="BX106" s="390" t="n"/>
      <c r="BY106" s="390" t="n"/>
      <c r="BZ106" s="390" t="n"/>
      <c r="CA106" s="390" t="n"/>
      <c r="CB106" s="390" t="n"/>
      <c r="CC106" s="394" t="n"/>
      <c r="CF106" s="254" t="inlineStr">
        <is>
          <t>休日</t>
        </is>
      </c>
      <c r="CG106" s="395" t="n"/>
      <c r="CH106" s="395" t="n"/>
      <c r="CI106" s="396" t="n"/>
      <c r="CJ106" s="386">
        <f>IF(Q103="作業者1",N106-N103,0)</f>
        <v/>
      </c>
      <c r="CK106" s="387" t="n"/>
      <c r="CL106" s="387" t="n"/>
      <c r="CM106" s="387" t="n"/>
      <c r="CN106" s="388" t="n"/>
      <c r="CP106" s="253" t="inlineStr">
        <is>
          <t>休日</t>
        </is>
      </c>
      <c r="CQ106" s="384" t="n"/>
      <c r="CR106" s="384" t="n"/>
      <c r="CS106" s="385" t="n"/>
      <c r="CT106" s="386">
        <f>IF(Q103="作業者2",N106-N103,0)</f>
        <v/>
      </c>
      <c r="CU106" s="387" t="n"/>
      <c r="CV106" s="387" t="n"/>
      <c r="CW106" s="387" t="n"/>
      <c r="CX106" s="388" t="n"/>
      <c r="CZ106" s="254" t="inlineStr">
        <is>
          <t>休日</t>
        </is>
      </c>
      <c r="DA106" s="395" t="n"/>
      <c r="DB106" s="395" t="n"/>
      <c r="DC106" s="396" t="n"/>
      <c r="DD106" s="397">
        <f>IF(Q103="作業者3",N106-N103,0)</f>
        <v/>
      </c>
      <c r="DE106" s="395" t="n"/>
      <c r="DF106" s="395" t="n"/>
      <c r="DG106" s="395" t="n"/>
      <c r="DH106" s="396" t="n"/>
      <c r="DJ106" s="254" t="inlineStr">
        <is>
          <t>休日</t>
        </is>
      </c>
      <c r="DK106" s="395" t="n"/>
      <c r="DL106" s="395" t="n"/>
      <c r="DM106" s="396" t="n"/>
      <c r="DN106" s="397">
        <f>IF(Q103="作業者4",N106-N103,0)</f>
        <v/>
      </c>
      <c r="DO106" s="395" t="n"/>
      <c r="DP106" s="395" t="n"/>
      <c r="DQ106" s="395" t="n"/>
      <c r="DR106" s="396" t="n"/>
      <c r="DT106" s="254" t="inlineStr">
        <is>
          <t>休日</t>
        </is>
      </c>
      <c r="DU106" s="395" t="n"/>
      <c r="DV106" s="395" t="n"/>
      <c r="DW106" s="396" t="n"/>
      <c r="DX106" s="397">
        <f>IF(Q103="作業者5",N106-N103,0)</f>
        <v/>
      </c>
      <c r="DY106" s="395" t="n"/>
      <c r="DZ106" s="395" t="n"/>
      <c r="EA106" s="395" t="n"/>
      <c r="EB106" s="396" t="n"/>
    </row>
    <row r="107" ht="9" customHeight="1" s="337">
      <c r="B107" s="398" t="n"/>
      <c r="C107" s="372" t="n"/>
      <c r="D107" s="373" t="n"/>
      <c r="E107" s="399" t="n"/>
      <c r="F107" s="372" t="n"/>
      <c r="G107" s="373" t="n"/>
      <c r="H107" s="399" t="n"/>
      <c r="I107" s="372" t="n"/>
      <c r="J107" s="373" t="n"/>
      <c r="K107" s="399" t="n"/>
      <c r="L107" s="372" t="n"/>
      <c r="M107" s="373" t="n"/>
      <c r="N107" s="399" t="n"/>
      <c r="O107" s="372" t="n"/>
      <c r="P107" s="373" t="n"/>
      <c r="Q107" s="371" t="n"/>
      <c r="R107" s="372" t="n"/>
      <c r="S107" s="373" t="n"/>
      <c r="T107" s="371" t="n"/>
      <c r="U107" s="372" t="n"/>
      <c r="V107" s="373" t="n"/>
      <c r="W107" s="443" t="n"/>
      <c r="X107" s="372" t="n"/>
      <c r="Y107" s="372" t="n"/>
      <c r="Z107" s="372" t="n"/>
      <c r="AA107" s="372" t="n"/>
      <c r="AB107" s="372" t="n"/>
      <c r="AC107" s="372" t="n"/>
      <c r="AD107" s="372" t="n"/>
      <c r="AE107" s="372" t="n"/>
      <c r="AF107" s="372" t="n"/>
      <c r="AG107" s="372" t="n"/>
      <c r="AH107" s="372" t="n"/>
      <c r="AI107" s="372" t="n"/>
      <c r="AJ107" s="372" t="n"/>
      <c r="AK107" s="372" t="n"/>
      <c r="AL107" s="372" t="n"/>
      <c r="AM107" s="372" t="n"/>
      <c r="AN107" s="372" t="n"/>
      <c r="AO107" s="372" t="n"/>
      <c r="AP107" s="372" t="n"/>
      <c r="AQ107" s="372" t="n"/>
      <c r="AR107" s="372" t="n"/>
      <c r="AS107" s="372" t="n"/>
      <c r="AT107" s="372" t="n"/>
      <c r="AU107" s="372" t="n"/>
      <c r="AV107" s="372" t="n"/>
      <c r="AW107" s="372" t="n"/>
      <c r="AX107" s="372" t="n"/>
      <c r="AY107" s="372" t="n"/>
      <c r="AZ107" s="372" t="n"/>
      <c r="BA107" s="372" t="n"/>
      <c r="BB107" s="372" t="n"/>
      <c r="BC107" s="372" t="n"/>
      <c r="BD107" s="372" t="n"/>
      <c r="BE107" s="372" t="n"/>
      <c r="BF107" s="372" t="n"/>
      <c r="BG107" s="372" t="n"/>
      <c r="BH107" s="372" t="n"/>
      <c r="BI107" s="372" t="n"/>
      <c r="BJ107" s="372" t="n"/>
      <c r="BK107" s="372" t="n"/>
      <c r="BL107" s="372" t="n"/>
      <c r="BM107" s="372" t="n"/>
      <c r="BN107" s="372" t="n"/>
      <c r="BO107" s="372" t="n"/>
      <c r="BP107" s="372" t="n"/>
      <c r="BQ107" s="372" t="n"/>
      <c r="BR107" s="372" t="n"/>
      <c r="BS107" s="372" t="n"/>
      <c r="BT107" s="372" t="n"/>
      <c r="BU107" s="372" t="n"/>
      <c r="BV107" s="372" t="n"/>
      <c r="BW107" s="372" t="n"/>
      <c r="BX107" s="372" t="n"/>
      <c r="BY107" s="372" t="n"/>
      <c r="BZ107" s="372" t="n"/>
      <c r="CA107" s="372" t="n"/>
      <c r="CB107" s="372" t="n"/>
      <c r="CC107" s="402" t="n"/>
      <c r="CF107" s="259" t="inlineStr">
        <is>
          <t>移動</t>
        </is>
      </c>
      <c r="CG107" s="403" t="n"/>
      <c r="CH107" s="403" t="n"/>
      <c r="CI107" s="404" t="n"/>
      <c r="CJ107" s="379">
        <f>IF(Q107="作業者1",E110-E107,0)</f>
        <v/>
      </c>
      <c r="CK107" s="377" t="n"/>
      <c r="CL107" s="377" t="n"/>
      <c r="CM107" s="377" t="n"/>
      <c r="CN107" s="378" t="n"/>
      <c r="CP107" s="248" t="inlineStr">
        <is>
          <t>移動</t>
        </is>
      </c>
      <c r="CQ107" s="377" t="n"/>
      <c r="CR107" s="377" t="n"/>
      <c r="CS107" s="378" t="n"/>
      <c r="CT107" s="379">
        <f>IF(Q107="作業者2",E110-E107,0)</f>
        <v/>
      </c>
      <c r="CU107" s="377" t="n"/>
      <c r="CV107" s="377" t="n"/>
      <c r="CW107" s="377" t="n"/>
      <c r="CX107" s="378" t="n"/>
      <c r="CZ107" s="259" t="inlineStr">
        <is>
          <t>移動</t>
        </is>
      </c>
      <c r="DA107" s="403" t="n"/>
      <c r="DB107" s="403" t="n"/>
      <c r="DC107" s="404" t="n"/>
      <c r="DD107" s="405">
        <f>IF(Q107="作業者3",E110-E107,0)</f>
        <v/>
      </c>
      <c r="DE107" s="406" t="n"/>
      <c r="DF107" s="406" t="n"/>
      <c r="DG107" s="406" t="n"/>
      <c r="DH107" s="407" t="n"/>
      <c r="DJ107" s="259" t="inlineStr">
        <is>
          <t>移動</t>
        </is>
      </c>
      <c r="DK107" s="403" t="n"/>
      <c r="DL107" s="403" t="n"/>
      <c r="DM107" s="404" t="n"/>
      <c r="DN107" s="379">
        <f>IF(Q107="作業者4",E110-E107,0)</f>
        <v/>
      </c>
      <c r="DO107" s="377" t="n"/>
      <c r="DP107" s="377" t="n"/>
      <c r="DQ107" s="377" t="n"/>
      <c r="DR107" s="378" t="n"/>
      <c r="DT107" s="259" t="inlineStr">
        <is>
          <t>移動</t>
        </is>
      </c>
      <c r="DU107" s="403" t="n"/>
      <c r="DV107" s="403" t="n"/>
      <c r="DW107" s="404" t="n"/>
      <c r="DX107" s="379">
        <f>IF(Q107="作業者5",E110-E107,0)</f>
        <v/>
      </c>
      <c r="DY107" s="377" t="n"/>
      <c r="DZ107" s="377" t="n"/>
      <c r="EA107" s="377" t="n"/>
      <c r="EB107" s="378" t="n"/>
    </row>
    <row r="108" ht="9" customHeight="1" s="337">
      <c r="B108" s="350" t="n"/>
      <c r="C108" s="338" t="n"/>
      <c r="D108" s="380" t="n"/>
      <c r="E108" s="381" t="n"/>
      <c r="F108" s="122" t="inlineStr">
        <is>
          <t>～</t>
        </is>
      </c>
      <c r="G108" s="22" t="n"/>
      <c r="H108" s="381" t="n"/>
      <c r="I108" s="122" t="inlineStr">
        <is>
          <t>～</t>
        </is>
      </c>
      <c r="J108" s="22" t="n"/>
      <c r="K108" s="381" t="n"/>
      <c r="L108" s="122" t="inlineStr">
        <is>
          <t>～</t>
        </is>
      </c>
      <c r="M108" s="22" t="n"/>
      <c r="N108" s="381" t="n"/>
      <c r="O108" s="122" t="inlineStr">
        <is>
          <t>～</t>
        </is>
      </c>
      <c r="P108" s="22" t="n"/>
      <c r="Q108" s="382" t="n"/>
      <c r="R108" s="338" t="n"/>
      <c r="S108" s="380" t="n"/>
      <c r="T108" s="382" t="n"/>
      <c r="U108" s="338" t="n"/>
      <c r="V108" s="380" t="n"/>
      <c r="W108" s="382" t="n"/>
      <c r="X108" s="338" t="n"/>
      <c r="Y108" s="338" t="n"/>
      <c r="Z108" s="338" t="n"/>
      <c r="AA108" s="338" t="n"/>
      <c r="AB108" s="338" t="n"/>
      <c r="AC108" s="338" t="n"/>
      <c r="AD108" s="338" t="n"/>
      <c r="AE108" s="338" t="n"/>
      <c r="AF108" s="338" t="n"/>
      <c r="AG108" s="338" t="n"/>
      <c r="AH108" s="338" t="n"/>
      <c r="AI108" s="338" t="n"/>
      <c r="AJ108" s="338" t="n"/>
      <c r="AK108" s="338" t="n"/>
      <c r="AL108" s="338" t="n"/>
      <c r="AM108" s="338" t="n"/>
      <c r="AN108" s="338" t="n"/>
      <c r="AO108" s="338" t="n"/>
      <c r="AP108" s="338" t="n"/>
      <c r="AQ108" s="338" t="n"/>
      <c r="AR108" s="338" t="n"/>
      <c r="AS108" s="338" t="n"/>
      <c r="AT108" s="338" t="n"/>
      <c r="AU108" s="338" t="n"/>
      <c r="AV108" s="338" t="n"/>
      <c r="AW108" s="338" t="n"/>
      <c r="AX108" s="338" t="n"/>
      <c r="AY108" s="338" t="n"/>
      <c r="AZ108" s="338" t="n"/>
      <c r="BA108" s="338" t="n"/>
      <c r="BB108" s="338" t="n"/>
      <c r="BC108" s="338" t="n"/>
      <c r="BD108" s="338" t="n"/>
      <c r="BE108" s="338" t="n"/>
      <c r="BF108" s="338" t="n"/>
      <c r="BG108" s="338" t="n"/>
      <c r="BH108" s="338" t="n"/>
      <c r="BI108" s="338" t="n"/>
      <c r="BJ108" s="338" t="n"/>
      <c r="BK108" s="338" t="n"/>
      <c r="BL108" s="338" t="n"/>
      <c r="BM108" s="338" t="n"/>
      <c r="BN108" s="338" t="n"/>
      <c r="BO108" s="338" t="n"/>
      <c r="BP108" s="338" t="n"/>
      <c r="BQ108" s="338" t="n"/>
      <c r="BR108" s="338" t="n"/>
      <c r="BS108" s="338" t="n"/>
      <c r="BT108" s="338" t="n"/>
      <c r="BU108" s="338" t="n"/>
      <c r="BV108" s="338" t="n"/>
      <c r="BW108" s="338" t="n"/>
      <c r="BX108" s="338" t="n"/>
      <c r="BY108" s="338" t="n"/>
      <c r="BZ108" s="338" t="n"/>
      <c r="CA108" s="338" t="n"/>
      <c r="CB108" s="338" t="n"/>
      <c r="CC108" s="383" t="n"/>
      <c r="CF108" s="253" t="inlineStr">
        <is>
          <t>時間内</t>
        </is>
      </c>
      <c r="CG108" s="384" t="n"/>
      <c r="CH108" s="384" t="n"/>
      <c r="CI108" s="385" t="n"/>
      <c r="CJ108" s="386">
        <f>IF(Q107="作業者1",H110-H107,0)</f>
        <v/>
      </c>
      <c r="CK108" s="387" t="n"/>
      <c r="CL108" s="387" t="n"/>
      <c r="CM108" s="387" t="n"/>
      <c r="CN108" s="388" t="n"/>
      <c r="CP108" s="253" t="inlineStr">
        <is>
          <t>時間内</t>
        </is>
      </c>
      <c r="CQ108" s="384" t="n"/>
      <c r="CR108" s="384" t="n"/>
      <c r="CS108" s="385" t="n"/>
      <c r="CT108" s="386">
        <f>IF(Q107="作業者2",H110-H107,0)</f>
        <v/>
      </c>
      <c r="CU108" s="387" t="n"/>
      <c r="CV108" s="387" t="n"/>
      <c r="CW108" s="387" t="n"/>
      <c r="CX108" s="388" t="n"/>
      <c r="CZ108" s="253" t="inlineStr">
        <is>
          <t>時間内</t>
        </is>
      </c>
      <c r="DA108" s="384" t="n"/>
      <c r="DB108" s="384" t="n"/>
      <c r="DC108" s="385" t="n"/>
      <c r="DD108" s="386">
        <f>IF(Q107="作業者3",H110-H107,0)</f>
        <v/>
      </c>
      <c r="DE108" s="387" t="n"/>
      <c r="DF108" s="387" t="n"/>
      <c r="DG108" s="387" t="n"/>
      <c r="DH108" s="388" t="n"/>
      <c r="DJ108" s="253" t="inlineStr">
        <is>
          <t>時間内</t>
        </is>
      </c>
      <c r="DK108" s="384" t="n"/>
      <c r="DL108" s="384" t="n"/>
      <c r="DM108" s="385" t="n"/>
      <c r="DN108" s="386">
        <f>IF(Q107="作業者4",H110-H107,0)</f>
        <v/>
      </c>
      <c r="DO108" s="387" t="n"/>
      <c r="DP108" s="387" t="n"/>
      <c r="DQ108" s="387" t="n"/>
      <c r="DR108" s="388" t="n"/>
      <c r="DT108" s="253" t="inlineStr">
        <is>
          <t>時間内</t>
        </is>
      </c>
      <c r="DU108" s="384" t="n"/>
      <c r="DV108" s="384" t="n"/>
      <c r="DW108" s="385" t="n"/>
      <c r="DX108" s="386">
        <f>IF(Q107="作業者5",H110-H107,0)</f>
        <v/>
      </c>
      <c r="DY108" s="387" t="n"/>
      <c r="DZ108" s="387" t="n"/>
      <c r="EA108" s="387" t="n"/>
      <c r="EB108" s="388" t="n"/>
    </row>
    <row r="109" ht="9" customHeight="1" s="337">
      <c r="B109" s="350" t="n"/>
      <c r="C109" s="338" t="n"/>
      <c r="D109" s="380" t="n"/>
      <c r="E109" s="23" t="n"/>
      <c r="F109" s="338" t="n"/>
      <c r="G109" s="24" t="n"/>
      <c r="H109" s="23" t="n"/>
      <c r="I109" s="338" t="n"/>
      <c r="J109" s="24" t="n"/>
      <c r="K109" s="23" t="n"/>
      <c r="L109" s="338" t="n"/>
      <c r="M109" s="24" t="n"/>
      <c r="N109" s="23" t="n"/>
      <c r="O109" s="338" t="n"/>
      <c r="P109" s="24" t="n"/>
      <c r="Q109" s="382" t="n"/>
      <c r="R109" s="338" t="n"/>
      <c r="S109" s="380" t="n"/>
      <c r="T109" s="382" t="n"/>
      <c r="U109" s="338" t="n"/>
      <c r="V109" s="380" t="n"/>
      <c r="W109" s="382" t="n"/>
      <c r="X109" s="338" t="n"/>
      <c r="Y109" s="338" t="n"/>
      <c r="Z109" s="338" t="n"/>
      <c r="AA109" s="338" t="n"/>
      <c r="AB109" s="338" t="n"/>
      <c r="AC109" s="338" t="n"/>
      <c r="AD109" s="338" t="n"/>
      <c r="AE109" s="338" t="n"/>
      <c r="AF109" s="338" t="n"/>
      <c r="AG109" s="338" t="n"/>
      <c r="AH109" s="338" t="n"/>
      <c r="AI109" s="338" t="n"/>
      <c r="AJ109" s="338" t="n"/>
      <c r="AK109" s="338" t="n"/>
      <c r="AL109" s="338" t="n"/>
      <c r="AM109" s="338" t="n"/>
      <c r="AN109" s="338" t="n"/>
      <c r="AO109" s="338" t="n"/>
      <c r="AP109" s="338" t="n"/>
      <c r="AQ109" s="338" t="n"/>
      <c r="AR109" s="338" t="n"/>
      <c r="AS109" s="338" t="n"/>
      <c r="AT109" s="338" t="n"/>
      <c r="AU109" s="338" t="n"/>
      <c r="AV109" s="338" t="n"/>
      <c r="AW109" s="338" t="n"/>
      <c r="AX109" s="338" t="n"/>
      <c r="AY109" s="338" t="n"/>
      <c r="AZ109" s="338" t="n"/>
      <c r="BA109" s="338" t="n"/>
      <c r="BB109" s="338" t="n"/>
      <c r="BC109" s="338" t="n"/>
      <c r="BD109" s="338" t="n"/>
      <c r="BE109" s="338" t="n"/>
      <c r="BF109" s="338" t="n"/>
      <c r="BG109" s="338" t="n"/>
      <c r="BH109" s="338" t="n"/>
      <c r="BI109" s="338" t="n"/>
      <c r="BJ109" s="338" t="n"/>
      <c r="BK109" s="338" t="n"/>
      <c r="BL109" s="338" t="n"/>
      <c r="BM109" s="338" t="n"/>
      <c r="BN109" s="338" t="n"/>
      <c r="BO109" s="338" t="n"/>
      <c r="BP109" s="338" t="n"/>
      <c r="BQ109" s="338" t="n"/>
      <c r="BR109" s="338" t="n"/>
      <c r="BS109" s="338" t="n"/>
      <c r="BT109" s="338" t="n"/>
      <c r="BU109" s="338" t="n"/>
      <c r="BV109" s="338" t="n"/>
      <c r="BW109" s="338" t="n"/>
      <c r="BX109" s="338" t="n"/>
      <c r="BY109" s="338" t="n"/>
      <c r="BZ109" s="338" t="n"/>
      <c r="CA109" s="338" t="n"/>
      <c r="CB109" s="338" t="n"/>
      <c r="CC109" s="383" t="n"/>
      <c r="CF109" s="253" t="inlineStr">
        <is>
          <t>時間外</t>
        </is>
      </c>
      <c r="CG109" s="384" t="n"/>
      <c r="CH109" s="384" t="n"/>
      <c r="CI109" s="385" t="n"/>
      <c r="CJ109" s="386">
        <f>IF(Q107="作業者1",K110-K107,0)</f>
        <v/>
      </c>
      <c r="CK109" s="387" t="n"/>
      <c r="CL109" s="387" t="n"/>
      <c r="CM109" s="387" t="n"/>
      <c r="CN109" s="388" t="n"/>
      <c r="CP109" s="253" t="inlineStr">
        <is>
          <t>時間外</t>
        </is>
      </c>
      <c r="CQ109" s="384" t="n"/>
      <c r="CR109" s="384" t="n"/>
      <c r="CS109" s="385" t="n"/>
      <c r="CT109" s="386">
        <f>IF(Q107="作業者2",K110-K107,0)</f>
        <v/>
      </c>
      <c r="CU109" s="387" t="n"/>
      <c r="CV109" s="387" t="n"/>
      <c r="CW109" s="387" t="n"/>
      <c r="CX109" s="388" t="n"/>
      <c r="CZ109" s="253" t="inlineStr">
        <is>
          <t>時間外</t>
        </is>
      </c>
      <c r="DA109" s="384" t="n"/>
      <c r="DB109" s="384" t="n"/>
      <c r="DC109" s="385" t="n"/>
      <c r="DD109" s="386">
        <f>IF(Q107="作業者3",K110-K107,0)</f>
        <v/>
      </c>
      <c r="DE109" s="387" t="n"/>
      <c r="DF109" s="387" t="n"/>
      <c r="DG109" s="387" t="n"/>
      <c r="DH109" s="388" t="n"/>
      <c r="DJ109" s="253" t="inlineStr">
        <is>
          <t>時間外</t>
        </is>
      </c>
      <c r="DK109" s="384" t="n"/>
      <c r="DL109" s="384" t="n"/>
      <c r="DM109" s="385" t="n"/>
      <c r="DN109" s="386">
        <f>IF(Q107="作業者4",K110-K107,0)</f>
        <v/>
      </c>
      <c r="DO109" s="387" t="n"/>
      <c r="DP109" s="387" t="n"/>
      <c r="DQ109" s="387" t="n"/>
      <c r="DR109" s="388" t="n"/>
      <c r="DT109" s="253" t="inlineStr">
        <is>
          <t>時間外</t>
        </is>
      </c>
      <c r="DU109" s="384" t="n"/>
      <c r="DV109" s="384" t="n"/>
      <c r="DW109" s="385" t="n"/>
      <c r="DX109" s="386">
        <f>IF(Q107="作業者5",K110-K107,0)</f>
        <v/>
      </c>
      <c r="DY109" s="387" t="n"/>
      <c r="DZ109" s="387" t="n"/>
      <c r="EA109" s="387" t="n"/>
      <c r="EB109" s="388" t="n"/>
    </row>
    <row r="110" ht="9" customHeight="1" s="337">
      <c r="B110" s="389" t="n"/>
      <c r="C110" s="390" t="n"/>
      <c r="D110" s="391" t="n"/>
      <c r="E110" s="392" t="n"/>
      <c r="F110" s="390" t="n"/>
      <c r="G110" s="391" t="n"/>
      <c r="H110" s="392" t="n"/>
      <c r="I110" s="390" t="n"/>
      <c r="J110" s="391" t="n"/>
      <c r="K110" s="392" t="n"/>
      <c r="L110" s="390" t="n"/>
      <c r="M110" s="391" t="n"/>
      <c r="N110" s="392" t="n"/>
      <c r="O110" s="390" t="n"/>
      <c r="P110" s="391" t="n"/>
      <c r="Q110" s="393" t="n"/>
      <c r="R110" s="390" t="n"/>
      <c r="S110" s="391" t="n"/>
      <c r="T110" s="393" t="n"/>
      <c r="U110" s="390" t="n"/>
      <c r="V110" s="391" t="n"/>
      <c r="W110" s="393" t="n"/>
      <c r="X110" s="390" t="n"/>
      <c r="Y110" s="390" t="n"/>
      <c r="Z110" s="390" t="n"/>
      <c r="AA110" s="390" t="n"/>
      <c r="AB110" s="390" t="n"/>
      <c r="AC110" s="390" t="n"/>
      <c r="AD110" s="390" t="n"/>
      <c r="AE110" s="390" t="n"/>
      <c r="AF110" s="390" t="n"/>
      <c r="AG110" s="390" t="n"/>
      <c r="AH110" s="390" t="n"/>
      <c r="AI110" s="390" t="n"/>
      <c r="AJ110" s="390" t="n"/>
      <c r="AK110" s="390" t="n"/>
      <c r="AL110" s="390" t="n"/>
      <c r="AM110" s="390" t="n"/>
      <c r="AN110" s="390" t="n"/>
      <c r="AO110" s="390" t="n"/>
      <c r="AP110" s="390" t="n"/>
      <c r="AQ110" s="390" t="n"/>
      <c r="AR110" s="390" t="n"/>
      <c r="AS110" s="390" t="n"/>
      <c r="AT110" s="390" t="n"/>
      <c r="AU110" s="390" t="n"/>
      <c r="AV110" s="390" t="n"/>
      <c r="AW110" s="390" t="n"/>
      <c r="AX110" s="390" t="n"/>
      <c r="AY110" s="390" t="n"/>
      <c r="AZ110" s="390" t="n"/>
      <c r="BA110" s="390" t="n"/>
      <c r="BB110" s="390" t="n"/>
      <c r="BC110" s="390" t="n"/>
      <c r="BD110" s="390" t="n"/>
      <c r="BE110" s="390" t="n"/>
      <c r="BF110" s="390" t="n"/>
      <c r="BG110" s="390" t="n"/>
      <c r="BH110" s="390" t="n"/>
      <c r="BI110" s="390" t="n"/>
      <c r="BJ110" s="390" t="n"/>
      <c r="BK110" s="390" t="n"/>
      <c r="BL110" s="390" t="n"/>
      <c r="BM110" s="390" t="n"/>
      <c r="BN110" s="390" t="n"/>
      <c r="BO110" s="390" t="n"/>
      <c r="BP110" s="390" t="n"/>
      <c r="BQ110" s="390" t="n"/>
      <c r="BR110" s="390" t="n"/>
      <c r="BS110" s="390" t="n"/>
      <c r="BT110" s="390" t="n"/>
      <c r="BU110" s="390" t="n"/>
      <c r="BV110" s="390" t="n"/>
      <c r="BW110" s="390" t="n"/>
      <c r="BX110" s="390" t="n"/>
      <c r="BY110" s="390" t="n"/>
      <c r="BZ110" s="390" t="n"/>
      <c r="CA110" s="390" t="n"/>
      <c r="CB110" s="390" t="n"/>
      <c r="CC110" s="394" t="n"/>
      <c r="CF110" s="254" t="inlineStr">
        <is>
          <t>休日</t>
        </is>
      </c>
      <c r="CG110" s="395" t="n"/>
      <c r="CH110" s="395" t="n"/>
      <c r="CI110" s="396" t="n"/>
      <c r="CJ110" s="397">
        <f>IF(Q107="作業者1",N110-N107,0)</f>
        <v/>
      </c>
      <c r="CK110" s="395" t="n"/>
      <c r="CL110" s="395" t="n"/>
      <c r="CM110" s="395" t="n"/>
      <c r="CN110" s="396" t="n"/>
      <c r="CP110" s="254" t="inlineStr">
        <is>
          <t>休日</t>
        </is>
      </c>
      <c r="CQ110" s="395" t="n"/>
      <c r="CR110" s="395" t="n"/>
      <c r="CS110" s="396" t="n"/>
      <c r="CT110" s="397">
        <f>IF(Q107="作業者2",N110-N107,0)</f>
        <v/>
      </c>
      <c r="CU110" s="395" t="n"/>
      <c r="CV110" s="395" t="n"/>
      <c r="CW110" s="395" t="n"/>
      <c r="CX110" s="396" t="n"/>
      <c r="CZ110" s="254" t="inlineStr">
        <is>
          <t>休日</t>
        </is>
      </c>
      <c r="DA110" s="395" t="n"/>
      <c r="DB110" s="395" t="n"/>
      <c r="DC110" s="396" t="n"/>
      <c r="DD110" s="397">
        <f>IF(Q107="作業者3",N110-N107,0)</f>
        <v/>
      </c>
      <c r="DE110" s="395" t="n"/>
      <c r="DF110" s="395" t="n"/>
      <c r="DG110" s="395" t="n"/>
      <c r="DH110" s="396" t="n"/>
      <c r="DJ110" s="254" t="inlineStr">
        <is>
          <t>休日</t>
        </is>
      </c>
      <c r="DK110" s="395" t="n"/>
      <c r="DL110" s="395" t="n"/>
      <c r="DM110" s="396" t="n"/>
      <c r="DN110" s="397">
        <f>IF(Q107="作業者4",N110-N107,0)</f>
        <v/>
      </c>
      <c r="DO110" s="395" t="n"/>
      <c r="DP110" s="395" t="n"/>
      <c r="DQ110" s="395" t="n"/>
      <c r="DR110" s="396" t="n"/>
      <c r="DT110" s="254" t="inlineStr">
        <is>
          <t>休日</t>
        </is>
      </c>
      <c r="DU110" s="395" t="n"/>
      <c r="DV110" s="395" t="n"/>
      <c r="DW110" s="396" t="n"/>
      <c r="DX110" s="397">
        <f>IF(Q107="作業者5",N110-N107,0)</f>
        <v/>
      </c>
      <c r="DY110" s="395" t="n"/>
      <c r="DZ110" s="395" t="n"/>
      <c r="EA110" s="395" t="n"/>
      <c r="EB110" s="396" t="n"/>
    </row>
    <row r="111" ht="9" customHeight="1" s="337">
      <c r="B111" s="398" t="n"/>
      <c r="C111" s="372" t="n"/>
      <c r="D111" s="373" t="n"/>
      <c r="E111" s="399" t="n"/>
      <c r="F111" s="372" t="n"/>
      <c r="G111" s="373" t="n"/>
      <c r="H111" s="399" t="n"/>
      <c r="I111" s="372" t="n"/>
      <c r="J111" s="373" t="n"/>
      <c r="K111" s="399" t="n"/>
      <c r="L111" s="372" t="n"/>
      <c r="M111" s="373" t="n"/>
      <c r="N111" s="399" t="n"/>
      <c r="O111" s="372" t="n"/>
      <c r="P111" s="373" t="n"/>
      <c r="Q111" s="371" t="n"/>
      <c r="R111" s="372" t="n"/>
      <c r="S111" s="373" t="n"/>
      <c r="T111" s="371" t="n"/>
      <c r="U111" s="372" t="n"/>
      <c r="V111" s="373" t="n"/>
      <c r="W111" s="443" t="n"/>
      <c r="X111" s="372" t="n"/>
      <c r="Y111" s="372" t="n"/>
      <c r="Z111" s="372" t="n"/>
      <c r="AA111" s="372" t="n"/>
      <c r="AB111" s="372" t="n"/>
      <c r="AC111" s="372" t="n"/>
      <c r="AD111" s="372" t="n"/>
      <c r="AE111" s="372" t="n"/>
      <c r="AF111" s="372" t="n"/>
      <c r="AG111" s="372" t="n"/>
      <c r="AH111" s="372" t="n"/>
      <c r="AI111" s="372" t="n"/>
      <c r="AJ111" s="372" t="n"/>
      <c r="AK111" s="372" t="n"/>
      <c r="AL111" s="372" t="n"/>
      <c r="AM111" s="372" t="n"/>
      <c r="AN111" s="372" t="n"/>
      <c r="AO111" s="372" t="n"/>
      <c r="AP111" s="372" t="n"/>
      <c r="AQ111" s="372" t="n"/>
      <c r="AR111" s="372" t="n"/>
      <c r="AS111" s="372" t="n"/>
      <c r="AT111" s="372" t="n"/>
      <c r="AU111" s="372" t="n"/>
      <c r="AV111" s="372" t="n"/>
      <c r="AW111" s="372" t="n"/>
      <c r="AX111" s="372" t="n"/>
      <c r="AY111" s="372" t="n"/>
      <c r="AZ111" s="372" t="n"/>
      <c r="BA111" s="372" t="n"/>
      <c r="BB111" s="372" t="n"/>
      <c r="BC111" s="372" t="n"/>
      <c r="BD111" s="372" t="n"/>
      <c r="BE111" s="372" t="n"/>
      <c r="BF111" s="372" t="n"/>
      <c r="BG111" s="372" t="n"/>
      <c r="BH111" s="372" t="n"/>
      <c r="BI111" s="372" t="n"/>
      <c r="BJ111" s="372" t="n"/>
      <c r="BK111" s="372" t="n"/>
      <c r="BL111" s="372" t="n"/>
      <c r="BM111" s="372" t="n"/>
      <c r="BN111" s="372" t="n"/>
      <c r="BO111" s="372" t="n"/>
      <c r="BP111" s="372" t="n"/>
      <c r="BQ111" s="372" t="n"/>
      <c r="BR111" s="372" t="n"/>
      <c r="BS111" s="372" t="n"/>
      <c r="BT111" s="372" t="n"/>
      <c r="BU111" s="372" t="n"/>
      <c r="BV111" s="372" t="n"/>
      <c r="BW111" s="372" t="n"/>
      <c r="BX111" s="372" t="n"/>
      <c r="BY111" s="372" t="n"/>
      <c r="BZ111" s="372" t="n"/>
      <c r="CA111" s="372" t="n"/>
      <c r="CB111" s="372" t="n"/>
      <c r="CC111" s="402" t="n"/>
      <c r="CF111" s="248" t="inlineStr">
        <is>
          <t>移動</t>
        </is>
      </c>
      <c r="CG111" s="377" t="n"/>
      <c r="CH111" s="377" t="n"/>
      <c r="CI111" s="378" t="n"/>
      <c r="CJ111" s="379">
        <f>IF(Q111="作業者1",E114-E111,0)</f>
        <v/>
      </c>
      <c r="CK111" s="377" t="n"/>
      <c r="CL111" s="377" t="n"/>
      <c r="CM111" s="377" t="n"/>
      <c r="CN111" s="378" t="n"/>
      <c r="CP111" s="248" t="inlineStr">
        <is>
          <t>移動</t>
        </is>
      </c>
      <c r="CQ111" s="377" t="n"/>
      <c r="CR111" s="377" t="n"/>
      <c r="CS111" s="378" t="n"/>
      <c r="CT111" s="379">
        <f>IF(Q111="作業者2",E114-E111,0)</f>
        <v/>
      </c>
      <c r="CU111" s="377" t="n"/>
      <c r="CV111" s="377" t="n"/>
      <c r="CW111" s="377" t="n"/>
      <c r="CX111" s="378" t="n"/>
      <c r="CZ111" s="248" t="inlineStr">
        <is>
          <t>移動</t>
        </is>
      </c>
      <c r="DA111" s="377" t="n"/>
      <c r="DB111" s="377" t="n"/>
      <c r="DC111" s="378" t="n"/>
      <c r="DD111" s="379">
        <f>IF(Q111="作業者3",E114-E111,0)</f>
        <v/>
      </c>
      <c r="DE111" s="377" t="n"/>
      <c r="DF111" s="377" t="n"/>
      <c r="DG111" s="377" t="n"/>
      <c r="DH111" s="378" t="n"/>
      <c r="DJ111" s="248" t="inlineStr">
        <is>
          <t>移動</t>
        </is>
      </c>
      <c r="DK111" s="377" t="n"/>
      <c r="DL111" s="377" t="n"/>
      <c r="DM111" s="378" t="n"/>
      <c r="DN111" s="379">
        <f>IF(Q111="作業者4",E114-E111,0)</f>
        <v/>
      </c>
      <c r="DO111" s="377" t="n"/>
      <c r="DP111" s="377" t="n"/>
      <c r="DQ111" s="377" t="n"/>
      <c r="DR111" s="378" t="n"/>
      <c r="DT111" s="259" t="inlineStr">
        <is>
          <t>移動</t>
        </is>
      </c>
      <c r="DU111" s="403" t="n"/>
      <c r="DV111" s="403" t="n"/>
      <c r="DW111" s="404" t="n"/>
      <c r="DX111" s="379">
        <f>IF(Q111="作業者5",E114-E111,0)</f>
        <v/>
      </c>
      <c r="DY111" s="377" t="n"/>
      <c r="DZ111" s="377" t="n"/>
      <c r="EA111" s="377" t="n"/>
      <c r="EB111" s="378" t="n"/>
    </row>
    <row r="112" ht="9" customHeight="1" s="337">
      <c r="B112" s="350" t="n"/>
      <c r="C112" s="338" t="n"/>
      <c r="D112" s="380" t="n"/>
      <c r="E112" s="381" t="n"/>
      <c r="F112" s="122" t="inlineStr">
        <is>
          <t>～</t>
        </is>
      </c>
      <c r="G112" s="22" t="n"/>
      <c r="H112" s="381" t="n"/>
      <c r="I112" s="122" t="inlineStr">
        <is>
          <t>～</t>
        </is>
      </c>
      <c r="J112" s="22" t="n"/>
      <c r="K112" s="381" t="n"/>
      <c r="L112" s="122" t="inlineStr">
        <is>
          <t>～</t>
        </is>
      </c>
      <c r="M112" s="22" t="n"/>
      <c r="N112" s="381" t="n"/>
      <c r="O112" s="122" t="inlineStr">
        <is>
          <t>～</t>
        </is>
      </c>
      <c r="P112" s="22" t="n"/>
      <c r="Q112" s="382" t="n"/>
      <c r="R112" s="338" t="n"/>
      <c r="S112" s="380" t="n"/>
      <c r="T112" s="382" t="n"/>
      <c r="U112" s="338" t="n"/>
      <c r="V112" s="380" t="n"/>
      <c r="W112" s="382" t="n"/>
      <c r="X112" s="338" t="n"/>
      <c r="Y112" s="338" t="n"/>
      <c r="Z112" s="338" t="n"/>
      <c r="AA112" s="338" t="n"/>
      <c r="AB112" s="338" t="n"/>
      <c r="AC112" s="338" t="n"/>
      <c r="AD112" s="338" t="n"/>
      <c r="AE112" s="338" t="n"/>
      <c r="AF112" s="338" t="n"/>
      <c r="AG112" s="338" t="n"/>
      <c r="AH112" s="338" t="n"/>
      <c r="AI112" s="338" t="n"/>
      <c r="AJ112" s="338" t="n"/>
      <c r="AK112" s="338" t="n"/>
      <c r="AL112" s="338" t="n"/>
      <c r="AM112" s="338" t="n"/>
      <c r="AN112" s="338" t="n"/>
      <c r="AO112" s="338" t="n"/>
      <c r="AP112" s="338" t="n"/>
      <c r="AQ112" s="338" t="n"/>
      <c r="AR112" s="338" t="n"/>
      <c r="AS112" s="338" t="n"/>
      <c r="AT112" s="338" t="n"/>
      <c r="AU112" s="338" t="n"/>
      <c r="AV112" s="338" t="n"/>
      <c r="AW112" s="338" t="n"/>
      <c r="AX112" s="338" t="n"/>
      <c r="AY112" s="338" t="n"/>
      <c r="AZ112" s="338" t="n"/>
      <c r="BA112" s="338" t="n"/>
      <c r="BB112" s="338" t="n"/>
      <c r="BC112" s="338" t="n"/>
      <c r="BD112" s="338" t="n"/>
      <c r="BE112" s="338" t="n"/>
      <c r="BF112" s="338" t="n"/>
      <c r="BG112" s="338" t="n"/>
      <c r="BH112" s="338" t="n"/>
      <c r="BI112" s="338" t="n"/>
      <c r="BJ112" s="338" t="n"/>
      <c r="BK112" s="338" t="n"/>
      <c r="BL112" s="338" t="n"/>
      <c r="BM112" s="338" t="n"/>
      <c r="BN112" s="338" t="n"/>
      <c r="BO112" s="338" t="n"/>
      <c r="BP112" s="338" t="n"/>
      <c r="BQ112" s="338" t="n"/>
      <c r="BR112" s="338" t="n"/>
      <c r="BS112" s="338" t="n"/>
      <c r="BT112" s="338" t="n"/>
      <c r="BU112" s="338" t="n"/>
      <c r="BV112" s="338" t="n"/>
      <c r="BW112" s="338" t="n"/>
      <c r="BX112" s="338" t="n"/>
      <c r="BY112" s="338" t="n"/>
      <c r="BZ112" s="338" t="n"/>
      <c r="CA112" s="338" t="n"/>
      <c r="CB112" s="338" t="n"/>
      <c r="CC112" s="383" t="n"/>
      <c r="CF112" s="253" t="inlineStr">
        <is>
          <t>時間内</t>
        </is>
      </c>
      <c r="CG112" s="384" t="n"/>
      <c r="CH112" s="384" t="n"/>
      <c r="CI112" s="385" t="n"/>
      <c r="CJ112" s="386">
        <f>IF(Q111="作業者1",H114-H111,0)</f>
        <v/>
      </c>
      <c r="CK112" s="387" t="n"/>
      <c r="CL112" s="387" t="n"/>
      <c r="CM112" s="387" t="n"/>
      <c r="CN112" s="388" t="n"/>
      <c r="CP112" s="253" t="inlineStr">
        <is>
          <t>時間内</t>
        </is>
      </c>
      <c r="CQ112" s="384" t="n"/>
      <c r="CR112" s="384" t="n"/>
      <c r="CS112" s="385" t="n"/>
      <c r="CT112" s="386">
        <f>IF(Q111="作業者2",H114-H111,0)</f>
        <v/>
      </c>
      <c r="CU112" s="387" t="n"/>
      <c r="CV112" s="387" t="n"/>
      <c r="CW112" s="387" t="n"/>
      <c r="CX112" s="388" t="n"/>
      <c r="CZ112" s="253" t="inlineStr">
        <is>
          <t>時間内</t>
        </is>
      </c>
      <c r="DA112" s="384" t="n"/>
      <c r="DB112" s="384" t="n"/>
      <c r="DC112" s="385" t="n"/>
      <c r="DD112" s="386">
        <f>IF(Q111="作業者3",H114-H111,0)</f>
        <v/>
      </c>
      <c r="DE112" s="387" t="n"/>
      <c r="DF112" s="387" t="n"/>
      <c r="DG112" s="387" t="n"/>
      <c r="DH112" s="388" t="n"/>
      <c r="DJ112" s="253" t="inlineStr">
        <is>
          <t>時間内</t>
        </is>
      </c>
      <c r="DK112" s="384" t="n"/>
      <c r="DL112" s="384" t="n"/>
      <c r="DM112" s="385" t="n"/>
      <c r="DN112" s="386">
        <f>IF(Q111="作業者4",H114-H111,0)</f>
        <v/>
      </c>
      <c r="DO112" s="387" t="n"/>
      <c r="DP112" s="387" t="n"/>
      <c r="DQ112" s="387" t="n"/>
      <c r="DR112" s="388" t="n"/>
      <c r="DT112" s="253" t="inlineStr">
        <is>
          <t>時間内</t>
        </is>
      </c>
      <c r="DU112" s="384" t="n"/>
      <c r="DV112" s="384" t="n"/>
      <c r="DW112" s="385" t="n"/>
      <c r="DX112" s="386">
        <f>IF(Q111="作業者5",H114-H111,0)</f>
        <v/>
      </c>
      <c r="DY112" s="387" t="n"/>
      <c r="DZ112" s="387" t="n"/>
      <c r="EA112" s="387" t="n"/>
      <c r="EB112" s="388" t="n"/>
    </row>
    <row r="113" ht="9" customHeight="1" s="337">
      <c r="B113" s="350" t="n"/>
      <c r="C113" s="338" t="n"/>
      <c r="D113" s="380" t="n"/>
      <c r="E113" s="23" t="n"/>
      <c r="F113" s="338" t="n"/>
      <c r="G113" s="24" t="n"/>
      <c r="H113" s="23" t="n"/>
      <c r="I113" s="338" t="n"/>
      <c r="J113" s="24" t="n"/>
      <c r="K113" s="23" t="n"/>
      <c r="L113" s="338" t="n"/>
      <c r="M113" s="24" t="n"/>
      <c r="N113" s="23" t="n"/>
      <c r="O113" s="338" t="n"/>
      <c r="P113" s="24" t="n"/>
      <c r="Q113" s="382" t="n"/>
      <c r="R113" s="338" t="n"/>
      <c r="S113" s="380" t="n"/>
      <c r="T113" s="382" t="n"/>
      <c r="U113" s="338" t="n"/>
      <c r="V113" s="380" t="n"/>
      <c r="W113" s="382" t="n"/>
      <c r="X113" s="338" t="n"/>
      <c r="Y113" s="338" t="n"/>
      <c r="Z113" s="338" t="n"/>
      <c r="AA113" s="338" t="n"/>
      <c r="AB113" s="338" t="n"/>
      <c r="AC113" s="338" t="n"/>
      <c r="AD113" s="338" t="n"/>
      <c r="AE113" s="338" t="n"/>
      <c r="AF113" s="338" t="n"/>
      <c r="AG113" s="338" t="n"/>
      <c r="AH113" s="338" t="n"/>
      <c r="AI113" s="338" t="n"/>
      <c r="AJ113" s="338" t="n"/>
      <c r="AK113" s="338" t="n"/>
      <c r="AL113" s="338" t="n"/>
      <c r="AM113" s="338" t="n"/>
      <c r="AN113" s="338" t="n"/>
      <c r="AO113" s="338" t="n"/>
      <c r="AP113" s="338" t="n"/>
      <c r="AQ113" s="338" t="n"/>
      <c r="AR113" s="338" t="n"/>
      <c r="AS113" s="338" t="n"/>
      <c r="AT113" s="338" t="n"/>
      <c r="AU113" s="338" t="n"/>
      <c r="AV113" s="338" t="n"/>
      <c r="AW113" s="338" t="n"/>
      <c r="AX113" s="338" t="n"/>
      <c r="AY113" s="338" t="n"/>
      <c r="AZ113" s="338" t="n"/>
      <c r="BA113" s="338" t="n"/>
      <c r="BB113" s="338" t="n"/>
      <c r="BC113" s="338" t="n"/>
      <c r="BD113" s="338" t="n"/>
      <c r="BE113" s="338" t="n"/>
      <c r="BF113" s="338" t="n"/>
      <c r="BG113" s="338" t="n"/>
      <c r="BH113" s="338" t="n"/>
      <c r="BI113" s="338" t="n"/>
      <c r="BJ113" s="338" t="n"/>
      <c r="BK113" s="338" t="n"/>
      <c r="BL113" s="338" t="n"/>
      <c r="BM113" s="338" t="n"/>
      <c r="BN113" s="338" t="n"/>
      <c r="BO113" s="338" t="n"/>
      <c r="BP113" s="338" t="n"/>
      <c r="BQ113" s="338" t="n"/>
      <c r="BR113" s="338" t="n"/>
      <c r="BS113" s="338" t="n"/>
      <c r="BT113" s="338" t="n"/>
      <c r="BU113" s="338" t="n"/>
      <c r="BV113" s="338" t="n"/>
      <c r="BW113" s="338" t="n"/>
      <c r="BX113" s="338" t="n"/>
      <c r="BY113" s="338" t="n"/>
      <c r="BZ113" s="338" t="n"/>
      <c r="CA113" s="338" t="n"/>
      <c r="CB113" s="338" t="n"/>
      <c r="CC113" s="383" t="n"/>
      <c r="CF113" s="253" t="inlineStr">
        <is>
          <t>時間外</t>
        </is>
      </c>
      <c r="CG113" s="384" t="n"/>
      <c r="CH113" s="384" t="n"/>
      <c r="CI113" s="385" t="n"/>
      <c r="CJ113" s="386">
        <f>IF(Q111="作業者1",K114-K111,0)</f>
        <v/>
      </c>
      <c r="CK113" s="387" t="n"/>
      <c r="CL113" s="387" t="n"/>
      <c r="CM113" s="387" t="n"/>
      <c r="CN113" s="388" t="n"/>
      <c r="CP113" s="253" t="inlineStr">
        <is>
          <t>時間外</t>
        </is>
      </c>
      <c r="CQ113" s="384" t="n"/>
      <c r="CR113" s="384" t="n"/>
      <c r="CS113" s="385" t="n"/>
      <c r="CT113" s="386">
        <f>IF(Q111="作業者2",K114-K111,0)</f>
        <v/>
      </c>
      <c r="CU113" s="387" t="n"/>
      <c r="CV113" s="387" t="n"/>
      <c r="CW113" s="387" t="n"/>
      <c r="CX113" s="388" t="n"/>
      <c r="CZ113" s="253" t="inlineStr">
        <is>
          <t>時間外</t>
        </is>
      </c>
      <c r="DA113" s="384" t="n"/>
      <c r="DB113" s="384" t="n"/>
      <c r="DC113" s="385" t="n"/>
      <c r="DD113" s="386">
        <f>IF(Q111="作業者3",K114-K111,0)</f>
        <v/>
      </c>
      <c r="DE113" s="387" t="n"/>
      <c r="DF113" s="387" t="n"/>
      <c r="DG113" s="387" t="n"/>
      <c r="DH113" s="388" t="n"/>
      <c r="DJ113" s="253" t="inlineStr">
        <is>
          <t>時間外</t>
        </is>
      </c>
      <c r="DK113" s="384" t="n"/>
      <c r="DL113" s="384" t="n"/>
      <c r="DM113" s="385" t="n"/>
      <c r="DN113" s="386">
        <f>IF(Q111="作業者4",K114-K111,0)</f>
        <v/>
      </c>
      <c r="DO113" s="387" t="n"/>
      <c r="DP113" s="387" t="n"/>
      <c r="DQ113" s="387" t="n"/>
      <c r="DR113" s="388" t="n"/>
      <c r="DT113" s="253" t="inlineStr">
        <is>
          <t>時間外</t>
        </is>
      </c>
      <c r="DU113" s="384" t="n"/>
      <c r="DV113" s="384" t="n"/>
      <c r="DW113" s="385" t="n"/>
      <c r="DX113" s="386">
        <f>IF(Q111="作業者5",K114-K111,0)</f>
        <v/>
      </c>
      <c r="DY113" s="387" t="n"/>
      <c r="DZ113" s="387" t="n"/>
      <c r="EA113" s="387" t="n"/>
      <c r="EB113" s="388" t="n"/>
    </row>
    <row r="114" ht="9" customHeight="1" s="337">
      <c r="B114" s="389" t="n"/>
      <c r="C114" s="390" t="n"/>
      <c r="D114" s="391" t="n"/>
      <c r="E114" s="392" t="n"/>
      <c r="F114" s="390" t="n"/>
      <c r="G114" s="391" t="n"/>
      <c r="H114" s="392" t="n"/>
      <c r="I114" s="390" t="n"/>
      <c r="J114" s="391" t="n"/>
      <c r="K114" s="392" t="n"/>
      <c r="L114" s="390" t="n"/>
      <c r="M114" s="391" t="n"/>
      <c r="N114" s="392" t="n"/>
      <c r="O114" s="390" t="n"/>
      <c r="P114" s="391" t="n"/>
      <c r="Q114" s="393" t="n"/>
      <c r="R114" s="390" t="n"/>
      <c r="S114" s="391" t="n"/>
      <c r="T114" s="393" t="n"/>
      <c r="U114" s="390" t="n"/>
      <c r="V114" s="391" t="n"/>
      <c r="W114" s="393" t="n"/>
      <c r="X114" s="390" t="n"/>
      <c r="Y114" s="390" t="n"/>
      <c r="Z114" s="390" t="n"/>
      <c r="AA114" s="390" t="n"/>
      <c r="AB114" s="390" t="n"/>
      <c r="AC114" s="390" t="n"/>
      <c r="AD114" s="390" t="n"/>
      <c r="AE114" s="390" t="n"/>
      <c r="AF114" s="390" t="n"/>
      <c r="AG114" s="390" t="n"/>
      <c r="AH114" s="390" t="n"/>
      <c r="AI114" s="390" t="n"/>
      <c r="AJ114" s="390" t="n"/>
      <c r="AK114" s="390" t="n"/>
      <c r="AL114" s="390" t="n"/>
      <c r="AM114" s="390" t="n"/>
      <c r="AN114" s="390" t="n"/>
      <c r="AO114" s="390" t="n"/>
      <c r="AP114" s="390" t="n"/>
      <c r="AQ114" s="390" t="n"/>
      <c r="AR114" s="390" t="n"/>
      <c r="AS114" s="390" t="n"/>
      <c r="AT114" s="390" t="n"/>
      <c r="AU114" s="390" t="n"/>
      <c r="AV114" s="390" t="n"/>
      <c r="AW114" s="390" t="n"/>
      <c r="AX114" s="390" t="n"/>
      <c r="AY114" s="390" t="n"/>
      <c r="AZ114" s="390" t="n"/>
      <c r="BA114" s="390" t="n"/>
      <c r="BB114" s="390" t="n"/>
      <c r="BC114" s="390" t="n"/>
      <c r="BD114" s="390" t="n"/>
      <c r="BE114" s="390" t="n"/>
      <c r="BF114" s="390" t="n"/>
      <c r="BG114" s="390" t="n"/>
      <c r="BH114" s="390" t="n"/>
      <c r="BI114" s="390" t="n"/>
      <c r="BJ114" s="390" t="n"/>
      <c r="BK114" s="390" t="n"/>
      <c r="BL114" s="390" t="n"/>
      <c r="BM114" s="390" t="n"/>
      <c r="BN114" s="390" t="n"/>
      <c r="BO114" s="390" t="n"/>
      <c r="BP114" s="390" t="n"/>
      <c r="BQ114" s="390" t="n"/>
      <c r="BR114" s="390" t="n"/>
      <c r="BS114" s="390" t="n"/>
      <c r="BT114" s="390" t="n"/>
      <c r="BU114" s="390" t="n"/>
      <c r="BV114" s="390" t="n"/>
      <c r="BW114" s="390" t="n"/>
      <c r="BX114" s="390" t="n"/>
      <c r="BY114" s="390" t="n"/>
      <c r="BZ114" s="390" t="n"/>
      <c r="CA114" s="390" t="n"/>
      <c r="CB114" s="390" t="n"/>
      <c r="CC114" s="394" t="n"/>
      <c r="CF114" s="254" t="inlineStr">
        <is>
          <t>休日</t>
        </is>
      </c>
      <c r="CG114" s="395" t="n"/>
      <c r="CH114" s="395" t="n"/>
      <c r="CI114" s="396" t="n"/>
      <c r="CJ114" s="386">
        <f>IF(Q111="作業者1",N114-N111,0)</f>
        <v/>
      </c>
      <c r="CK114" s="387" t="n"/>
      <c r="CL114" s="387" t="n"/>
      <c r="CM114" s="387" t="n"/>
      <c r="CN114" s="388" t="n"/>
      <c r="CP114" s="253" t="inlineStr">
        <is>
          <t>休日</t>
        </is>
      </c>
      <c r="CQ114" s="384" t="n"/>
      <c r="CR114" s="384" t="n"/>
      <c r="CS114" s="385" t="n"/>
      <c r="CT114" s="386">
        <f>IF(Q111="作業者2",N114-N111,0)</f>
        <v/>
      </c>
      <c r="CU114" s="387" t="n"/>
      <c r="CV114" s="387" t="n"/>
      <c r="CW114" s="387" t="n"/>
      <c r="CX114" s="388" t="n"/>
      <c r="CZ114" s="254" t="inlineStr">
        <is>
          <t>休日</t>
        </is>
      </c>
      <c r="DA114" s="395" t="n"/>
      <c r="DB114" s="395" t="n"/>
      <c r="DC114" s="396" t="n"/>
      <c r="DD114" s="397">
        <f>IF(Q111="作業者3",N114-N111,0)</f>
        <v/>
      </c>
      <c r="DE114" s="395" t="n"/>
      <c r="DF114" s="395" t="n"/>
      <c r="DG114" s="395" t="n"/>
      <c r="DH114" s="396" t="n"/>
      <c r="DJ114" s="254" t="inlineStr">
        <is>
          <t>休日</t>
        </is>
      </c>
      <c r="DK114" s="395" t="n"/>
      <c r="DL114" s="395" t="n"/>
      <c r="DM114" s="396" t="n"/>
      <c r="DN114" s="397">
        <f>IF(Q111="作業者4",N114-N111,0)</f>
        <v/>
      </c>
      <c r="DO114" s="395" t="n"/>
      <c r="DP114" s="395" t="n"/>
      <c r="DQ114" s="395" t="n"/>
      <c r="DR114" s="396" t="n"/>
      <c r="DT114" s="254" t="inlineStr">
        <is>
          <t>休日</t>
        </is>
      </c>
      <c r="DU114" s="395" t="n"/>
      <c r="DV114" s="395" t="n"/>
      <c r="DW114" s="396" t="n"/>
      <c r="DX114" s="397">
        <f>IF(Q111="作業者5",N114-N111,0)</f>
        <v/>
      </c>
      <c r="DY114" s="395" t="n"/>
      <c r="DZ114" s="395" t="n"/>
      <c r="EA114" s="395" t="n"/>
      <c r="EB114" s="396" t="n"/>
    </row>
    <row r="115" ht="9" customHeight="1" s="337">
      <c r="B115" s="398" t="n"/>
      <c r="C115" s="372" t="n"/>
      <c r="D115" s="373" t="n"/>
      <c r="E115" s="399" t="n"/>
      <c r="F115" s="372" t="n"/>
      <c r="G115" s="373" t="n"/>
      <c r="H115" s="399" t="n"/>
      <c r="I115" s="372" t="n"/>
      <c r="J115" s="373" t="n"/>
      <c r="K115" s="399" t="n"/>
      <c r="L115" s="372" t="n"/>
      <c r="M115" s="373" t="n"/>
      <c r="N115" s="399" t="n"/>
      <c r="O115" s="372" t="n"/>
      <c r="P115" s="373" t="n"/>
      <c r="Q115" s="371" t="n"/>
      <c r="R115" s="372" t="n"/>
      <c r="S115" s="373" t="n"/>
      <c r="T115" s="371" t="n"/>
      <c r="U115" s="372" t="n"/>
      <c r="V115" s="373" t="n"/>
      <c r="W115" s="443" t="n"/>
      <c r="X115" s="372" t="n"/>
      <c r="Y115" s="372" t="n"/>
      <c r="Z115" s="372" t="n"/>
      <c r="AA115" s="372" t="n"/>
      <c r="AB115" s="372" t="n"/>
      <c r="AC115" s="372" t="n"/>
      <c r="AD115" s="372" t="n"/>
      <c r="AE115" s="372" t="n"/>
      <c r="AF115" s="372" t="n"/>
      <c r="AG115" s="372" t="n"/>
      <c r="AH115" s="372" t="n"/>
      <c r="AI115" s="372" t="n"/>
      <c r="AJ115" s="372" t="n"/>
      <c r="AK115" s="372" t="n"/>
      <c r="AL115" s="372" t="n"/>
      <c r="AM115" s="372" t="n"/>
      <c r="AN115" s="372" t="n"/>
      <c r="AO115" s="372" t="n"/>
      <c r="AP115" s="372" t="n"/>
      <c r="AQ115" s="372" t="n"/>
      <c r="AR115" s="372" t="n"/>
      <c r="AS115" s="372" t="n"/>
      <c r="AT115" s="372" t="n"/>
      <c r="AU115" s="372" t="n"/>
      <c r="AV115" s="372" t="n"/>
      <c r="AW115" s="372" t="n"/>
      <c r="AX115" s="372" t="n"/>
      <c r="AY115" s="372" t="n"/>
      <c r="AZ115" s="372" t="n"/>
      <c r="BA115" s="372" t="n"/>
      <c r="BB115" s="372" t="n"/>
      <c r="BC115" s="372" t="n"/>
      <c r="BD115" s="372" t="n"/>
      <c r="BE115" s="372" t="n"/>
      <c r="BF115" s="372" t="n"/>
      <c r="BG115" s="372" t="n"/>
      <c r="BH115" s="372" t="n"/>
      <c r="BI115" s="372" t="n"/>
      <c r="BJ115" s="372" t="n"/>
      <c r="BK115" s="372" t="n"/>
      <c r="BL115" s="372" t="n"/>
      <c r="BM115" s="372" t="n"/>
      <c r="BN115" s="372" t="n"/>
      <c r="BO115" s="372" t="n"/>
      <c r="BP115" s="372" t="n"/>
      <c r="BQ115" s="372" t="n"/>
      <c r="BR115" s="372" t="n"/>
      <c r="BS115" s="372" t="n"/>
      <c r="BT115" s="372" t="n"/>
      <c r="BU115" s="372" t="n"/>
      <c r="BV115" s="372" t="n"/>
      <c r="BW115" s="372" t="n"/>
      <c r="BX115" s="372" t="n"/>
      <c r="BY115" s="372" t="n"/>
      <c r="BZ115" s="372" t="n"/>
      <c r="CA115" s="372" t="n"/>
      <c r="CB115" s="372" t="n"/>
      <c r="CC115" s="402" t="n"/>
      <c r="CF115" s="259" t="inlineStr">
        <is>
          <t>移動</t>
        </is>
      </c>
      <c r="CG115" s="403" t="n"/>
      <c r="CH115" s="403" t="n"/>
      <c r="CI115" s="404" t="n"/>
      <c r="CJ115" s="379">
        <f>IF(Q115="作業者1",E118-E115,0)</f>
        <v/>
      </c>
      <c r="CK115" s="377" t="n"/>
      <c r="CL115" s="377" t="n"/>
      <c r="CM115" s="377" t="n"/>
      <c r="CN115" s="378" t="n"/>
      <c r="CP115" s="248" t="inlineStr">
        <is>
          <t>移動</t>
        </is>
      </c>
      <c r="CQ115" s="377" t="n"/>
      <c r="CR115" s="377" t="n"/>
      <c r="CS115" s="378" t="n"/>
      <c r="CT115" s="379">
        <f>IF(Q115="作業者2",E118-E115,0)</f>
        <v/>
      </c>
      <c r="CU115" s="377" t="n"/>
      <c r="CV115" s="377" t="n"/>
      <c r="CW115" s="377" t="n"/>
      <c r="CX115" s="378" t="n"/>
      <c r="CZ115" s="259" t="inlineStr">
        <is>
          <t>移動</t>
        </is>
      </c>
      <c r="DA115" s="403" t="n"/>
      <c r="DB115" s="403" t="n"/>
      <c r="DC115" s="404" t="n"/>
      <c r="DD115" s="405">
        <f>IF(Q115="作業者3",E118-E115,0)</f>
        <v/>
      </c>
      <c r="DE115" s="406" t="n"/>
      <c r="DF115" s="406" t="n"/>
      <c r="DG115" s="406" t="n"/>
      <c r="DH115" s="407" t="n"/>
      <c r="DJ115" s="259" t="inlineStr">
        <is>
          <t>移動</t>
        </is>
      </c>
      <c r="DK115" s="403" t="n"/>
      <c r="DL115" s="403" t="n"/>
      <c r="DM115" s="404" t="n"/>
      <c r="DN115" s="379">
        <f>IF(Q115="作業者4",E118-E115,0)</f>
        <v/>
      </c>
      <c r="DO115" s="377" t="n"/>
      <c r="DP115" s="377" t="n"/>
      <c r="DQ115" s="377" t="n"/>
      <c r="DR115" s="378" t="n"/>
      <c r="DT115" s="259" t="inlineStr">
        <is>
          <t>移動</t>
        </is>
      </c>
      <c r="DU115" s="403" t="n"/>
      <c r="DV115" s="403" t="n"/>
      <c r="DW115" s="404" t="n"/>
      <c r="DX115" s="379">
        <f>IF(Q115="作業者5",E118-E115,0)</f>
        <v/>
      </c>
      <c r="DY115" s="377" t="n"/>
      <c r="DZ115" s="377" t="n"/>
      <c r="EA115" s="377" t="n"/>
      <c r="EB115" s="378" t="n"/>
    </row>
    <row r="116" ht="9" customHeight="1" s="337">
      <c r="B116" s="350" t="n"/>
      <c r="C116" s="338" t="n"/>
      <c r="D116" s="380" t="n"/>
      <c r="E116" s="381" t="n"/>
      <c r="F116" s="122" t="inlineStr">
        <is>
          <t>～</t>
        </is>
      </c>
      <c r="G116" s="22" t="n"/>
      <c r="H116" s="381" t="n"/>
      <c r="I116" s="122" t="inlineStr">
        <is>
          <t>～</t>
        </is>
      </c>
      <c r="J116" s="22" t="n"/>
      <c r="K116" s="381" t="n"/>
      <c r="L116" s="122" t="inlineStr">
        <is>
          <t>～</t>
        </is>
      </c>
      <c r="M116" s="22" t="n"/>
      <c r="N116" s="381" t="n"/>
      <c r="O116" s="122" t="inlineStr">
        <is>
          <t>～</t>
        </is>
      </c>
      <c r="P116" s="22" t="n"/>
      <c r="Q116" s="382" t="n"/>
      <c r="R116" s="338" t="n"/>
      <c r="S116" s="380" t="n"/>
      <c r="T116" s="382" t="n"/>
      <c r="U116" s="338" t="n"/>
      <c r="V116" s="380" t="n"/>
      <c r="W116" s="382" t="n"/>
      <c r="X116" s="338" t="n"/>
      <c r="Y116" s="338" t="n"/>
      <c r="Z116" s="338" t="n"/>
      <c r="AA116" s="338" t="n"/>
      <c r="AB116" s="338" t="n"/>
      <c r="AC116" s="338" t="n"/>
      <c r="AD116" s="338" t="n"/>
      <c r="AE116" s="338" t="n"/>
      <c r="AF116" s="338" t="n"/>
      <c r="AG116" s="338" t="n"/>
      <c r="AH116" s="338" t="n"/>
      <c r="AI116" s="338" t="n"/>
      <c r="AJ116" s="338" t="n"/>
      <c r="AK116" s="338" t="n"/>
      <c r="AL116" s="338" t="n"/>
      <c r="AM116" s="338" t="n"/>
      <c r="AN116" s="338" t="n"/>
      <c r="AO116" s="338" t="n"/>
      <c r="AP116" s="338" t="n"/>
      <c r="AQ116" s="338" t="n"/>
      <c r="AR116" s="338" t="n"/>
      <c r="AS116" s="338" t="n"/>
      <c r="AT116" s="338" t="n"/>
      <c r="AU116" s="338" t="n"/>
      <c r="AV116" s="338" t="n"/>
      <c r="AW116" s="338" t="n"/>
      <c r="AX116" s="338" t="n"/>
      <c r="AY116" s="338" t="n"/>
      <c r="AZ116" s="338" t="n"/>
      <c r="BA116" s="338" t="n"/>
      <c r="BB116" s="338" t="n"/>
      <c r="BC116" s="338" t="n"/>
      <c r="BD116" s="338" t="n"/>
      <c r="BE116" s="338" t="n"/>
      <c r="BF116" s="338" t="n"/>
      <c r="BG116" s="338" t="n"/>
      <c r="BH116" s="338" t="n"/>
      <c r="BI116" s="338" t="n"/>
      <c r="BJ116" s="338" t="n"/>
      <c r="BK116" s="338" t="n"/>
      <c r="BL116" s="338" t="n"/>
      <c r="BM116" s="338" t="n"/>
      <c r="BN116" s="338" t="n"/>
      <c r="BO116" s="338" t="n"/>
      <c r="BP116" s="338" t="n"/>
      <c r="BQ116" s="338" t="n"/>
      <c r="BR116" s="338" t="n"/>
      <c r="BS116" s="338" t="n"/>
      <c r="BT116" s="338" t="n"/>
      <c r="BU116" s="338" t="n"/>
      <c r="BV116" s="338" t="n"/>
      <c r="BW116" s="338" t="n"/>
      <c r="BX116" s="338" t="n"/>
      <c r="BY116" s="338" t="n"/>
      <c r="BZ116" s="338" t="n"/>
      <c r="CA116" s="338" t="n"/>
      <c r="CB116" s="338" t="n"/>
      <c r="CC116" s="383" t="n"/>
      <c r="CF116" s="253" t="inlineStr">
        <is>
          <t>時間内</t>
        </is>
      </c>
      <c r="CG116" s="384" t="n"/>
      <c r="CH116" s="384" t="n"/>
      <c r="CI116" s="385" t="n"/>
      <c r="CJ116" s="386">
        <f>IF(Q115="作業者1",H118-H115,0)</f>
        <v/>
      </c>
      <c r="CK116" s="387" t="n"/>
      <c r="CL116" s="387" t="n"/>
      <c r="CM116" s="387" t="n"/>
      <c r="CN116" s="388" t="n"/>
      <c r="CP116" s="253" t="inlineStr">
        <is>
          <t>時間内</t>
        </is>
      </c>
      <c r="CQ116" s="384" t="n"/>
      <c r="CR116" s="384" t="n"/>
      <c r="CS116" s="385" t="n"/>
      <c r="CT116" s="386">
        <f>IF(Q115="作業者2",H118-H115,0)</f>
        <v/>
      </c>
      <c r="CU116" s="387" t="n"/>
      <c r="CV116" s="387" t="n"/>
      <c r="CW116" s="387" t="n"/>
      <c r="CX116" s="388" t="n"/>
      <c r="CZ116" s="253" t="inlineStr">
        <is>
          <t>時間内</t>
        </is>
      </c>
      <c r="DA116" s="384" t="n"/>
      <c r="DB116" s="384" t="n"/>
      <c r="DC116" s="385" t="n"/>
      <c r="DD116" s="386">
        <f>IF(Q115="作業者3",H118-H115,0)</f>
        <v/>
      </c>
      <c r="DE116" s="387" t="n"/>
      <c r="DF116" s="387" t="n"/>
      <c r="DG116" s="387" t="n"/>
      <c r="DH116" s="388" t="n"/>
      <c r="DJ116" s="253" t="inlineStr">
        <is>
          <t>時間内</t>
        </is>
      </c>
      <c r="DK116" s="384" t="n"/>
      <c r="DL116" s="384" t="n"/>
      <c r="DM116" s="385" t="n"/>
      <c r="DN116" s="386">
        <f>IF(Q115="作業者4",H118-H115,0)</f>
        <v/>
      </c>
      <c r="DO116" s="387" t="n"/>
      <c r="DP116" s="387" t="n"/>
      <c r="DQ116" s="387" t="n"/>
      <c r="DR116" s="388" t="n"/>
      <c r="DT116" s="253" t="inlineStr">
        <is>
          <t>時間内</t>
        </is>
      </c>
      <c r="DU116" s="384" t="n"/>
      <c r="DV116" s="384" t="n"/>
      <c r="DW116" s="385" t="n"/>
      <c r="DX116" s="386">
        <f>IF(Q115="作業者5",H118-H115,0)</f>
        <v/>
      </c>
      <c r="DY116" s="387" t="n"/>
      <c r="DZ116" s="387" t="n"/>
      <c r="EA116" s="387" t="n"/>
      <c r="EB116" s="388" t="n"/>
    </row>
    <row r="117" ht="9" customHeight="1" s="337">
      <c r="B117" s="350" t="n"/>
      <c r="C117" s="338" t="n"/>
      <c r="D117" s="380" t="n"/>
      <c r="E117" s="23" t="n"/>
      <c r="F117" s="338" t="n"/>
      <c r="G117" s="24" t="n"/>
      <c r="H117" s="23" t="n"/>
      <c r="I117" s="338" t="n"/>
      <c r="J117" s="24" t="n"/>
      <c r="K117" s="23" t="n"/>
      <c r="L117" s="338" t="n"/>
      <c r="M117" s="24" t="n"/>
      <c r="N117" s="23" t="n"/>
      <c r="O117" s="338" t="n"/>
      <c r="P117" s="24" t="n"/>
      <c r="Q117" s="382" t="n"/>
      <c r="R117" s="338" t="n"/>
      <c r="S117" s="380" t="n"/>
      <c r="T117" s="382" t="n"/>
      <c r="U117" s="338" t="n"/>
      <c r="V117" s="380" t="n"/>
      <c r="W117" s="382" t="n"/>
      <c r="X117" s="338" t="n"/>
      <c r="Y117" s="338" t="n"/>
      <c r="Z117" s="338" t="n"/>
      <c r="AA117" s="338" t="n"/>
      <c r="AB117" s="338" t="n"/>
      <c r="AC117" s="338" t="n"/>
      <c r="AD117" s="338" t="n"/>
      <c r="AE117" s="338" t="n"/>
      <c r="AF117" s="338" t="n"/>
      <c r="AG117" s="338" t="n"/>
      <c r="AH117" s="338" t="n"/>
      <c r="AI117" s="338" t="n"/>
      <c r="AJ117" s="338" t="n"/>
      <c r="AK117" s="338" t="n"/>
      <c r="AL117" s="338" t="n"/>
      <c r="AM117" s="338" t="n"/>
      <c r="AN117" s="338" t="n"/>
      <c r="AO117" s="338" t="n"/>
      <c r="AP117" s="338" t="n"/>
      <c r="AQ117" s="338" t="n"/>
      <c r="AR117" s="338" t="n"/>
      <c r="AS117" s="338" t="n"/>
      <c r="AT117" s="338" t="n"/>
      <c r="AU117" s="338" t="n"/>
      <c r="AV117" s="338" t="n"/>
      <c r="AW117" s="338" t="n"/>
      <c r="AX117" s="338" t="n"/>
      <c r="AY117" s="338" t="n"/>
      <c r="AZ117" s="338" t="n"/>
      <c r="BA117" s="338" t="n"/>
      <c r="BB117" s="338" t="n"/>
      <c r="BC117" s="338" t="n"/>
      <c r="BD117" s="338" t="n"/>
      <c r="BE117" s="338" t="n"/>
      <c r="BF117" s="338" t="n"/>
      <c r="BG117" s="338" t="n"/>
      <c r="BH117" s="338" t="n"/>
      <c r="BI117" s="338" t="n"/>
      <c r="BJ117" s="338" t="n"/>
      <c r="BK117" s="338" t="n"/>
      <c r="BL117" s="338" t="n"/>
      <c r="BM117" s="338" t="n"/>
      <c r="BN117" s="338" t="n"/>
      <c r="BO117" s="338" t="n"/>
      <c r="BP117" s="338" t="n"/>
      <c r="BQ117" s="338" t="n"/>
      <c r="BR117" s="338" t="n"/>
      <c r="BS117" s="338" t="n"/>
      <c r="BT117" s="338" t="n"/>
      <c r="BU117" s="338" t="n"/>
      <c r="BV117" s="338" t="n"/>
      <c r="BW117" s="338" t="n"/>
      <c r="BX117" s="338" t="n"/>
      <c r="BY117" s="338" t="n"/>
      <c r="BZ117" s="338" t="n"/>
      <c r="CA117" s="338" t="n"/>
      <c r="CB117" s="338" t="n"/>
      <c r="CC117" s="383" t="n"/>
      <c r="CF117" s="253" t="inlineStr">
        <is>
          <t>時間外</t>
        </is>
      </c>
      <c r="CG117" s="384" t="n"/>
      <c r="CH117" s="384" t="n"/>
      <c r="CI117" s="385" t="n"/>
      <c r="CJ117" s="386">
        <f>IF(Q115="作業者1",K118-K115,0)</f>
        <v/>
      </c>
      <c r="CK117" s="387" t="n"/>
      <c r="CL117" s="387" t="n"/>
      <c r="CM117" s="387" t="n"/>
      <c r="CN117" s="388" t="n"/>
      <c r="CP117" s="253" t="inlineStr">
        <is>
          <t>時間外</t>
        </is>
      </c>
      <c r="CQ117" s="384" t="n"/>
      <c r="CR117" s="384" t="n"/>
      <c r="CS117" s="385" t="n"/>
      <c r="CT117" s="386">
        <f>IF(Q115="作業者2",K118-K115,0)</f>
        <v/>
      </c>
      <c r="CU117" s="387" t="n"/>
      <c r="CV117" s="387" t="n"/>
      <c r="CW117" s="387" t="n"/>
      <c r="CX117" s="388" t="n"/>
      <c r="CZ117" s="253" t="inlineStr">
        <is>
          <t>時間外</t>
        </is>
      </c>
      <c r="DA117" s="384" t="n"/>
      <c r="DB117" s="384" t="n"/>
      <c r="DC117" s="385" t="n"/>
      <c r="DD117" s="386">
        <f>IF(Q115="作業者3",K118-K115,0)</f>
        <v/>
      </c>
      <c r="DE117" s="387" t="n"/>
      <c r="DF117" s="387" t="n"/>
      <c r="DG117" s="387" t="n"/>
      <c r="DH117" s="388" t="n"/>
      <c r="DJ117" s="253" t="inlineStr">
        <is>
          <t>時間外</t>
        </is>
      </c>
      <c r="DK117" s="384" t="n"/>
      <c r="DL117" s="384" t="n"/>
      <c r="DM117" s="385" t="n"/>
      <c r="DN117" s="386">
        <f>IF(Q115="作業者4",K118-K115,0)</f>
        <v/>
      </c>
      <c r="DO117" s="387" t="n"/>
      <c r="DP117" s="387" t="n"/>
      <c r="DQ117" s="387" t="n"/>
      <c r="DR117" s="388" t="n"/>
      <c r="DT117" s="253" t="inlineStr">
        <is>
          <t>時間外</t>
        </is>
      </c>
      <c r="DU117" s="384" t="n"/>
      <c r="DV117" s="384" t="n"/>
      <c r="DW117" s="385" t="n"/>
      <c r="DX117" s="386">
        <f>IF(Q115="作業者5",K118-K115,0)</f>
        <v/>
      </c>
      <c r="DY117" s="387" t="n"/>
      <c r="DZ117" s="387" t="n"/>
      <c r="EA117" s="387" t="n"/>
      <c r="EB117" s="388" t="n"/>
    </row>
    <row r="118" ht="9" customHeight="1" s="337">
      <c r="B118" s="389" t="n"/>
      <c r="C118" s="390" t="n"/>
      <c r="D118" s="391" t="n"/>
      <c r="E118" s="392" t="n"/>
      <c r="F118" s="390" t="n"/>
      <c r="G118" s="391" t="n"/>
      <c r="H118" s="392" t="n"/>
      <c r="I118" s="390" t="n"/>
      <c r="J118" s="391" t="n"/>
      <c r="K118" s="392" t="n"/>
      <c r="L118" s="390" t="n"/>
      <c r="M118" s="391" t="n"/>
      <c r="N118" s="392" t="n"/>
      <c r="O118" s="390" t="n"/>
      <c r="P118" s="391" t="n"/>
      <c r="Q118" s="393" t="n"/>
      <c r="R118" s="390" t="n"/>
      <c r="S118" s="391" t="n"/>
      <c r="T118" s="393" t="n"/>
      <c r="U118" s="390" t="n"/>
      <c r="V118" s="391" t="n"/>
      <c r="W118" s="393" t="n"/>
      <c r="X118" s="390" t="n"/>
      <c r="Y118" s="390" t="n"/>
      <c r="Z118" s="390" t="n"/>
      <c r="AA118" s="390" t="n"/>
      <c r="AB118" s="390" t="n"/>
      <c r="AC118" s="390" t="n"/>
      <c r="AD118" s="390" t="n"/>
      <c r="AE118" s="390" t="n"/>
      <c r="AF118" s="390" t="n"/>
      <c r="AG118" s="390" t="n"/>
      <c r="AH118" s="390" t="n"/>
      <c r="AI118" s="390" t="n"/>
      <c r="AJ118" s="390" t="n"/>
      <c r="AK118" s="390" t="n"/>
      <c r="AL118" s="390" t="n"/>
      <c r="AM118" s="390" t="n"/>
      <c r="AN118" s="390" t="n"/>
      <c r="AO118" s="390" t="n"/>
      <c r="AP118" s="390" t="n"/>
      <c r="AQ118" s="390" t="n"/>
      <c r="AR118" s="390" t="n"/>
      <c r="AS118" s="390" t="n"/>
      <c r="AT118" s="390" t="n"/>
      <c r="AU118" s="390" t="n"/>
      <c r="AV118" s="390" t="n"/>
      <c r="AW118" s="390" t="n"/>
      <c r="AX118" s="390" t="n"/>
      <c r="AY118" s="390" t="n"/>
      <c r="AZ118" s="390" t="n"/>
      <c r="BA118" s="390" t="n"/>
      <c r="BB118" s="390" t="n"/>
      <c r="BC118" s="390" t="n"/>
      <c r="BD118" s="390" t="n"/>
      <c r="BE118" s="390" t="n"/>
      <c r="BF118" s="390" t="n"/>
      <c r="BG118" s="390" t="n"/>
      <c r="BH118" s="390" t="n"/>
      <c r="BI118" s="390" t="n"/>
      <c r="BJ118" s="390" t="n"/>
      <c r="BK118" s="390" t="n"/>
      <c r="BL118" s="390" t="n"/>
      <c r="BM118" s="390" t="n"/>
      <c r="BN118" s="390" t="n"/>
      <c r="BO118" s="390" t="n"/>
      <c r="BP118" s="390" t="n"/>
      <c r="BQ118" s="390" t="n"/>
      <c r="BR118" s="390" t="n"/>
      <c r="BS118" s="390" t="n"/>
      <c r="BT118" s="390" t="n"/>
      <c r="BU118" s="390" t="n"/>
      <c r="BV118" s="390" t="n"/>
      <c r="BW118" s="390" t="n"/>
      <c r="BX118" s="390" t="n"/>
      <c r="BY118" s="390" t="n"/>
      <c r="BZ118" s="390" t="n"/>
      <c r="CA118" s="390" t="n"/>
      <c r="CB118" s="390" t="n"/>
      <c r="CC118" s="394" t="n"/>
      <c r="CF118" s="254" t="inlineStr">
        <is>
          <t>休日</t>
        </is>
      </c>
      <c r="CG118" s="395" t="n"/>
      <c r="CH118" s="395" t="n"/>
      <c r="CI118" s="396" t="n"/>
      <c r="CJ118" s="397">
        <f>IF(Q115="作業者1",N118-N115,0)</f>
        <v/>
      </c>
      <c r="CK118" s="395" t="n"/>
      <c r="CL118" s="395" t="n"/>
      <c r="CM118" s="395" t="n"/>
      <c r="CN118" s="396" t="n"/>
      <c r="CP118" s="254" t="inlineStr">
        <is>
          <t>休日</t>
        </is>
      </c>
      <c r="CQ118" s="395" t="n"/>
      <c r="CR118" s="395" t="n"/>
      <c r="CS118" s="396" t="n"/>
      <c r="CT118" s="397">
        <f>IF(Q115="作業者2",N118-N115,0)</f>
        <v/>
      </c>
      <c r="CU118" s="395" t="n"/>
      <c r="CV118" s="395" t="n"/>
      <c r="CW118" s="395" t="n"/>
      <c r="CX118" s="396" t="n"/>
      <c r="CZ118" s="254" t="inlineStr">
        <is>
          <t>休日</t>
        </is>
      </c>
      <c r="DA118" s="395" t="n"/>
      <c r="DB118" s="395" t="n"/>
      <c r="DC118" s="396" t="n"/>
      <c r="DD118" s="397">
        <f>IF(Q115="作業者3",N118-N115,0)</f>
        <v/>
      </c>
      <c r="DE118" s="395" t="n"/>
      <c r="DF118" s="395" t="n"/>
      <c r="DG118" s="395" t="n"/>
      <c r="DH118" s="396" t="n"/>
      <c r="DJ118" s="254" t="inlineStr">
        <is>
          <t>休日</t>
        </is>
      </c>
      <c r="DK118" s="395" t="n"/>
      <c r="DL118" s="395" t="n"/>
      <c r="DM118" s="396" t="n"/>
      <c r="DN118" s="397">
        <f>IF(Q115="作業者4",N118-N115,0)</f>
        <v/>
      </c>
      <c r="DO118" s="395" t="n"/>
      <c r="DP118" s="395" t="n"/>
      <c r="DQ118" s="395" t="n"/>
      <c r="DR118" s="396" t="n"/>
      <c r="DT118" s="254" t="inlineStr">
        <is>
          <t>休日</t>
        </is>
      </c>
      <c r="DU118" s="395" t="n"/>
      <c r="DV118" s="395" t="n"/>
      <c r="DW118" s="396" t="n"/>
      <c r="DX118" s="397">
        <f>IF(Q115="作業者5",N118-N115,0)</f>
        <v/>
      </c>
      <c r="DY118" s="395" t="n"/>
      <c r="DZ118" s="395" t="n"/>
      <c r="EA118" s="395" t="n"/>
      <c r="EB118" s="396" t="n"/>
    </row>
    <row r="119" ht="9" customHeight="1" s="337">
      <c r="B119" s="398" t="n"/>
      <c r="C119" s="372" t="n"/>
      <c r="D119" s="373" t="n"/>
      <c r="E119" s="399" t="n"/>
      <c r="F119" s="372" t="n"/>
      <c r="G119" s="373" t="n"/>
      <c r="H119" s="399" t="n"/>
      <c r="I119" s="372" t="n"/>
      <c r="J119" s="373" t="n"/>
      <c r="K119" s="399" t="n"/>
      <c r="L119" s="372" t="n"/>
      <c r="M119" s="373" t="n"/>
      <c r="N119" s="399" t="n"/>
      <c r="O119" s="372" t="n"/>
      <c r="P119" s="373" t="n"/>
      <c r="Q119" s="371" t="n"/>
      <c r="R119" s="372" t="n"/>
      <c r="S119" s="373" t="n"/>
      <c r="T119" s="371" t="n"/>
      <c r="U119" s="372" t="n"/>
      <c r="V119" s="373" t="n"/>
      <c r="W119" s="443" t="n"/>
      <c r="X119" s="372" t="n"/>
      <c r="Y119" s="372" t="n"/>
      <c r="Z119" s="372" t="n"/>
      <c r="AA119" s="372" t="n"/>
      <c r="AB119" s="372" t="n"/>
      <c r="AC119" s="372" t="n"/>
      <c r="AD119" s="372" t="n"/>
      <c r="AE119" s="372" t="n"/>
      <c r="AF119" s="372" t="n"/>
      <c r="AG119" s="372" t="n"/>
      <c r="AH119" s="372" t="n"/>
      <c r="AI119" s="372" t="n"/>
      <c r="AJ119" s="372" t="n"/>
      <c r="AK119" s="372" t="n"/>
      <c r="AL119" s="372" t="n"/>
      <c r="AM119" s="372" t="n"/>
      <c r="AN119" s="372" t="n"/>
      <c r="AO119" s="372" t="n"/>
      <c r="AP119" s="372" t="n"/>
      <c r="AQ119" s="372" t="n"/>
      <c r="AR119" s="372" t="n"/>
      <c r="AS119" s="372" t="n"/>
      <c r="AT119" s="372" t="n"/>
      <c r="AU119" s="372" t="n"/>
      <c r="AV119" s="372" t="n"/>
      <c r="AW119" s="372" t="n"/>
      <c r="AX119" s="372" t="n"/>
      <c r="AY119" s="372" t="n"/>
      <c r="AZ119" s="372" t="n"/>
      <c r="BA119" s="372" t="n"/>
      <c r="BB119" s="372" t="n"/>
      <c r="BC119" s="372" t="n"/>
      <c r="BD119" s="372" t="n"/>
      <c r="BE119" s="372" t="n"/>
      <c r="BF119" s="372" t="n"/>
      <c r="BG119" s="372" t="n"/>
      <c r="BH119" s="372" t="n"/>
      <c r="BI119" s="372" t="n"/>
      <c r="BJ119" s="372" t="n"/>
      <c r="BK119" s="372" t="n"/>
      <c r="BL119" s="372" t="n"/>
      <c r="BM119" s="372" t="n"/>
      <c r="BN119" s="372" t="n"/>
      <c r="BO119" s="372" t="n"/>
      <c r="BP119" s="372" t="n"/>
      <c r="BQ119" s="372" t="n"/>
      <c r="BR119" s="372" t="n"/>
      <c r="BS119" s="372" t="n"/>
      <c r="BT119" s="372" t="n"/>
      <c r="BU119" s="372" t="n"/>
      <c r="BV119" s="372" t="n"/>
      <c r="BW119" s="372" t="n"/>
      <c r="BX119" s="372" t="n"/>
      <c r="BY119" s="372" t="n"/>
      <c r="BZ119" s="372" t="n"/>
      <c r="CA119" s="372" t="n"/>
      <c r="CB119" s="372" t="n"/>
      <c r="CC119" s="402" t="n"/>
      <c r="CF119" s="248" t="inlineStr">
        <is>
          <t>移動</t>
        </is>
      </c>
      <c r="CG119" s="377" t="n"/>
      <c r="CH119" s="377" t="n"/>
      <c r="CI119" s="378" t="n"/>
      <c r="CJ119" s="379">
        <f>IF(Q119="作業者1",E122-E119,0)</f>
        <v/>
      </c>
      <c r="CK119" s="377" t="n"/>
      <c r="CL119" s="377" t="n"/>
      <c r="CM119" s="377" t="n"/>
      <c r="CN119" s="378" t="n"/>
      <c r="CP119" s="248" t="inlineStr">
        <is>
          <t>移動</t>
        </is>
      </c>
      <c r="CQ119" s="377" t="n"/>
      <c r="CR119" s="377" t="n"/>
      <c r="CS119" s="378" t="n"/>
      <c r="CT119" s="379">
        <f>IF(Q119="作業者2",E122-E119,0)</f>
        <v/>
      </c>
      <c r="CU119" s="377" t="n"/>
      <c r="CV119" s="377" t="n"/>
      <c r="CW119" s="377" t="n"/>
      <c r="CX119" s="378" t="n"/>
      <c r="CZ119" s="248" t="inlineStr">
        <is>
          <t>移動</t>
        </is>
      </c>
      <c r="DA119" s="377" t="n"/>
      <c r="DB119" s="377" t="n"/>
      <c r="DC119" s="378" t="n"/>
      <c r="DD119" s="379">
        <f>IF(Q119="作業者3",E122-E119,0)</f>
        <v/>
      </c>
      <c r="DE119" s="377" t="n"/>
      <c r="DF119" s="377" t="n"/>
      <c r="DG119" s="377" t="n"/>
      <c r="DH119" s="378" t="n"/>
      <c r="DJ119" s="248" t="inlineStr">
        <is>
          <t>移動</t>
        </is>
      </c>
      <c r="DK119" s="377" t="n"/>
      <c r="DL119" s="377" t="n"/>
      <c r="DM119" s="378" t="n"/>
      <c r="DN119" s="379">
        <f>IF(Q119="作業者4",E122-E119,0)</f>
        <v/>
      </c>
      <c r="DO119" s="377" t="n"/>
      <c r="DP119" s="377" t="n"/>
      <c r="DQ119" s="377" t="n"/>
      <c r="DR119" s="378" t="n"/>
      <c r="DT119" s="259" t="inlineStr">
        <is>
          <t>移動</t>
        </is>
      </c>
      <c r="DU119" s="403" t="n"/>
      <c r="DV119" s="403" t="n"/>
      <c r="DW119" s="404" t="n"/>
      <c r="DX119" s="379">
        <f>IF(Q119="作業者5",E122-E119,0)</f>
        <v/>
      </c>
      <c r="DY119" s="377" t="n"/>
      <c r="DZ119" s="377" t="n"/>
      <c r="EA119" s="377" t="n"/>
      <c r="EB119" s="378" t="n"/>
    </row>
    <row r="120" ht="9" customHeight="1" s="337">
      <c r="B120" s="350" t="n"/>
      <c r="C120" s="338" t="n"/>
      <c r="D120" s="380" t="n"/>
      <c r="E120" s="381" t="n"/>
      <c r="F120" s="122" t="inlineStr">
        <is>
          <t>～</t>
        </is>
      </c>
      <c r="G120" s="22" t="n"/>
      <c r="H120" s="381" t="n"/>
      <c r="I120" s="122" t="inlineStr">
        <is>
          <t>～</t>
        </is>
      </c>
      <c r="J120" s="22" t="n"/>
      <c r="K120" s="381" t="n"/>
      <c r="L120" s="122" t="inlineStr">
        <is>
          <t>～</t>
        </is>
      </c>
      <c r="M120" s="22" t="n"/>
      <c r="N120" s="381" t="n"/>
      <c r="O120" s="122" t="inlineStr">
        <is>
          <t>～</t>
        </is>
      </c>
      <c r="P120" s="22" t="n"/>
      <c r="Q120" s="382" t="n"/>
      <c r="R120" s="338" t="n"/>
      <c r="S120" s="380" t="n"/>
      <c r="T120" s="382" t="n"/>
      <c r="U120" s="338" t="n"/>
      <c r="V120" s="380" t="n"/>
      <c r="W120" s="382" t="n"/>
      <c r="X120" s="338" t="n"/>
      <c r="Y120" s="338" t="n"/>
      <c r="Z120" s="338" t="n"/>
      <c r="AA120" s="338" t="n"/>
      <c r="AB120" s="338" t="n"/>
      <c r="AC120" s="338" t="n"/>
      <c r="AD120" s="338" t="n"/>
      <c r="AE120" s="338" t="n"/>
      <c r="AF120" s="338" t="n"/>
      <c r="AG120" s="338" t="n"/>
      <c r="AH120" s="338" t="n"/>
      <c r="AI120" s="338" t="n"/>
      <c r="AJ120" s="338" t="n"/>
      <c r="AK120" s="338" t="n"/>
      <c r="AL120" s="338" t="n"/>
      <c r="AM120" s="338" t="n"/>
      <c r="AN120" s="338" t="n"/>
      <c r="AO120" s="338" t="n"/>
      <c r="AP120" s="338" t="n"/>
      <c r="AQ120" s="338" t="n"/>
      <c r="AR120" s="338" t="n"/>
      <c r="AS120" s="338" t="n"/>
      <c r="AT120" s="338" t="n"/>
      <c r="AU120" s="338" t="n"/>
      <c r="AV120" s="338" t="n"/>
      <c r="AW120" s="338" t="n"/>
      <c r="AX120" s="338" t="n"/>
      <c r="AY120" s="338" t="n"/>
      <c r="AZ120" s="338" t="n"/>
      <c r="BA120" s="338" t="n"/>
      <c r="BB120" s="338" t="n"/>
      <c r="BC120" s="338" t="n"/>
      <c r="BD120" s="338" t="n"/>
      <c r="BE120" s="338" t="n"/>
      <c r="BF120" s="338" t="n"/>
      <c r="BG120" s="338" t="n"/>
      <c r="BH120" s="338" t="n"/>
      <c r="BI120" s="338" t="n"/>
      <c r="BJ120" s="338" t="n"/>
      <c r="BK120" s="338" t="n"/>
      <c r="BL120" s="338" t="n"/>
      <c r="BM120" s="338" t="n"/>
      <c r="BN120" s="338" t="n"/>
      <c r="BO120" s="338" t="n"/>
      <c r="BP120" s="338" t="n"/>
      <c r="BQ120" s="338" t="n"/>
      <c r="BR120" s="338" t="n"/>
      <c r="BS120" s="338" t="n"/>
      <c r="BT120" s="338" t="n"/>
      <c r="BU120" s="338" t="n"/>
      <c r="BV120" s="338" t="n"/>
      <c r="BW120" s="338" t="n"/>
      <c r="BX120" s="338" t="n"/>
      <c r="BY120" s="338" t="n"/>
      <c r="BZ120" s="338" t="n"/>
      <c r="CA120" s="338" t="n"/>
      <c r="CB120" s="338" t="n"/>
      <c r="CC120" s="383" t="n"/>
      <c r="CF120" s="253" t="inlineStr">
        <is>
          <t>時間内</t>
        </is>
      </c>
      <c r="CG120" s="384" t="n"/>
      <c r="CH120" s="384" t="n"/>
      <c r="CI120" s="385" t="n"/>
      <c r="CJ120" s="386">
        <f>IF(Q119="作業者1",H122-H119,0)</f>
        <v/>
      </c>
      <c r="CK120" s="387" t="n"/>
      <c r="CL120" s="387" t="n"/>
      <c r="CM120" s="387" t="n"/>
      <c r="CN120" s="388" t="n"/>
      <c r="CP120" s="253" t="inlineStr">
        <is>
          <t>時間内</t>
        </is>
      </c>
      <c r="CQ120" s="384" t="n"/>
      <c r="CR120" s="384" t="n"/>
      <c r="CS120" s="385" t="n"/>
      <c r="CT120" s="386">
        <f>IF(Q119="作業者2",H122-H119,0)</f>
        <v/>
      </c>
      <c r="CU120" s="387" t="n"/>
      <c r="CV120" s="387" t="n"/>
      <c r="CW120" s="387" t="n"/>
      <c r="CX120" s="388" t="n"/>
      <c r="CZ120" s="253" t="inlineStr">
        <is>
          <t>時間内</t>
        </is>
      </c>
      <c r="DA120" s="384" t="n"/>
      <c r="DB120" s="384" t="n"/>
      <c r="DC120" s="385" t="n"/>
      <c r="DD120" s="386">
        <f>IF(Q119="作業者3",H122-H119,0)</f>
        <v/>
      </c>
      <c r="DE120" s="387" t="n"/>
      <c r="DF120" s="387" t="n"/>
      <c r="DG120" s="387" t="n"/>
      <c r="DH120" s="388" t="n"/>
      <c r="DJ120" s="253" t="inlineStr">
        <is>
          <t>時間内</t>
        </is>
      </c>
      <c r="DK120" s="384" t="n"/>
      <c r="DL120" s="384" t="n"/>
      <c r="DM120" s="385" t="n"/>
      <c r="DN120" s="386">
        <f>IF(Q119="作業者4",H122-H119,0)</f>
        <v/>
      </c>
      <c r="DO120" s="387" t="n"/>
      <c r="DP120" s="387" t="n"/>
      <c r="DQ120" s="387" t="n"/>
      <c r="DR120" s="388" t="n"/>
      <c r="DT120" s="253" t="inlineStr">
        <is>
          <t>時間内</t>
        </is>
      </c>
      <c r="DU120" s="384" t="n"/>
      <c r="DV120" s="384" t="n"/>
      <c r="DW120" s="385" t="n"/>
      <c r="DX120" s="386">
        <f>IF(Q119="作業者5",H122-H119,0)</f>
        <v/>
      </c>
      <c r="DY120" s="387" t="n"/>
      <c r="DZ120" s="387" t="n"/>
      <c r="EA120" s="387" t="n"/>
      <c r="EB120" s="388" t="n"/>
    </row>
    <row r="121" ht="9" customHeight="1" s="337">
      <c r="B121" s="350" t="n"/>
      <c r="C121" s="338" t="n"/>
      <c r="D121" s="380" t="n"/>
      <c r="E121" s="23" t="n"/>
      <c r="F121" s="338" t="n"/>
      <c r="G121" s="24" t="n"/>
      <c r="H121" s="23" t="n"/>
      <c r="I121" s="338" t="n"/>
      <c r="J121" s="24" t="n"/>
      <c r="K121" s="23" t="n"/>
      <c r="L121" s="338" t="n"/>
      <c r="M121" s="24" t="n"/>
      <c r="N121" s="23" t="n"/>
      <c r="O121" s="338" t="n"/>
      <c r="P121" s="24" t="n"/>
      <c r="Q121" s="382" t="n"/>
      <c r="R121" s="338" t="n"/>
      <c r="S121" s="380" t="n"/>
      <c r="T121" s="382" t="n"/>
      <c r="U121" s="338" t="n"/>
      <c r="V121" s="380" t="n"/>
      <c r="W121" s="382" t="n"/>
      <c r="X121" s="338" t="n"/>
      <c r="Y121" s="338" t="n"/>
      <c r="Z121" s="338" t="n"/>
      <c r="AA121" s="338" t="n"/>
      <c r="AB121" s="338" t="n"/>
      <c r="AC121" s="338" t="n"/>
      <c r="AD121" s="338" t="n"/>
      <c r="AE121" s="338" t="n"/>
      <c r="AF121" s="338" t="n"/>
      <c r="AG121" s="338" t="n"/>
      <c r="AH121" s="338" t="n"/>
      <c r="AI121" s="338" t="n"/>
      <c r="AJ121" s="338" t="n"/>
      <c r="AK121" s="338" t="n"/>
      <c r="AL121" s="338" t="n"/>
      <c r="AM121" s="338" t="n"/>
      <c r="AN121" s="338" t="n"/>
      <c r="AO121" s="338" t="n"/>
      <c r="AP121" s="338" t="n"/>
      <c r="AQ121" s="338" t="n"/>
      <c r="AR121" s="338" t="n"/>
      <c r="AS121" s="338" t="n"/>
      <c r="AT121" s="338" t="n"/>
      <c r="AU121" s="338" t="n"/>
      <c r="AV121" s="338" t="n"/>
      <c r="AW121" s="338" t="n"/>
      <c r="AX121" s="338" t="n"/>
      <c r="AY121" s="338" t="n"/>
      <c r="AZ121" s="338" t="n"/>
      <c r="BA121" s="338" t="n"/>
      <c r="BB121" s="338" t="n"/>
      <c r="BC121" s="338" t="n"/>
      <c r="BD121" s="338" t="n"/>
      <c r="BE121" s="338" t="n"/>
      <c r="BF121" s="338" t="n"/>
      <c r="BG121" s="338" t="n"/>
      <c r="BH121" s="338" t="n"/>
      <c r="BI121" s="338" t="n"/>
      <c r="BJ121" s="338" t="n"/>
      <c r="BK121" s="338" t="n"/>
      <c r="BL121" s="338" t="n"/>
      <c r="BM121" s="338" t="n"/>
      <c r="BN121" s="338" t="n"/>
      <c r="BO121" s="338" t="n"/>
      <c r="BP121" s="338" t="n"/>
      <c r="BQ121" s="338" t="n"/>
      <c r="BR121" s="338" t="n"/>
      <c r="BS121" s="338" t="n"/>
      <c r="BT121" s="338" t="n"/>
      <c r="BU121" s="338" t="n"/>
      <c r="BV121" s="338" t="n"/>
      <c r="BW121" s="338" t="n"/>
      <c r="BX121" s="338" t="n"/>
      <c r="BY121" s="338" t="n"/>
      <c r="BZ121" s="338" t="n"/>
      <c r="CA121" s="338" t="n"/>
      <c r="CB121" s="338" t="n"/>
      <c r="CC121" s="383" t="n"/>
      <c r="CF121" s="253" t="inlineStr">
        <is>
          <t>時間外</t>
        </is>
      </c>
      <c r="CG121" s="384" t="n"/>
      <c r="CH121" s="384" t="n"/>
      <c r="CI121" s="385" t="n"/>
      <c r="CJ121" s="386">
        <f>IF(Q119="作業者1",K122-K119,0)</f>
        <v/>
      </c>
      <c r="CK121" s="387" t="n"/>
      <c r="CL121" s="387" t="n"/>
      <c r="CM121" s="387" t="n"/>
      <c r="CN121" s="388" t="n"/>
      <c r="CP121" s="253" t="inlineStr">
        <is>
          <t>時間外</t>
        </is>
      </c>
      <c r="CQ121" s="384" t="n"/>
      <c r="CR121" s="384" t="n"/>
      <c r="CS121" s="385" t="n"/>
      <c r="CT121" s="386">
        <f>IF(Q119="作業者2",K122-K119,0)</f>
        <v/>
      </c>
      <c r="CU121" s="387" t="n"/>
      <c r="CV121" s="387" t="n"/>
      <c r="CW121" s="387" t="n"/>
      <c r="CX121" s="388" t="n"/>
      <c r="CZ121" s="253" t="inlineStr">
        <is>
          <t>時間外</t>
        </is>
      </c>
      <c r="DA121" s="384" t="n"/>
      <c r="DB121" s="384" t="n"/>
      <c r="DC121" s="385" t="n"/>
      <c r="DD121" s="386">
        <f>IF(Q119="作業者3",K122-K119,0)</f>
        <v/>
      </c>
      <c r="DE121" s="387" t="n"/>
      <c r="DF121" s="387" t="n"/>
      <c r="DG121" s="387" t="n"/>
      <c r="DH121" s="388" t="n"/>
      <c r="DJ121" s="253" t="inlineStr">
        <is>
          <t>時間外</t>
        </is>
      </c>
      <c r="DK121" s="384" t="n"/>
      <c r="DL121" s="384" t="n"/>
      <c r="DM121" s="385" t="n"/>
      <c r="DN121" s="386">
        <f>IF(Q119="作業者4",K122-K119,0)</f>
        <v/>
      </c>
      <c r="DO121" s="387" t="n"/>
      <c r="DP121" s="387" t="n"/>
      <c r="DQ121" s="387" t="n"/>
      <c r="DR121" s="388" t="n"/>
      <c r="DT121" s="253" t="inlineStr">
        <is>
          <t>時間外</t>
        </is>
      </c>
      <c r="DU121" s="384" t="n"/>
      <c r="DV121" s="384" t="n"/>
      <c r="DW121" s="385" t="n"/>
      <c r="DX121" s="386">
        <f>IF(Q119="作業者5",K122-K119,0)</f>
        <v/>
      </c>
      <c r="DY121" s="387" t="n"/>
      <c r="DZ121" s="387" t="n"/>
      <c r="EA121" s="387" t="n"/>
      <c r="EB121" s="388" t="n"/>
    </row>
    <row r="122" ht="9" customHeight="1" s="337">
      <c r="B122" s="389" t="n"/>
      <c r="C122" s="390" t="n"/>
      <c r="D122" s="391" t="n"/>
      <c r="E122" s="392" t="n"/>
      <c r="F122" s="390" t="n"/>
      <c r="G122" s="391" t="n"/>
      <c r="H122" s="392" t="n"/>
      <c r="I122" s="390" t="n"/>
      <c r="J122" s="391" t="n"/>
      <c r="K122" s="392" t="n"/>
      <c r="L122" s="390" t="n"/>
      <c r="M122" s="391" t="n"/>
      <c r="N122" s="392" t="n"/>
      <c r="O122" s="390" t="n"/>
      <c r="P122" s="391" t="n"/>
      <c r="Q122" s="393" t="n"/>
      <c r="R122" s="390" t="n"/>
      <c r="S122" s="391" t="n"/>
      <c r="T122" s="393" t="n"/>
      <c r="U122" s="390" t="n"/>
      <c r="V122" s="391" t="n"/>
      <c r="W122" s="393" t="n"/>
      <c r="X122" s="390" t="n"/>
      <c r="Y122" s="390" t="n"/>
      <c r="Z122" s="390" t="n"/>
      <c r="AA122" s="390" t="n"/>
      <c r="AB122" s="390" t="n"/>
      <c r="AC122" s="390" t="n"/>
      <c r="AD122" s="390" t="n"/>
      <c r="AE122" s="390" t="n"/>
      <c r="AF122" s="390" t="n"/>
      <c r="AG122" s="390" t="n"/>
      <c r="AH122" s="390" t="n"/>
      <c r="AI122" s="390" t="n"/>
      <c r="AJ122" s="390" t="n"/>
      <c r="AK122" s="390" t="n"/>
      <c r="AL122" s="390" t="n"/>
      <c r="AM122" s="390" t="n"/>
      <c r="AN122" s="390" t="n"/>
      <c r="AO122" s="390" t="n"/>
      <c r="AP122" s="390" t="n"/>
      <c r="AQ122" s="390" t="n"/>
      <c r="AR122" s="390" t="n"/>
      <c r="AS122" s="390" t="n"/>
      <c r="AT122" s="390" t="n"/>
      <c r="AU122" s="390" t="n"/>
      <c r="AV122" s="390" t="n"/>
      <c r="AW122" s="390" t="n"/>
      <c r="AX122" s="390" t="n"/>
      <c r="AY122" s="390" t="n"/>
      <c r="AZ122" s="390" t="n"/>
      <c r="BA122" s="390" t="n"/>
      <c r="BB122" s="390" t="n"/>
      <c r="BC122" s="390" t="n"/>
      <c r="BD122" s="390" t="n"/>
      <c r="BE122" s="390" t="n"/>
      <c r="BF122" s="390" t="n"/>
      <c r="BG122" s="390" t="n"/>
      <c r="BH122" s="390" t="n"/>
      <c r="BI122" s="390" t="n"/>
      <c r="BJ122" s="390" t="n"/>
      <c r="BK122" s="390" t="n"/>
      <c r="BL122" s="390" t="n"/>
      <c r="BM122" s="390" t="n"/>
      <c r="BN122" s="390" t="n"/>
      <c r="BO122" s="390" t="n"/>
      <c r="BP122" s="390" t="n"/>
      <c r="BQ122" s="390" t="n"/>
      <c r="BR122" s="390" t="n"/>
      <c r="BS122" s="390" t="n"/>
      <c r="BT122" s="390" t="n"/>
      <c r="BU122" s="390" t="n"/>
      <c r="BV122" s="390" t="n"/>
      <c r="BW122" s="390" t="n"/>
      <c r="BX122" s="390" t="n"/>
      <c r="BY122" s="390" t="n"/>
      <c r="BZ122" s="390" t="n"/>
      <c r="CA122" s="390" t="n"/>
      <c r="CB122" s="390" t="n"/>
      <c r="CC122" s="394" t="n"/>
      <c r="CF122" s="254" t="inlineStr">
        <is>
          <t>休日</t>
        </is>
      </c>
      <c r="CG122" s="395" t="n"/>
      <c r="CH122" s="395" t="n"/>
      <c r="CI122" s="396" t="n"/>
      <c r="CJ122" s="386">
        <f>IF(Q119="作業者1",N122-N119,0)</f>
        <v/>
      </c>
      <c r="CK122" s="387" t="n"/>
      <c r="CL122" s="387" t="n"/>
      <c r="CM122" s="387" t="n"/>
      <c r="CN122" s="388" t="n"/>
      <c r="CP122" s="253" t="inlineStr">
        <is>
          <t>休日</t>
        </is>
      </c>
      <c r="CQ122" s="384" t="n"/>
      <c r="CR122" s="384" t="n"/>
      <c r="CS122" s="385" t="n"/>
      <c r="CT122" s="386">
        <f>IF(Q119="作業者2",N122-N119,0)</f>
        <v/>
      </c>
      <c r="CU122" s="387" t="n"/>
      <c r="CV122" s="387" t="n"/>
      <c r="CW122" s="387" t="n"/>
      <c r="CX122" s="388" t="n"/>
      <c r="CZ122" s="254" t="inlineStr">
        <is>
          <t>休日</t>
        </is>
      </c>
      <c r="DA122" s="395" t="n"/>
      <c r="DB122" s="395" t="n"/>
      <c r="DC122" s="396" t="n"/>
      <c r="DD122" s="397">
        <f>IF(Q119="作業者3",N122-N119,0)</f>
        <v/>
      </c>
      <c r="DE122" s="395" t="n"/>
      <c r="DF122" s="395" t="n"/>
      <c r="DG122" s="395" t="n"/>
      <c r="DH122" s="396" t="n"/>
      <c r="DJ122" s="254" t="inlineStr">
        <is>
          <t>休日</t>
        </is>
      </c>
      <c r="DK122" s="395" t="n"/>
      <c r="DL122" s="395" t="n"/>
      <c r="DM122" s="396" t="n"/>
      <c r="DN122" s="397">
        <f>IF(Q119="作業者4",N122-N119,0)</f>
        <v/>
      </c>
      <c r="DO122" s="395" t="n"/>
      <c r="DP122" s="395" t="n"/>
      <c r="DQ122" s="395" t="n"/>
      <c r="DR122" s="396" t="n"/>
      <c r="DT122" s="254" t="inlineStr">
        <is>
          <t>休日</t>
        </is>
      </c>
      <c r="DU122" s="395" t="n"/>
      <c r="DV122" s="395" t="n"/>
      <c r="DW122" s="396" t="n"/>
      <c r="DX122" s="397">
        <f>IF(Q119="作業者5",N122-N119,0)</f>
        <v/>
      </c>
      <c r="DY122" s="395" t="n"/>
      <c r="DZ122" s="395" t="n"/>
      <c r="EA122" s="395" t="n"/>
      <c r="EB122" s="396" t="n"/>
    </row>
    <row r="123" ht="9" customHeight="1" s="337">
      <c r="B123" s="398" t="n"/>
      <c r="C123" s="372" t="n"/>
      <c r="D123" s="373" t="n"/>
      <c r="E123" s="399" t="n"/>
      <c r="F123" s="372" t="n"/>
      <c r="G123" s="373" t="n"/>
      <c r="H123" s="399" t="n"/>
      <c r="I123" s="372" t="n"/>
      <c r="J123" s="373" t="n"/>
      <c r="K123" s="399" t="n"/>
      <c r="L123" s="372" t="n"/>
      <c r="M123" s="373" t="n"/>
      <c r="N123" s="399" t="n"/>
      <c r="O123" s="372" t="n"/>
      <c r="P123" s="373" t="n"/>
      <c r="Q123" s="371" t="n"/>
      <c r="R123" s="372" t="n"/>
      <c r="S123" s="373" t="n"/>
      <c r="T123" s="371" t="n"/>
      <c r="U123" s="372" t="n"/>
      <c r="V123" s="373" t="n"/>
      <c r="W123" s="443" t="n"/>
      <c r="X123" s="372" t="n"/>
      <c r="Y123" s="372" t="n"/>
      <c r="Z123" s="372" t="n"/>
      <c r="AA123" s="372" t="n"/>
      <c r="AB123" s="372" t="n"/>
      <c r="AC123" s="372" t="n"/>
      <c r="AD123" s="372" t="n"/>
      <c r="AE123" s="372" t="n"/>
      <c r="AF123" s="372" t="n"/>
      <c r="AG123" s="372" t="n"/>
      <c r="AH123" s="372" t="n"/>
      <c r="AI123" s="372" t="n"/>
      <c r="AJ123" s="372" t="n"/>
      <c r="AK123" s="372" t="n"/>
      <c r="AL123" s="372" t="n"/>
      <c r="AM123" s="372" t="n"/>
      <c r="AN123" s="372" t="n"/>
      <c r="AO123" s="372" t="n"/>
      <c r="AP123" s="372" t="n"/>
      <c r="AQ123" s="372" t="n"/>
      <c r="AR123" s="372" t="n"/>
      <c r="AS123" s="372" t="n"/>
      <c r="AT123" s="372" t="n"/>
      <c r="AU123" s="372" t="n"/>
      <c r="AV123" s="372" t="n"/>
      <c r="AW123" s="372" t="n"/>
      <c r="AX123" s="372" t="n"/>
      <c r="AY123" s="372" t="n"/>
      <c r="AZ123" s="372" t="n"/>
      <c r="BA123" s="372" t="n"/>
      <c r="BB123" s="372" t="n"/>
      <c r="BC123" s="372" t="n"/>
      <c r="BD123" s="372" t="n"/>
      <c r="BE123" s="372" t="n"/>
      <c r="BF123" s="372" t="n"/>
      <c r="BG123" s="372" t="n"/>
      <c r="BH123" s="372" t="n"/>
      <c r="BI123" s="372" t="n"/>
      <c r="BJ123" s="372" t="n"/>
      <c r="BK123" s="372" t="n"/>
      <c r="BL123" s="372" t="n"/>
      <c r="BM123" s="372" t="n"/>
      <c r="BN123" s="372" t="n"/>
      <c r="BO123" s="372" t="n"/>
      <c r="BP123" s="372" t="n"/>
      <c r="BQ123" s="372" t="n"/>
      <c r="BR123" s="372" t="n"/>
      <c r="BS123" s="372" t="n"/>
      <c r="BT123" s="372" t="n"/>
      <c r="BU123" s="372" t="n"/>
      <c r="BV123" s="372" t="n"/>
      <c r="BW123" s="372" t="n"/>
      <c r="BX123" s="372" t="n"/>
      <c r="BY123" s="372" t="n"/>
      <c r="BZ123" s="372" t="n"/>
      <c r="CA123" s="372" t="n"/>
      <c r="CB123" s="372" t="n"/>
      <c r="CC123" s="402" t="n"/>
      <c r="CF123" s="259" t="inlineStr">
        <is>
          <t>移動</t>
        </is>
      </c>
      <c r="CG123" s="403" t="n"/>
      <c r="CH123" s="403" t="n"/>
      <c r="CI123" s="404" t="n"/>
      <c r="CJ123" s="379">
        <f>IF(Q123="作業者1",E126-E123,0)</f>
        <v/>
      </c>
      <c r="CK123" s="377" t="n"/>
      <c r="CL123" s="377" t="n"/>
      <c r="CM123" s="377" t="n"/>
      <c r="CN123" s="378" t="n"/>
      <c r="CP123" s="248" t="inlineStr">
        <is>
          <t>移動</t>
        </is>
      </c>
      <c r="CQ123" s="377" t="n"/>
      <c r="CR123" s="377" t="n"/>
      <c r="CS123" s="378" t="n"/>
      <c r="CT123" s="379">
        <f>IF(Q123="作業者2",E126-E123,0)</f>
        <v/>
      </c>
      <c r="CU123" s="377" t="n"/>
      <c r="CV123" s="377" t="n"/>
      <c r="CW123" s="377" t="n"/>
      <c r="CX123" s="378" t="n"/>
      <c r="CZ123" s="259" t="inlineStr">
        <is>
          <t>移動</t>
        </is>
      </c>
      <c r="DA123" s="403" t="n"/>
      <c r="DB123" s="403" t="n"/>
      <c r="DC123" s="404" t="n"/>
      <c r="DD123" s="405">
        <f>IF(Q123="作業者3",E126-E123,0)</f>
        <v/>
      </c>
      <c r="DE123" s="406" t="n"/>
      <c r="DF123" s="406" t="n"/>
      <c r="DG123" s="406" t="n"/>
      <c r="DH123" s="407" t="n"/>
      <c r="DJ123" s="259" t="inlineStr">
        <is>
          <t>移動</t>
        </is>
      </c>
      <c r="DK123" s="403" t="n"/>
      <c r="DL123" s="403" t="n"/>
      <c r="DM123" s="404" t="n"/>
      <c r="DN123" s="379">
        <f>IF(Q123="作業者4",E126-E123,0)</f>
        <v/>
      </c>
      <c r="DO123" s="377" t="n"/>
      <c r="DP123" s="377" t="n"/>
      <c r="DQ123" s="377" t="n"/>
      <c r="DR123" s="378" t="n"/>
      <c r="DT123" s="259" t="inlineStr">
        <is>
          <t>移動</t>
        </is>
      </c>
      <c r="DU123" s="403" t="n"/>
      <c r="DV123" s="403" t="n"/>
      <c r="DW123" s="404" t="n"/>
      <c r="DX123" s="379">
        <f>IF(Q123="作業者5",E126-E123,0)</f>
        <v/>
      </c>
      <c r="DY123" s="377" t="n"/>
      <c r="DZ123" s="377" t="n"/>
      <c r="EA123" s="377" t="n"/>
      <c r="EB123" s="378" t="n"/>
    </row>
    <row r="124" ht="9" customHeight="1" s="337">
      <c r="B124" s="350" t="n"/>
      <c r="C124" s="338" t="n"/>
      <c r="D124" s="380" t="n"/>
      <c r="E124" s="381" t="n"/>
      <c r="F124" s="122" t="inlineStr">
        <is>
          <t>～</t>
        </is>
      </c>
      <c r="G124" s="22" t="n"/>
      <c r="H124" s="381" t="n"/>
      <c r="I124" s="122" t="inlineStr">
        <is>
          <t>～</t>
        </is>
      </c>
      <c r="J124" s="22" t="n"/>
      <c r="K124" s="381" t="n"/>
      <c r="L124" s="122" t="inlineStr">
        <is>
          <t>～</t>
        </is>
      </c>
      <c r="M124" s="22" t="n"/>
      <c r="N124" s="381" t="n"/>
      <c r="O124" s="122" t="inlineStr">
        <is>
          <t>～</t>
        </is>
      </c>
      <c r="P124" s="22" t="n"/>
      <c r="Q124" s="382" t="n"/>
      <c r="R124" s="338" t="n"/>
      <c r="S124" s="380" t="n"/>
      <c r="T124" s="382" t="n"/>
      <c r="U124" s="338" t="n"/>
      <c r="V124" s="380" t="n"/>
      <c r="W124" s="382" t="n"/>
      <c r="X124" s="338" t="n"/>
      <c r="Y124" s="338" t="n"/>
      <c r="Z124" s="338" t="n"/>
      <c r="AA124" s="338" t="n"/>
      <c r="AB124" s="338" t="n"/>
      <c r="AC124" s="338" t="n"/>
      <c r="AD124" s="338" t="n"/>
      <c r="AE124" s="338" t="n"/>
      <c r="AF124" s="338" t="n"/>
      <c r="AG124" s="338" t="n"/>
      <c r="AH124" s="338" t="n"/>
      <c r="AI124" s="338" t="n"/>
      <c r="AJ124" s="338" t="n"/>
      <c r="AK124" s="338" t="n"/>
      <c r="AL124" s="338" t="n"/>
      <c r="AM124" s="338" t="n"/>
      <c r="AN124" s="338" t="n"/>
      <c r="AO124" s="338" t="n"/>
      <c r="AP124" s="338" t="n"/>
      <c r="AQ124" s="338" t="n"/>
      <c r="AR124" s="338" t="n"/>
      <c r="AS124" s="338" t="n"/>
      <c r="AT124" s="338" t="n"/>
      <c r="AU124" s="338" t="n"/>
      <c r="AV124" s="338" t="n"/>
      <c r="AW124" s="338" t="n"/>
      <c r="AX124" s="338" t="n"/>
      <c r="AY124" s="338" t="n"/>
      <c r="AZ124" s="338" t="n"/>
      <c r="BA124" s="338" t="n"/>
      <c r="BB124" s="338" t="n"/>
      <c r="BC124" s="338" t="n"/>
      <c r="BD124" s="338" t="n"/>
      <c r="BE124" s="338" t="n"/>
      <c r="BF124" s="338" t="n"/>
      <c r="BG124" s="338" t="n"/>
      <c r="BH124" s="338" t="n"/>
      <c r="BI124" s="338" t="n"/>
      <c r="BJ124" s="338" t="n"/>
      <c r="BK124" s="338" t="n"/>
      <c r="BL124" s="338" t="n"/>
      <c r="BM124" s="338" t="n"/>
      <c r="BN124" s="338" t="n"/>
      <c r="BO124" s="338" t="n"/>
      <c r="BP124" s="338" t="n"/>
      <c r="BQ124" s="338" t="n"/>
      <c r="BR124" s="338" t="n"/>
      <c r="BS124" s="338" t="n"/>
      <c r="BT124" s="338" t="n"/>
      <c r="BU124" s="338" t="n"/>
      <c r="BV124" s="338" t="n"/>
      <c r="BW124" s="338" t="n"/>
      <c r="BX124" s="338" t="n"/>
      <c r="BY124" s="338" t="n"/>
      <c r="BZ124" s="338" t="n"/>
      <c r="CA124" s="338" t="n"/>
      <c r="CB124" s="338" t="n"/>
      <c r="CC124" s="383" t="n"/>
      <c r="CF124" s="253" t="inlineStr">
        <is>
          <t>時間内</t>
        </is>
      </c>
      <c r="CG124" s="384" t="n"/>
      <c r="CH124" s="384" t="n"/>
      <c r="CI124" s="385" t="n"/>
      <c r="CJ124" s="386">
        <f>IF(Q123="作業者1",H126-H123,0)</f>
        <v/>
      </c>
      <c r="CK124" s="387" t="n"/>
      <c r="CL124" s="387" t="n"/>
      <c r="CM124" s="387" t="n"/>
      <c r="CN124" s="388" t="n"/>
      <c r="CP124" s="253" t="inlineStr">
        <is>
          <t>時間内</t>
        </is>
      </c>
      <c r="CQ124" s="384" t="n"/>
      <c r="CR124" s="384" t="n"/>
      <c r="CS124" s="385" t="n"/>
      <c r="CT124" s="386">
        <f>IF(Q123="作業者2",H126-H123,0)</f>
        <v/>
      </c>
      <c r="CU124" s="387" t="n"/>
      <c r="CV124" s="387" t="n"/>
      <c r="CW124" s="387" t="n"/>
      <c r="CX124" s="388" t="n"/>
      <c r="CZ124" s="253" t="inlineStr">
        <is>
          <t>時間内</t>
        </is>
      </c>
      <c r="DA124" s="384" t="n"/>
      <c r="DB124" s="384" t="n"/>
      <c r="DC124" s="385" t="n"/>
      <c r="DD124" s="386">
        <f>IF(Q123="作業者3",H126-H123,0)</f>
        <v/>
      </c>
      <c r="DE124" s="387" t="n"/>
      <c r="DF124" s="387" t="n"/>
      <c r="DG124" s="387" t="n"/>
      <c r="DH124" s="388" t="n"/>
      <c r="DJ124" s="253" t="inlineStr">
        <is>
          <t>時間内</t>
        </is>
      </c>
      <c r="DK124" s="384" t="n"/>
      <c r="DL124" s="384" t="n"/>
      <c r="DM124" s="385" t="n"/>
      <c r="DN124" s="386">
        <f>IF(Q123="作業者4",H126-H123,0)</f>
        <v/>
      </c>
      <c r="DO124" s="387" t="n"/>
      <c r="DP124" s="387" t="n"/>
      <c r="DQ124" s="387" t="n"/>
      <c r="DR124" s="388" t="n"/>
      <c r="DT124" s="253" t="inlineStr">
        <is>
          <t>時間内</t>
        </is>
      </c>
      <c r="DU124" s="384" t="n"/>
      <c r="DV124" s="384" t="n"/>
      <c r="DW124" s="385" t="n"/>
      <c r="DX124" s="386">
        <f>IF(Q123="作業者5",H126-H123,0)</f>
        <v/>
      </c>
      <c r="DY124" s="387" t="n"/>
      <c r="DZ124" s="387" t="n"/>
      <c r="EA124" s="387" t="n"/>
      <c r="EB124" s="388" t="n"/>
    </row>
    <row r="125" ht="9" customHeight="1" s="337">
      <c r="B125" s="350" t="n"/>
      <c r="C125" s="338" t="n"/>
      <c r="D125" s="380" t="n"/>
      <c r="E125" s="23" t="n"/>
      <c r="F125" s="338" t="n"/>
      <c r="G125" s="24" t="n"/>
      <c r="H125" s="23" t="n"/>
      <c r="I125" s="338" t="n"/>
      <c r="J125" s="24" t="n"/>
      <c r="K125" s="23" t="n"/>
      <c r="L125" s="338" t="n"/>
      <c r="M125" s="24" t="n"/>
      <c r="N125" s="23" t="n"/>
      <c r="O125" s="338" t="n"/>
      <c r="P125" s="24" t="n"/>
      <c r="Q125" s="382" t="n"/>
      <c r="R125" s="338" t="n"/>
      <c r="S125" s="380" t="n"/>
      <c r="T125" s="382" t="n"/>
      <c r="U125" s="338" t="n"/>
      <c r="V125" s="380" t="n"/>
      <c r="W125" s="382" t="n"/>
      <c r="X125" s="338" t="n"/>
      <c r="Y125" s="338" t="n"/>
      <c r="Z125" s="338" t="n"/>
      <c r="AA125" s="338" t="n"/>
      <c r="AB125" s="338" t="n"/>
      <c r="AC125" s="338" t="n"/>
      <c r="AD125" s="338" t="n"/>
      <c r="AE125" s="338" t="n"/>
      <c r="AF125" s="338" t="n"/>
      <c r="AG125" s="338" t="n"/>
      <c r="AH125" s="338" t="n"/>
      <c r="AI125" s="338" t="n"/>
      <c r="AJ125" s="338" t="n"/>
      <c r="AK125" s="338" t="n"/>
      <c r="AL125" s="338" t="n"/>
      <c r="AM125" s="338" t="n"/>
      <c r="AN125" s="338" t="n"/>
      <c r="AO125" s="338" t="n"/>
      <c r="AP125" s="338" t="n"/>
      <c r="AQ125" s="338" t="n"/>
      <c r="AR125" s="338" t="n"/>
      <c r="AS125" s="338" t="n"/>
      <c r="AT125" s="338" t="n"/>
      <c r="AU125" s="338" t="n"/>
      <c r="AV125" s="338" t="n"/>
      <c r="AW125" s="338" t="n"/>
      <c r="AX125" s="338" t="n"/>
      <c r="AY125" s="338" t="n"/>
      <c r="AZ125" s="338" t="n"/>
      <c r="BA125" s="338" t="n"/>
      <c r="BB125" s="338" t="n"/>
      <c r="BC125" s="338" t="n"/>
      <c r="BD125" s="338" t="n"/>
      <c r="BE125" s="338" t="n"/>
      <c r="BF125" s="338" t="n"/>
      <c r="BG125" s="338" t="n"/>
      <c r="BH125" s="338" t="n"/>
      <c r="BI125" s="338" t="n"/>
      <c r="BJ125" s="338" t="n"/>
      <c r="BK125" s="338" t="n"/>
      <c r="BL125" s="338" t="n"/>
      <c r="BM125" s="338" t="n"/>
      <c r="BN125" s="338" t="n"/>
      <c r="BO125" s="338" t="n"/>
      <c r="BP125" s="338" t="n"/>
      <c r="BQ125" s="338" t="n"/>
      <c r="BR125" s="338" t="n"/>
      <c r="BS125" s="338" t="n"/>
      <c r="BT125" s="338" t="n"/>
      <c r="BU125" s="338" t="n"/>
      <c r="BV125" s="338" t="n"/>
      <c r="BW125" s="338" t="n"/>
      <c r="BX125" s="338" t="n"/>
      <c r="BY125" s="338" t="n"/>
      <c r="BZ125" s="338" t="n"/>
      <c r="CA125" s="338" t="n"/>
      <c r="CB125" s="338" t="n"/>
      <c r="CC125" s="383" t="n"/>
      <c r="CF125" s="253" t="inlineStr">
        <is>
          <t>時間外</t>
        </is>
      </c>
      <c r="CG125" s="384" t="n"/>
      <c r="CH125" s="384" t="n"/>
      <c r="CI125" s="385" t="n"/>
      <c r="CJ125" s="386">
        <f>IF(Q123="作業者1",K126-K123,0)</f>
        <v/>
      </c>
      <c r="CK125" s="387" t="n"/>
      <c r="CL125" s="387" t="n"/>
      <c r="CM125" s="387" t="n"/>
      <c r="CN125" s="388" t="n"/>
      <c r="CP125" s="253" t="inlineStr">
        <is>
          <t>時間外</t>
        </is>
      </c>
      <c r="CQ125" s="384" t="n"/>
      <c r="CR125" s="384" t="n"/>
      <c r="CS125" s="385" t="n"/>
      <c r="CT125" s="386">
        <f>IF(Q123="作業者2",K126-K123,0)</f>
        <v/>
      </c>
      <c r="CU125" s="387" t="n"/>
      <c r="CV125" s="387" t="n"/>
      <c r="CW125" s="387" t="n"/>
      <c r="CX125" s="388" t="n"/>
      <c r="CZ125" s="253" t="inlineStr">
        <is>
          <t>時間外</t>
        </is>
      </c>
      <c r="DA125" s="384" t="n"/>
      <c r="DB125" s="384" t="n"/>
      <c r="DC125" s="385" t="n"/>
      <c r="DD125" s="386">
        <f>IF(Q123="作業者3",K126-K123,0)</f>
        <v/>
      </c>
      <c r="DE125" s="387" t="n"/>
      <c r="DF125" s="387" t="n"/>
      <c r="DG125" s="387" t="n"/>
      <c r="DH125" s="388" t="n"/>
      <c r="DJ125" s="253" t="inlineStr">
        <is>
          <t>時間外</t>
        </is>
      </c>
      <c r="DK125" s="384" t="n"/>
      <c r="DL125" s="384" t="n"/>
      <c r="DM125" s="385" t="n"/>
      <c r="DN125" s="386">
        <f>IF(Q123="作業者4",K126-K123,0)</f>
        <v/>
      </c>
      <c r="DO125" s="387" t="n"/>
      <c r="DP125" s="387" t="n"/>
      <c r="DQ125" s="387" t="n"/>
      <c r="DR125" s="388" t="n"/>
      <c r="DT125" s="253" t="inlineStr">
        <is>
          <t>時間外</t>
        </is>
      </c>
      <c r="DU125" s="384" t="n"/>
      <c r="DV125" s="384" t="n"/>
      <c r="DW125" s="385" t="n"/>
      <c r="DX125" s="386">
        <f>IF(Q123="作業者5",K126-K123,0)</f>
        <v/>
      </c>
      <c r="DY125" s="387" t="n"/>
      <c r="DZ125" s="387" t="n"/>
      <c r="EA125" s="387" t="n"/>
      <c r="EB125" s="388" t="n"/>
    </row>
    <row r="126" ht="9" customHeight="1" s="337">
      <c r="B126" s="389" t="n"/>
      <c r="C126" s="390" t="n"/>
      <c r="D126" s="391" t="n"/>
      <c r="E126" s="392" t="n"/>
      <c r="F126" s="390" t="n"/>
      <c r="G126" s="391" t="n"/>
      <c r="H126" s="392" t="n"/>
      <c r="I126" s="390" t="n"/>
      <c r="J126" s="391" t="n"/>
      <c r="K126" s="392" t="n"/>
      <c r="L126" s="390" t="n"/>
      <c r="M126" s="391" t="n"/>
      <c r="N126" s="392" t="n"/>
      <c r="O126" s="390" t="n"/>
      <c r="P126" s="391" t="n"/>
      <c r="Q126" s="393" t="n"/>
      <c r="R126" s="390" t="n"/>
      <c r="S126" s="391" t="n"/>
      <c r="T126" s="393" t="n"/>
      <c r="U126" s="390" t="n"/>
      <c r="V126" s="391" t="n"/>
      <c r="W126" s="393" t="n"/>
      <c r="X126" s="390" t="n"/>
      <c r="Y126" s="390" t="n"/>
      <c r="Z126" s="390" t="n"/>
      <c r="AA126" s="390" t="n"/>
      <c r="AB126" s="390" t="n"/>
      <c r="AC126" s="390" t="n"/>
      <c r="AD126" s="390" t="n"/>
      <c r="AE126" s="390" t="n"/>
      <c r="AF126" s="390" t="n"/>
      <c r="AG126" s="390" t="n"/>
      <c r="AH126" s="390" t="n"/>
      <c r="AI126" s="390" t="n"/>
      <c r="AJ126" s="390" t="n"/>
      <c r="AK126" s="390" t="n"/>
      <c r="AL126" s="390" t="n"/>
      <c r="AM126" s="390" t="n"/>
      <c r="AN126" s="390" t="n"/>
      <c r="AO126" s="390" t="n"/>
      <c r="AP126" s="390" t="n"/>
      <c r="AQ126" s="390" t="n"/>
      <c r="AR126" s="390" t="n"/>
      <c r="AS126" s="390" t="n"/>
      <c r="AT126" s="390" t="n"/>
      <c r="AU126" s="390" t="n"/>
      <c r="AV126" s="390" t="n"/>
      <c r="AW126" s="390" t="n"/>
      <c r="AX126" s="390" t="n"/>
      <c r="AY126" s="390" t="n"/>
      <c r="AZ126" s="390" t="n"/>
      <c r="BA126" s="390" t="n"/>
      <c r="BB126" s="390" t="n"/>
      <c r="BC126" s="390" t="n"/>
      <c r="BD126" s="390" t="n"/>
      <c r="BE126" s="390" t="n"/>
      <c r="BF126" s="390" t="n"/>
      <c r="BG126" s="390" t="n"/>
      <c r="BH126" s="390" t="n"/>
      <c r="BI126" s="390" t="n"/>
      <c r="BJ126" s="390" t="n"/>
      <c r="BK126" s="390" t="n"/>
      <c r="BL126" s="390" t="n"/>
      <c r="BM126" s="390" t="n"/>
      <c r="BN126" s="390" t="n"/>
      <c r="BO126" s="390" t="n"/>
      <c r="BP126" s="390" t="n"/>
      <c r="BQ126" s="390" t="n"/>
      <c r="BR126" s="390" t="n"/>
      <c r="BS126" s="390" t="n"/>
      <c r="BT126" s="390" t="n"/>
      <c r="BU126" s="390" t="n"/>
      <c r="BV126" s="390" t="n"/>
      <c r="BW126" s="390" t="n"/>
      <c r="BX126" s="390" t="n"/>
      <c r="BY126" s="390" t="n"/>
      <c r="BZ126" s="390" t="n"/>
      <c r="CA126" s="390" t="n"/>
      <c r="CB126" s="390" t="n"/>
      <c r="CC126" s="394" t="n"/>
      <c r="CF126" s="254" t="inlineStr">
        <is>
          <t>休日</t>
        </is>
      </c>
      <c r="CG126" s="395" t="n"/>
      <c r="CH126" s="395" t="n"/>
      <c r="CI126" s="396" t="n"/>
      <c r="CJ126" s="397">
        <f>IF(Q123="作業者1",N126-N123,0)</f>
        <v/>
      </c>
      <c r="CK126" s="395" t="n"/>
      <c r="CL126" s="395" t="n"/>
      <c r="CM126" s="395" t="n"/>
      <c r="CN126" s="396" t="n"/>
      <c r="CP126" s="254" t="inlineStr">
        <is>
          <t>休日</t>
        </is>
      </c>
      <c r="CQ126" s="395" t="n"/>
      <c r="CR126" s="395" t="n"/>
      <c r="CS126" s="396" t="n"/>
      <c r="CT126" s="397">
        <f>IF(Q123="作業者2",N126-N123,0)</f>
        <v/>
      </c>
      <c r="CU126" s="395" t="n"/>
      <c r="CV126" s="395" t="n"/>
      <c r="CW126" s="395" t="n"/>
      <c r="CX126" s="396" t="n"/>
      <c r="CZ126" s="254" t="inlineStr">
        <is>
          <t>休日</t>
        </is>
      </c>
      <c r="DA126" s="395" t="n"/>
      <c r="DB126" s="395" t="n"/>
      <c r="DC126" s="396" t="n"/>
      <c r="DD126" s="397">
        <f>IF(Q123="作業者3",N126-N123,0)</f>
        <v/>
      </c>
      <c r="DE126" s="395" t="n"/>
      <c r="DF126" s="395" t="n"/>
      <c r="DG126" s="395" t="n"/>
      <c r="DH126" s="396" t="n"/>
      <c r="DJ126" s="254" t="inlineStr">
        <is>
          <t>休日</t>
        </is>
      </c>
      <c r="DK126" s="395" t="n"/>
      <c r="DL126" s="395" t="n"/>
      <c r="DM126" s="396" t="n"/>
      <c r="DN126" s="397">
        <f>IF(Q123="作業者4",N126-N123,0)</f>
        <v/>
      </c>
      <c r="DO126" s="395" t="n"/>
      <c r="DP126" s="395" t="n"/>
      <c r="DQ126" s="395" t="n"/>
      <c r="DR126" s="396" t="n"/>
      <c r="DT126" s="254" t="inlineStr">
        <is>
          <t>休日</t>
        </is>
      </c>
      <c r="DU126" s="395" t="n"/>
      <c r="DV126" s="395" t="n"/>
      <c r="DW126" s="396" t="n"/>
      <c r="DX126" s="397">
        <f>IF(Q123="作業者5",N126-N123,0)</f>
        <v/>
      </c>
      <c r="DY126" s="395" t="n"/>
      <c r="DZ126" s="395" t="n"/>
      <c r="EA126" s="395" t="n"/>
      <c r="EB126" s="396" t="n"/>
    </row>
    <row r="127" ht="9" customHeight="1" s="337">
      <c r="B127" s="398" t="n"/>
      <c r="C127" s="372" t="n"/>
      <c r="D127" s="373" t="n"/>
      <c r="E127" s="399" t="n"/>
      <c r="F127" s="372" t="n"/>
      <c r="G127" s="373" t="n"/>
      <c r="H127" s="399" t="n"/>
      <c r="I127" s="372" t="n"/>
      <c r="J127" s="373" t="n"/>
      <c r="K127" s="399" t="n"/>
      <c r="L127" s="372" t="n"/>
      <c r="M127" s="373" t="n"/>
      <c r="N127" s="399" t="n"/>
      <c r="O127" s="372" t="n"/>
      <c r="P127" s="373" t="n"/>
      <c r="Q127" s="371" t="n"/>
      <c r="R127" s="372" t="n"/>
      <c r="S127" s="373" t="n"/>
      <c r="T127" s="371" t="n"/>
      <c r="U127" s="372" t="n"/>
      <c r="V127" s="373" t="n"/>
      <c r="W127" s="443" t="n"/>
      <c r="X127" s="372" t="n"/>
      <c r="Y127" s="372" t="n"/>
      <c r="Z127" s="372" t="n"/>
      <c r="AA127" s="372" t="n"/>
      <c r="AB127" s="372" t="n"/>
      <c r="AC127" s="372" t="n"/>
      <c r="AD127" s="372" t="n"/>
      <c r="AE127" s="372" t="n"/>
      <c r="AF127" s="372" t="n"/>
      <c r="AG127" s="372" t="n"/>
      <c r="AH127" s="372" t="n"/>
      <c r="AI127" s="372" t="n"/>
      <c r="AJ127" s="372" t="n"/>
      <c r="AK127" s="372" t="n"/>
      <c r="AL127" s="372" t="n"/>
      <c r="AM127" s="372" t="n"/>
      <c r="AN127" s="372" t="n"/>
      <c r="AO127" s="372" t="n"/>
      <c r="AP127" s="372" t="n"/>
      <c r="AQ127" s="372" t="n"/>
      <c r="AR127" s="372" t="n"/>
      <c r="AS127" s="372" t="n"/>
      <c r="AT127" s="372" t="n"/>
      <c r="AU127" s="372" t="n"/>
      <c r="AV127" s="372" t="n"/>
      <c r="AW127" s="372" t="n"/>
      <c r="AX127" s="372" t="n"/>
      <c r="AY127" s="372" t="n"/>
      <c r="AZ127" s="372" t="n"/>
      <c r="BA127" s="372" t="n"/>
      <c r="BB127" s="372" t="n"/>
      <c r="BC127" s="372" t="n"/>
      <c r="BD127" s="372" t="n"/>
      <c r="BE127" s="372" t="n"/>
      <c r="BF127" s="372" t="n"/>
      <c r="BG127" s="372" t="n"/>
      <c r="BH127" s="372" t="n"/>
      <c r="BI127" s="372" t="n"/>
      <c r="BJ127" s="372" t="n"/>
      <c r="BK127" s="372" t="n"/>
      <c r="BL127" s="372" t="n"/>
      <c r="BM127" s="372" t="n"/>
      <c r="BN127" s="372" t="n"/>
      <c r="BO127" s="372" t="n"/>
      <c r="BP127" s="372" t="n"/>
      <c r="BQ127" s="372" t="n"/>
      <c r="BR127" s="372" t="n"/>
      <c r="BS127" s="372" t="n"/>
      <c r="BT127" s="372" t="n"/>
      <c r="BU127" s="372" t="n"/>
      <c r="BV127" s="372" t="n"/>
      <c r="BW127" s="372" t="n"/>
      <c r="BX127" s="372" t="n"/>
      <c r="BY127" s="372" t="n"/>
      <c r="BZ127" s="372" t="n"/>
      <c r="CA127" s="372" t="n"/>
      <c r="CB127" s="372" t="n"/>
      <c r="CC127" s="402" t="n"/>
      <c r="CF127" s="248" t="inlineStr">
        <is>
          <t>移動</t>
        </is>
      </c>
      <c r="CG127" s="377" t="n"/>
      <c r="CH127" s="377" t="n"/>
      <c r="CI127" s="378" t="n"/>
      <c r="CJ127" s="379">
        <f>IF(Q127="作業者1",E130-E127,0)</f>
        <v/>
      </c>
      <c r="CK127" s="377" t="n"/>
      <c r="CL127" s="377" t="n"/>
      <c r="CM127" s="377" t="n"/>
      <c r="CN127" s="378" t="n"/>
      <c r="CP127" s="248" t="inlineStr">
        <is>
          <t>移動</t>
        </is>
      </c>
      <c r="CQ127" s="377" t="n"/>
      <c r="CR127" s="377" t="n"/>
      <c r="CS127" s="378" t="n"/>
      <c r="CT127" s="379">
        <f>IF(Q127="作業者2",E130-E127,0)</f>
        <v/>
      </c>
      <c r="CU127" s="377" t="n"/>
      <c r="CV127" s="377" t="n"/>
      <c r="CW127" s="377" t="n"/>
      <c r="CX127" s="378" t="n"/>
      <c r="CZ127" s="248" t="inlineStr">
        <is>
          <t>移動</t>
        </is>
      </c>
      <c r="DA127" s="377" t="n"/>
      <c r="DB127" s="377" t="n"/>
      <c r="DC127" s="378" t="n"/>
      <c r="DD127" s="379">
        <f>IF(Q127="作業者3",E130-E127,0)</f>
        <v/>
      </c>
      <c r="DE127" s="377" t="n"/>
      <c r="DF127" s="377" t="n"/>
      <c r="DG127" s="377" t="n"/>
      <c r="DH127" s="378" t="n"/>
      <c r="DJ127" s="248" t="inlineStr">
        <is>
          <t>移動</t>
        </is>
      </c>
      <c r="DK127" s="377" t="n"/>
      <c r="DL127" s="377" t="n"/>
      <c r="DM127" s="378" t="n"/>
      <c r="DN127" s="379">
        <f>IF(Q127="作業者4",E130-E127,0)</f>
        <v/>
      </c>
      <c r="DO127" s="377" t="n"/>
      <c r="DP127" s="377" t="n"/>
      <c r="DQ127" s="377" t="n"/>
      <c r="DR127" s="378" t="n"/>
      <c r="DT127" s="259" t="inlineStr">
        <is>
          <t>移動</t>
        </is>
      </c>
      <c r="DU127" s="403" t="n"/>
      <c r="DV127" s="403" t="n"/>
      <c r="DW127" s="404" t="n"/>
      <c r="DX127" s="379">
        <f>IF(Q127="作業者5",E130-E127,0)</f>
        <v/>
      </c>
      <c r="DY127" s="377" t="n"/>
      <c r="DZ127" s="377" t="n"/>
      <c r="EA127" s="377" t="n"/>
      <c r="EB127" s="378" t="n"/>
    </row>
    <row r="128" ht="9" customHeight="1" s="337">
      <c r="B128" s="350" t="n"/>
      <c r="C128" s="338" t="n"/>
      <c r="D128" s="380" t="n"/>
      <c r="E128" s="381" t="n"/>
      <c r="F128" s="122" t="inlineStr">
        <is>
          <t>～</t>
        </is>
      </c>
      <c r="G128" s="22" t="n"/>
      <c r="H128" s="381" t="n"/>
      <c r="I128" s="122" t="inlineStr">
        <is>
          <t>～</t>
        </is>
      </c>
      <c r="J128" s="22" t="n"/>
      <c r="K128" s="381" t="n"/>
      <c r="L128" s="122" t="inlineStr">
        <is>
          <t>～</t>
        </is>
      </c>
      <c r="M128" s="22" t="n"/>
      <c r="N128" s="381" t="n"/>
      <c r="O128" s="122" t="inlineStr">
        <is>
          <t>～</t>
        </is>
      </c>
      <c r="P128" s="22" t="n"/>
      <c r="Q128" s="382" t="n"/>
      <c r="R128" s="338" t="n"/>
      <c r="S128" s="380" t="n"/>
      <c r="T128" s="382" t="n"/>
      <c r="U128" s="338" t="n"/>
      <c r="V128" s="380" t="n"/>
      <c r="W128" s="382" t="n"/>
      <c r="X128" s="338" t="n"/>
      <c r="Y128" s="338" t="n"/>
      <c r="Z128" s="338" t="n"/>
      <c r="AA128" s="338" t="n"/>
      <c r="AB128" s="338" t="n"/>
      <c r="AC128" s="338" t="n"/>
      <c r="AD128" s="338" t="n"/>
      <c r="AE128" s="338" t="n"/>
      <c r="AF128" s="338" t="n"/>
      <c r="AG128" s="338" t="n"/>
      <c r="AH128" s="338" t="n"/>
      <c r="AI128" s="338" t="n"/>
      <c r="AJ128" s="338" t="n"/>
      <c r="AK128" s="338" t="n"/>
      <c r="AL128" s="338" t="n"/>
      <c r="AM128" s="338" t="n"/>
      <c r="AN128" s="338" t="n"/>
      <c r="AO128" s="338" t="n"/>
      <c r="AP128" s="338" t="n"/>
      <c r="AQ128" s="338" t="n"/>
      <c r="AR128" s="338" t="n"/>
      <c r="AS128" s="338" t="n"/>
      <c r="AT128" s="338" t="n"/>
      <c r="AU128" s="338" t="n"/>
      <c r="AV128" s="338" t="n"/>
      <c r="AW128" s="338" t="n"/>
      <c r="AX128" s="338" t="n"/>
      <c r="AY128" s="338" t="n"/>
      <c r="AZ128" s="338" t="n"/>
      <c r="BA128" s="338" t="n"/>
      <c r="BB128" s="338" t="n"/>
      <c r="BC128" s="338" t="n"/>
      <c r="BD128" s="338" t="n"/>
      <c r="BE128" s="338" t="n"/>
      <c r="BF128" s="338" t="n"/>
      <c r="BG128" s="338" t="n"/>
      <c r="BH128" s="338" t="n"/>
      <c r="BI128" s="338" t="n"/>
      <c r="BJ128" s="338" t="n"/>
      <c r="BK128" s="338" t="n"/>
      <c r="BL128" s="338" t="n"/>
      <c r="BM128" s="338" t="n"/>
      <c r="BN128" s="338" t="n"/>
      <c r="BO128" s="338" t="n"/>
      <c r="BP128" s="338" t="n"/>
      <c r="BQ128" s="338" t="n"/>
      <c r="BR128" s="338" t="n"/>
      <c r="BS128" s="338" t="n"/>
      <c r="BT128" s="338" t="n"/>
      <c r="BU128" s="338" t="n"/>
      <c r="BV128" s="338" t="n"/>
      <c r="BW128" s="338" t="n"/>
      <c r="BX128" s="338" t="n"/>
      <c r="BY128" s="338" t="n"/>
      <c r="BZ128" s="338" t="n"/>
      <c r="CA128" s="338" t="n"/>
      <c r="CB128" s="338" t="n"/>
      <c r="CC128" s="383" t="n"/>
      <c r="CF128" s="253" t="inlineStr">
        <is>
          <t>時間内</t>
        </is>
      </c>
      <c r="CG128" s="384" t="n"/>
      <c r="CH128" s="384" t="n"/>
      <c r="CI128" s="385" t="n"/>
      <c r="CJ128" s="386">
        <f>IF(Q127="作業者1",H130-H127,0)</f>
        <v/>
      </c>
      <c r="CK128" s="387" t="n"/>
      <c r="CL128" s="387" t="n"/>
      <c r="CM128" s="387" t="n"/>
      <c r="CN128" s="388" t="n"/>
      <c r="CP128" s="253" t="inlineStr">
        <is>
          <t>時間内</t>
        </is>
      </c>
      <c r="CQ128" s="384" t="n"/>
      <c r="CR128" s="384" t="n"/>
      <c r="CS128" s="385" t="n"/>
      <c r="CT128" s="386">
        <f>IF(Q127="作業者2",H130-H127,0)</f>
        <v/>
      </c>
      <c r="CU128" s="387" t="n"/>
      <c r="CV128" s="387" t="n"/>
      <c r="CW128" s="387" t="n"/>
      <c r="CX128" s="388" t="n"/>
      <c r="CZ128" s="253" t="inlineStr">
        <is>
          <t>時間内</t>
        </is>
      </c>
      <c r="DA128" s="384" t="n"/>
      <c r="DB128" s="384" t="n"/>
      <c r="DC128" s="385" t="n"/>
      <c r="DD128" s="386">
        <f>IF(Q127="作業者3",H130-H127,0)</f>
        <v/>
      </c>
      <c r="DE128" s="387" t="n"/>
      <c r="DF128" s="387" t="n"/>
      <c r="DG128" s="387" t="n"/>
      <c r="DH128" s="388" t="n"/>
      <c r="DJ128" s="253" t="inlineStr">
        <is>
          <t>時間内</t>
        </is>
      </c>
      <c r="DK128" s="384" t="n"/>
      <c r="DL128" s="384" t="n"/>
      <c r="DM128" s="385" t="n"/>
      <c r="DN128" s="386">
        <f>IF(Q127="作業者4",H130-H127,0)</f>
        <v/>
      </c>
      <c r="DO128" s="387" t="n"/>
      <c r="DP128" s="387" t="n"/>
      <c r="DQ128" s="387" t="n"/>
      <c r="DR128" s="388" t="n"/>
      <c r="DT128" s="253" t="inlineStr">
        <is>
          <t>時間内</t>
        </is>
      </c>
      <c r="DU128" s="384" t="n"/>
      <c r="DV128" s="384" t="n"/>
      <c r="DW128" s="385" t="n"/>
      <c r="DX128" s="386">
        <f>IF(Q127="作業者5",H130-H127,0)</f>
        <v/>
      </c>
      <c r="DY128" s="387" t="n"/>
      <c r="DZ128" s="387" t="n"/>
      <c r="EA128" s="387" t="n"/>
      <c r="EB128" s="388" t="n"/>
    </row>
    <row r="129" ht="9" customHeight="1" s="337">
      <c r="B129" s="350" t="n"/>
      <c r="C129" s="338" t="n"/>
      <c r="D129" s="380" t="n"/>
      <c r="E129" s="23" t="n"/>
      <c r="F129" s="338" t="n"/>
      <c r="G129" s="24" t="n"/>
      <c r="H129" s="23" t="n"/>
      <c r="I129" s="338" t="n"/>
      <c r="J129" s="24" t="n"/>
      <c r="K129" s="23" t="n"/>
      <c r="L129" s="338" t="n"/>
      <c r="M129" s="24" t="n"/>
      <c r="N129" s="23" t="n"/>
      <c r="O129" s="338" t="n"/>
      <c r="P129" s="24" t="n"/>
      <c r="Q129" s="382" t="n"/>
      <c r="R129" s="338" t="n"/>
      <c r="S129" s="380" t="n"/>
      <c r="T129" s="382" t="n"/>
      <c r="U129" s="338" t="n"/>
      <c r="V129" s="380" t="n"/>
      <c r="W129" s="382" t="n"/>
      <c r="X129" s="338" t="n"/>
      <c r="Y129" s="338" t="n"/>
      <c r="Z129" s="338" t="n"/>
      <c r="AA129" s="338" t="n"/>
      <c r="AB129" s="338" t="n"/>
      <c r="AC129" s="338" t="n"/>
      <c r="AD129" s="338" t="n"/>
      <c r="AE129" s="338" t="n"/>
      <c r="AF129" s="338" t="n"/>
      <c r="AG129" s="338" t="n"/>
      <c r="AH129" s="338" t="n"/>
      <c r="AI129" s="338" t="n"/>
      <c r="AJ129" s="338" t="n"/>
      <c r="AK129" s="338" t="n"/>
      <c r="AL129" s="338" t="n"/>
      <c r="AM129" s="338" t="n"/>
      <c r="AN129" s="338" t="n"/>
      <c r="AO129" s="338" t="n"/>
      <c r="AP129" s="338" t="n"/>
      <c r="AQ129" s="338" t="n"/>
      <c r="AR129" s="338" t="n"/>
      <c r="AS129" s="338" t="n"/>
      <c r="AT129" s="338" t="n"/>
      <c r="AU129" s="338" t="n"/>
      <c r="AV129" s="338" t="n"/>
      <c r="AW129" s="338" t="n"/>
      <c r="AX129" s="338" t="n"/>
      <c r="AY129" s="338" t="n"/>
      <c r="AZ129" s="338" t="n"/>
      <c r="BA129" s="338" t="n"/>
      <c r="BB129" s="338" t="n"/>
      <c r="BC129" s="338" t="n"/>
      <c r="BD129" s="338" t="n"/>
      <c r="BE129" s="338" t="n"/>
      <c r="BF129" s="338" t="n"/>
      <c r="BG129" s="338" t="n"/>
      <c r="BH129" s="338" t="n"/>
      <c r="BI129" s="338" t="n"/>
      <c r="BJ129" s="338" t="n"/>
      <c r="BK129" s="338" t="n"/>
      <c r="BL129" s="338" t="n"/>
      <c r="BM129" s="338" t="n"/>
      <c r="BN129" s="338" t="n"/>
      <c r="BO129" s="338" t="n"/>
      <c r="BP129" s="338" t="n"/>
      <c r="BQ129" s="338" t="n"/>
      <c r="BR129" s="338" t="n"/>
      <c r="BS129" s="338" t="n"/>
      <c r="BT129" s="338" t="n"/>
      <c r="BU129" s="338" t="n"/>
      <c r="BV129" s="338" t="n"/>
      <c r="BW129" s="338" t="n"/>
      <c r="BX129" s="338" t="n"/>
      <c r="BY129" s="338" t="n"/>
      <c r="BZ129" s="338" t="n"/>
      <c r="CA129" s="338" t="n"/>
      <c r="CB129" s="338" t="n"/>
      <c r="CC129" s="383" t="n"/>
      <c r="CF129" s="253" t="inlineStr">
        <is>
          <t>時間外</t>
        </is>
      </c>
      <c r="CG129" s="384" t="n"/>
      <c r="CH129" s="384" t="n"/>
      <c r="CI129" s="385" t="n"/>
      <c r="CJ129" s="386">
        <f>IF(Q127="作業者1",K130-K127,0)</f>
        <v/>
      </c>
      <c r="CK129" s="387" t="n"/>
      <c r="CL129" s="387" t="n"/>
      <c r="CM129" s="387" t="n"/>
      <c r="CN129" s="388" t="n"/>
      <c r="CP129" s="253" t="inlineStr">
        <is>
          <t>時間外</t>
        </is>
      </c>
      <c r="CQ129" s="384" t="n"/>
      <c r="CR129" s="384" t="n"/>
      <c r="CS129" s="385" t="n"/>
      <c r="CT129" s="386">
        <f>IF(Q127="作業者2",K130-K127,0)</f>
        <v/>
      </c>
      <c r="CU129" s="387" t="n"/>
      <c r="CV129" s="387" t="n"/>
      <c r="CW129" s="387" t="n"/>
      <c r="CX129" s="388" t="n"/>
      <c r="CZ129" s="253" t="inlineStr">
        <is>
          <t>時間外</t>
        </is>
      </c>
      <c r="DA129" s="384" t="n"/>
      <c r="DB129" s="384" t="n"/>
      <c r="DC129" s="385" t="n"/>
      <c r="DD129" s="386">
        <f>IF(Q127="作業者3",K130-K127,0)</f>
        <v/>
      </c>
      <c r="DE129" s="387" t="n"/>
      <c r="DF129" s="387" t="n"/>
      <c r="DG129" s="387" t="n"/>
      <c r="DH129" s="388" t="n"/>
      <c r="DJ129" s="253" t="inlineStr">
        <is>
          <t>時間外</t>
        </is>
      </c>
      <c r="DK129" s="384" t="n"/>
      <c r="DL129" s="384" t="n"/>
      <c r="DM129" s="385" t="n"/>
      <c r="DN129" s="386">
        <f>IF(Q127="作業者4",K130-K127,0)</f>
        <v/>
      </c>
      <c r="DO129" s="387" t="n"/>
      <c r="DP129" s="387" t="n"/>
      <c r="DQ129" s="387" t="n"/>
      <c r="DR129" s="388" t="n"/>
      <c r="DT129" s="253" t="inlineStr">
        <is>
          <t>時間外</t>
        </is>
      </c>
      <c r="DU129" s="384" t="n"/>
      <c r="DV129" s="384" t="n"/>
      <c r="DW129" s="385" t="n"/>
      <c r="DX129" s="386">
        <f>IF(Q127="作業者5",K130-K127,0)</f>
        <v/>
      </c>
      <c r="DY129" s="387" t="n"/>
      <c r="DZ129" s="387" t="n"/>
      <c r="EA129" s="387" t="n"/>
      <c r="EB129" s="388" t="n"/>
    </row>
    <row r="130" ht="9" customHeight="1" s="337">
      <c r="B130" s="389" t="n"/>
      <c r="C130" s="390" t="n"/>
      <c r="D130" s="391" t="n"/>
      <c r="E130" s="392" t="n"/>
      <c r="F130" s="390" t="n"/>
      <c r="G130" s="391" t="n"/>
      <c r="H130" s="392" t="n"/>
      <c r="I130" s="390" t="n"/>
      <c r="J130" s="391" t="n"/>
      <c r="K130" s="392" t="n"/>
      <c r="L130" s="390" t="n"/>
      <c r="M130" s="391" t="n"/>
      <c r="N130" s="392" t="n"/>
      <c r="O130" s="390" t="n"/>
      <c r="P130" s="391" t="n"/>
      <c r="Q130" s="393" t="n"/>
      <c r="R130" s="390" t="n"/>
      <c r="S130" s="391" t="n"/>
      <c r="T130" s="393" t="n"/>
      <c r="U130" s="390" t="n"/>
      <c r="V130" s="391" t="n"/>
      <c r="W130" s="393" t="n"/>
      <c r="X130" s="390" t="n"/>
      <c r="Y130" s="390" t="n"/>
      <c r="Z130" s="390" t="n"/>
      <c r="AA130" s="390" t="n"/>
      <c r="AB130" s="390" t="n"/>
      <c r="AC130" s="390" t="n"/>
      <c r="AD130" s="390" t="n"/>
      <c r="AE130" s="390" t="n"/>
      <c r="AF130" s="390" t="n"/>
      <c r="AG130" s="390" t="n"/>
      <c r="AH130" s="390" t="n"/>
      <c r="AI130" s="390" t="n"/>
      <c r="AJ130" s="390" t="n"/>
      <c r="AK130" s="390" t="n"/>
      <c r="AL130" s="390" t="n"/>
      <c r="AM130" s="390" t="n"/>
      <c r="AN130" s="390" t="n"/>
      <c r="AO130" s="390" t="n"/>
      <c r="AP130" s="390" t="n"/>
      <c r="AQ130" s="390" t="n"/>
      <c r="AR130" s="390" t="n"/>
      <c r="AS130" s="390" t="n"/>
      <c r="AT130" s="390" t="n"/>
      <c r="AU130" s="390" t="n"/>
      <c r="AV130" s="390" t="n"/>
      <c r="AW130" s="390" t="n"/>
      <c r="AX130" s="390" t="n"/>
      <c r="AY130" s="390" t="n"/>
      <c r="AZ130" s="390" t="n"/>
      <c r="BA130" s="390" t="n"/>
      <c r="BB130" s="390" t="n"/>
      <c r="BC130" s="390" t="n"/>
      <c r="BD130" s="390" t="n"/>
      <c r="BE130" s="390" t="n"/>
      <c r="BF130" s="390" t="n"/>
      <c r="BG130" s="390" t="n"/>
      <c r="BH130" s="390" t="n"/>
      <c r="BI130" s="390" t="n"/>
      <c r="BJ130" s="390" t="n"/>
      <c r="BK130" s="390" t="n"/>
      <c r="BL130" s="390" t="n"/>
      <c r="BM130" s="390" t="n"/>
      <c r="BN130" s="390" t="n"/>
      <c r="BO130" s="390" t="n"/>
      <c r="BP130" s="390" t="n"/>
      <c r="BQ130" s="390" t="n"/>
      <c r="BR130" s="390" t="n"/>
      <c r="BS130" s="390" t="n"/>
      <c r="BT130" s="390" t="n"/>
      <c r="BU130" s="390" t="n"/>
      <c r="BV130" s="390" t="n"/>
      <c r="BW130" s="390" t="n"/>
      <c r="BX130" s="390" t="n"/>
      <c r="BY130" s="390" t="n"/>
      <c r="BZ130" s="390" t="n"/>
      <c r="CA130" s="390" t="n"/>
      <c r="CB130" s="390" t="n"/>
      <c r="CC130" s="394" t="n"/>
      <c r="CF130" s="254" t="inlineStr">
        <is>
          <t>休日</t>
        </is>
      </c>
      <c r="CG130" s="395" t="n"/>
      <c r="CH130" s="395" t="n"/>
      <c r="CI130" s="396" t="n"/>
      <c r="CJ130" s="386">
        <f>IF(Q127="作業者1",N130-N127,0)</f>
        <v/>
      </c>
      <c r="CK130" s="387" t="n"/>
      <c r="CL130" s="387" t="n"/>
      <c r="CM130" s="387" t="n"/>
      <c r="CN130" s="388" t="n"/>
      <c r="CP130" s="253" t="inlineStr">
        <is>
          <t>休日</t>
        </is>
      </c>
      <c r="CQ130" s="384" t="n"/>
      <c r="CR130" s="384" t="n"/>
      <c r="CS130" s="385" t="n"/>
      <c r="CT130" s="386">
        <f>IF(Q127="作業者2",N130-N127,0)</f>
        <v/>
      </c>
      <c r="CU130" s="387" t="n"/>
      <c r="CV130" s="387" t="n"/>
      <c r="CW130" s="387" t="n"/>
      <c r="CX130" s="388" t="n"/>
      <c r="CZ130" s="254" t="inlineStr">
        <is>
          <t>休日</t>
        </is>
      </c>
      <c r="DA130" s="395" t="n"/>
      <c r="DB130" s="395" t="n"/>
      <c r="DC130" s="396" t="n"/>
      <c r="DD130" s="397">
        <f>IF(Q127="作業者3",N130-N127,0)</f>
        <v/>
      </c>
      <c r="DE130" s="395" t="n"/>
      <c r="DF130" s="395" t="n"/>
      <c r="DG130" s="395" t="n"/>
      <c r="DH130" s="396" t="n"/>
      <c r="DJ130" s="254" t="inlineStr">
        <is>
          <t>休日</t>
        </is>
      </c>
      <c r="DK130" s="395" t="n"/>
      <c r="DL130" s="395" t="n"/>
      <c r="DM130" s="396" t="n"/>
      <c r="DN130" s="397">
        <f>IF(Q127="作業者4",N130-N127,0)</f>
        <v/>
      </c>
      <c r="DO130" s="395" t="n"/>
      <c r="DP130" s="395" t="n"/>
      <c r="DQ130" s="395" t="n"/>
      <c r="DR130" s="396" t="n"/>
      <c r="DT130" s="254" t="inlineStr">
        <is>
          <t>休日</t>
        </is>
      </c>
      <c r="DU130" s="395" t="n"/>
      <c r="DV130" s="395" t="n"/>
      <c r="DW130" s="396" t="n"/>
      <c r="DX130" s="397">
        <f>IF(Q127="作業者5",N130-N127,0)</f>
        <v/>
      </c>
      <c r="DY130" s="395" t="n"/>
      <c r="DZ130" s="395" t="n"/>
      <c r="EA130" s="395" t="n"/>
      <c r="EB130" s="396" t="n"/>
    </row>
    <row r="131" ht="9" customHeight="1" s="337">
      <c r="B131" s="410" t="n"/>
      <c r="C131" s="372" t="n"/>
      <c r="D131" s="373" t="n"/>
      <c r="E131" s="399" t="n"/>
      <c r="F131" s="372" t="n"/>
      <c r="G131" s="373" t="n"/>
      <c r="H131" s="399" t="n"/>
      <c r="I131" s="372" t="n"/>
      <c r="J131" s="373" t="n"/>
      <c r="K131" s="399" t="n"/>
      <c r="L131" s="372" t="n"/>
      <c r="M131" s="373" t="n"/>
      <c r="N131" s="399" t="n"/>
      <c r="O131" s="372" t="n"/>
      <c r="P131" s="373" t="n"/>
      <c r="Q131" s="444" t="n"/>
      <c r="R131" s="372" t="n"/>
      <c r="S131" s="445" t="n"/>
      <c r="T131" s="411" t="n"/>
      <c r="U131" s="372" t="n"/>
      <c r="V131" s="373" t="n"/>
      <c r="W131" s="443" t="n"/>
      <c r="X131" s="372" t="n"/>
      <c r="Y131" s="372" t="n"/>
      <c r="Z131" s="372" t="n"/>
      <c r="AA131" s="372" t="n"/>
      <c r="AB131" s="372" t="n"/>
      <c r="AC131" s="372" t="n"/>
      <c r="AD131" s="372" t="n"/>
      <c r="AE131" s="372" t="n"/>
      <c r="AF131" s="372" t="n"/>
      <c r="AG131" s="372" t="n"/>
      <c r="AH131" s="372" t="n"/>
      <c r="AI131" s="372" t="n"/>
      <c r="AJ131" s="372" t="n"/>
      <c r="AK131" s="372" t="n"/>
      <c r="AL131" s="372" t="n"/>
      <c r="AM131" s="372" t="n"/>
      <c r="AN131" s="372" t="n"/>
      <c r="AO131" s="372" t="n"/>
      <c r="AP131" s="372" t="n"/>
      <c r="AQ131" s="372" t="n"/>
      <c r="AR131" s="372" t="n"/>
      <c r="AS131" s="372" t="n"/>
      <c r="AT131" s="372" t="n"/>
      <c r="AU131" s="372" t="n"/>
      <c r="AV131" s="372" t="n"/>
      <c r="AW131" s="372" t="n"/>
      <c r="AX131" s="372" t="n"/>
      <c r="AY131" s="372" t="n"/>
      <c r="AZ131" s="372" t="n"/>
      <c r="BA131" s="372" t="n"/>
      <c r="BB131" s="372" t="n"/>
      <c r="BC131" s="372" t="n"/>
      <c r="BD131" s="372" t="n"/>
      <c r="BE131" s="372" t="n"/>
      <c r="BF131" s="372" t="n"/>
      <c r="BG131" s="372" t="n"/>
      <c r="BH131" s="372" t="n"/>
      <c r="BI131" s="372" t="n"/>
      <c r="BJ131" s="372" t="n"/>
      <c r="BK131" s="372" t="n"/>
      <c r="BL131" s="372" t="n"/>
      <c r="BM131" s="372" t="n"/>
      <c r="BN131" s="372" t="n"/>
      <c r="BO131" s="372" t="n"/>
      <c r="BP131" s="372" t="n"/>
      <c r="BQ131" s="372" t="n"/>
      <c r="BR131" s="372" t="n"/>
      <c r="BS131" s="372" t="n"/>
      <c r="BT131" s="372" t="n"/>
      <c r="BU131" s="372" t="n"/>
      <c r="BV131" s="372" t="n"/>
      <c r="BW131" s="372" t="n"/>
      <c r="BX131" s="372" t="n"/>
      <c r="BY131" s="372" t="n"/>
      <c r="BZ131" s="372" t="n"/>
      <c r="CA131" s="372" t="n"/>
      <c r="CB131" s="372" t="n"/>
      <c r="CC131" s="402" t="n"/>
      <c r="CF131" s="259" t="inlineStr">
        <is>
          <t>移動</t>
        </is>
      </c>
      <c r="CG131" s="403" t="n"/>
      <c r="CH131" s="403" t="n"/>
      <c r="CI131" s="404" t="n"/>
      <c r="CJ131" s="379">
        <f>IF(Q131="作業者1",E134-E131,0)</f>
        <v/>
      </c>
      <c r="CK131" s="377" t="n"/>
      <c r="CL131" s="377" t="n"/>
      <c r="CM131" s="377" t="n"/>
      <c r="CN131" s="378" t="n"/>
      <c r="CP131" s="248" t="inlineStr">
        <is>
          <t>移動</t>
        </is>
      </c>
      <c r="CQ131" s="377" t="n"/>
      <c r="CR131" s="377" t="n"/>
      <c r="CS131" s="378" t="n"/>
      <c r="CT131" s="379">
        <f>IF(Q131="作業者2",E134-E131,0)</f>
        <v/>
      </c>
      <c r="CU131" s="377" t="n"/>
      <c r="CV131" s="377" t="n"/>
      <c r="CW131" s="377" t="n"/>
      <c r="CX131" s="378" t="n"/>
      <c r="CZ131" s="259" t="inlineStr">
        <is>
          <t>移動</t>
        </is>
      </c>
      <c r="DA131" s="403" t="n"/>
      <c r="DB131" s="403" t="n"/>
      <c r="DC131" s="404" t="n"/>
      <c r="DD131" s="405">
        <f>IF(Q131="作業者3",E134-E131,0)</f>
        <v/>
      </c>
      <c r="DE131" s="406" t="n"/>
      <c r="DF131" s="406" t="n"/>
      <c r="DG131" s="406" t="n"/>
      <c r="DH131" s="407" t="n"/>
      <c r="DJ131" s="259" t="inlineStr">
        <is>
          <t>移動</t>
        </is>
      </c>
      <c r="DK131" s="403" t="n"/>
      <c r="DL131" s="403" t="n"/>
      <c r="DM131" s="404" t="n"/>
      <c r="DN131" s="379">
        <f>IF(Q131="作業者4",E134-E131,0)</f>
        <v/>
      </c>
      <c r="DO131" s="377" t="n"/>
      <c r="DP131" s="377" t="n"/>
      <c r="DQ131" s="377" t="n"/>
      <c r="DR131" s="378" t="n"/>
      <c r="DT131" s="259" t="inlineStr">
        <is>
          <t>移動</t>
        </is>
      </c>
      <c r="DU131" s="403" t="n"/>
      <c r="DV131" s="403" t="n"/>
      <c r="DW131" s="404" t="n"/>
      <c r="DX131" s="379">
        <f>IF(Q131="作業者5",E134-E131,0)</f>
        <v/>
      </c>
      <c r="DY131" s="377" t="n"/>
      <c r="DZ131" s="377" t="n"/>
      <c r="EA131" s="377" t="n"/>
      <c r="EB131" s="378" t="n"/>
    </row>
    <row r="132" ht="9" customHeight="1" s="337">
      <c r="B132" s="350" t="n"/>
      <c r="C132" s="338" t="n"/>
      <c r="D132" s="380" t="n"/>
      <c r="E132" s="381" t="n"/>
      <c r="F132" s="122" t="inlineStr">
        <is>
          <t>～</t>
        </is>
      </c>
      <c r="G132" s="22" t="n"/>
      <c r="H132" s="381" t="n"/>
      <c r="I132" s="122" t="inlineStr">
        <is>
          <t>～</t>
        </is>
      </c>
      <c r="J132" s="22" t="n"/>
      <c r="K132" s="381" t="n"/>
      <c r="L132" s="122" t="inlineStr">
        <is>
          <t>～</t>
        </is>
      </c>
      <c r="M132" s="22" t="n"/>
      <c r="N132" s="381" t="n"/>
      <c r="O132" s="122" t="inlineStr">
        <is>
          <t>～</t>
        </is>
      </c>
      <c r="P132" s="22" t="n"/>
      <c r="Q132" s="382" t="n"/>
      <c r="R132" s="338" t="n"/>
      <c r="S132" s="446" t="n"/>
      <c r="T132" s="382" t="n"/>
      <c r="U132" s="338" t="n"/>
      <c r="V132" s="380" t="n"/>
      <c r="W132" s="382" t="n"/>
      <c r="X132" s="338" t="n"/>
      <c r="Y132" s="338" t="n"/>
      <c r="Z132" s="338" t="n"/>
      <c r="AA132" s="338" t="n"/>
      <c r="AB132" s="338" t="n"/>
      <c r="AC132" s="338" t="n"/>
      <c r="AD132" s="338" t="n"/>
      <c r="AE132" s="338" t="n"/>
      <c r="AF132" s="338" t="n"/>
      <c r="AG132" s="338" t="n"/>
      <c r="AH132" s="338" t="n"/>
      <c r="AI132" s="338" t="n"/>
      <c r="AJ132" s="338" t="n"/>
      <c r="AK132" s="338" t="n"/>
      <c r="AL132" s="338" t="n"/>
      <c r="AM132" s="338" t="n"/>
      <c r="AN132" s="338" t="n"/>
      <c r="AO132" s="338" t="n"/>
      <c r="AP132" s="338" t="n"/>
      <c r="AQ132" s="338" t="n"/>
      <c r="AR132" s="338" t="n"/>
      <c r="AS132" s="338" t="n"/>
      <c r="AT132" s="338" t="n"/>
      <c r="AU132" s="338" t="n"/>
      <c r="AV132" s="338" t="n"/>
      <c r="AW132" s="338" t="n"/>
      <c r="AX132" s="338" t="n"/>
      <c r="AY132" s="338" t="n"/>
      <c r="AZ132" s="338" t="n"/>
      <c r="BA132" s="338" t="n"/>
      <c r="BB132" s="338" t="n"/>
      <c r="BC132" s="338" t="n"/>
      <c r="BD132" s="338" t="n"/>
      <c r="BE132" s="338" t="n"/>
      <c r="BF132" s="338" t="n"/>
      <c r="BG132" s="338" t="n"/>
      <c r="BH132" s="338" t="n"/>
      <c r="BI132" s="338" t="n"/>
      <c r="BJ132" s="338" t="n"/>
      <c r="BK132" s="338" t="n"/>
      <c r="BL132" s="338" t="n"/>
      <c r="BM132" s="338" t="n"/>
      <c r="BN132" s="338" t="n"/>
      <c r="BO132" s="338" t="n"/>
      <c r="BP132" s="338" t="n"/>
      <c r="BQ132" s="338" t="n"/>
      <c r="BR132" s="338" t="n"/>
      <c r="BS132" s="338" t="n"/>
      <c r="BT132" s="338" t="n"/>
      <c r="BU132" s="338" t="n"/>
      <c r="BV132" s="338" t="n"/>
      <c r="BW132" s="338" t="n"/>
      <c r="BX132" s="338" t="n"/>
      <c r="BY132" s="338" t="n"/>
      <c r="BZ132" s="338" t="n"/>
      <c r="CA132" s="338" t="n"/>
      <c r="CB132" s="338" t="n"/>
      <c r="CC132" s="383" t="n"/>
      <c r="CF132" s="253" t="inlineStr">
        <is>
          <t>時間内</t>
        </is>
      </c>
      <c r="CG132" s="384" t="n"/>
      <c r="CH132" s="384" t="n"/>
      <c r="CI132" s="385" t="n"/>
      <c r="CJ132" s="386">
        <f>IF(Q131="作業者1",H134-H131,0)</f>
        <v/>
      </c>
      <c r="CK132" s="387" t="n"/>
      <c r="CL132" s="387" t="n"/>
      <c r="CM132" s="387" t="n"/>
      <c r="CN132" s="388" t="n"/>
      <c r="CP132" s="253" t="inlineStr">
        <is>
          <t>時間内</t>
        </is>
      </c>
      <c r="CQ132" s="384" t="n"/>
      <c r="CR132" s="384" t="n"/>
      <c r="CS132" s="385" t="n"/>
      <c r="CT132" s="386">
        <f>IF(Q131="作業者2",H134-H131,0)</f>
        <v/>
      </c>
      <c r="CU132" s="387" t="n"/>
      <c r="CV132" s="387" t="n"/>
      <c r="CW132" s="387" t="n"/>
      <c r="CX132" s="388" t="n"/>
      <c r="CZ132" s="253" t="inlineStr">
        <is>
          <t>時間内</t>
        </is>
      </c>
      <c r="DA132" s="384" t="n"/>
      <c r="DB132" s="384" t="n"/>
      <c r="DC132" s="385" t="n"/>
      <c r="DD132" s="386">
        <f>IF(Q131="作業者3",H134-H131,0)</f>
        <v/>
      </c>
      <c r="DE132" s="387" t="n"/>
      <c r="DF132" s="387" t="n"/>
      <c r="DG132" s="387" t="n"/>
      <c r="DH132" s="388" t="n"/>
      <c r="DJ132" s="253" t="inlineStr">
        <is>
          <t>時間内</t>
        </is>
      </c>
      <c r="DK132" s="384" t="n"/>
      <c r="DL132" s="384" t="n"/>
      <c r="DM132" s="385" t="n"/>
      <c r="DN132" s="386">
        <f>IF(Q131="作業者4",H134-H131,0)</f>
        <v/>
      </c>
      <c r="DO132" s="387" t="n"/>
      <c r="DP132" s="387" t="n"/>
      <c r="DQ132" s="387" t="n"/>
      <c r="DR132" s="388" t="n"/>
      <c r="DT132" s="253" t="inlineStr">
        <is>
          <t>時間内</t>
        </is>
      </c>
      <c r="DU132" s="384" t="n"/>
      <c r="DV132" s="384" t="n"/>
      <c r="DW132" s="385" t="n"/>
      <c r="DX132" s="386">
        <f>IF(Q131="作業者5",H134-H131,0)</f>
        <v/>
      </c>
      <c r="DY132" s="387" t="n"/>
      <c r="DZ132" s="387" t="n"/>
      <c r="EA132" s="387" t="n"/>
      <c r="EB132" s="388" t="n"/>
    </row>
    <row r="133" ht="9" customHeight="1" s="337">
      <c r="B133" s="350" t="n"/>
      <c r="C133" s="338" t="n"/>
      <c r="D133" s="380" t="n"/>
      <c r="E133" s="23" t="n"/>
      <c r="F133" s="338" t="n"/>
      <c r="G133" s="24" t="n"/>
      <c r="H133" s="23" t="n"/>
      <c r="I133" s="338" t="n"/>
      <c r="J133" s="24" t="n"/>
      <c r="K133" s="23" t="n"/>
      <c r="L133" s="338" t="n"/>
      <c r="M133" s="24" t="n"/>
      <c r="N133" s="23" t="n"/>
      <c r="O133" s="338" t="n"/>
      <c r="P133" s="24" t="n"/>
      <c r="Q133" s="382" t="n"/>
      <c r="R133" s="338" t="n"/>
      <c r="S133" s="446" t="n"/>
      <c r="T133" s="382" t="n"/>
      <c r="U133" s="338" t="n"/>
      <c r="V133" s="380" t="n"/>
      <c r="W133" s="382" t="n"/>
      <c r="X133" s="338" t="n"/>
      <c r="Y133" s="338" t="n"/>
      <c r="Z133" s="338" t="n"/>
      <c r="AA133" s="338" t="n"/>
      <c r="AB133" s="338" t="n"/>
      <c r="AC133" s="338" t="n"/>
      <c r="AD133" s="338" t="n"/>
      <c r="AE133" s="338" t="n"/>
      <c r="AF133" s="338" t="n"/>
      <c r="AG133" s="338" t="n"/>
      <c r="AH133" s="338" t="n"/>
      <c r="AI133" s="338" t="n"/>
      <c r="AJ133" s="338" t="n"/>
      <c r="AK133" s="338" t="n"/>
      <c r="AL133" s="338" t="n"/>
      <c r="AM133" s="338" t="n"/>
      <c r="AN133" s="338" t="n"/>
      <c r="AO133" s="338" t="n"/>
      <c r="AP133" s="338" t="n"/>
      <c r="AQ133" s="338" t="n"/>
      <c r="AR133" s="338" t="n"/>
      <c r="AS133" s="338" t="n"/>
      <c r="AT133" s="338" t="n"/>
      <c r="AU133" s="338" t="n"/>
      <c r="AV133" s="338" t="n"/>
      <c r="AW133" s="338" t="n"/>
      <c r="AX133" s="338" t="n"/>
      <c r="AY133" s="338" t="n"/>
      <c r="AZ133" s="338" t="n"/>
      <c r="BA133" s="338" t="n"/>
      <c r="BB133" s="338" t="n"/>
      <c r="BC133" s="338" t="n"/>
      <c r="BD133" s="338" t="n"/>
      <c r="BE133" s="338" t="n"/>
      <c r="BF133" s="338" t="n"/>
      <c r="BG133" s="338" t="n"/>
      <c r="BH133" s="338" t="n"/>
      <c r="BI133" s="338" t="n"/>
      <c r="BJ133" s="338" t="n"/>
      <c r="BK133" s="338" t="n"/>
      <c r="BL133" s="338" t="n"/>
      <c r="BM133" s="338" t="n"/>
      <c r="BN133" s="338" t="n"/>
      <c r="BO133" s="338" t="n"/>
      <c r="BP133" s="338" t="n"/>
      <c r="BQ133" s="338" t="n"/>
      <c r="BR133" s="338" t="n"/>
      <c r="BS133" s="338" t="n"/>
      <c r="BT133" s="338" t="n"/>
      <c r="BU133" s="338" t="n"/>
      <c r="BV133" s="338" t="n"/>
      <c r="BW133" s="338" t="n"/>
      <c r="BX133" s="338" t="n"/>
      <c r="BY133" s="338" t="n"/>
      <c r="BZ133" s="338" t="n"/>
      <c r="CA133" s="338" t="n"/>
      <c r="CB133" s="338" t="n"/>
      <c r="CC133" s="383" t="n"/>
      <c r="CF133" s="253" t="inlineStr">
        <is>
          <t>時間外</t>
        </is>
      </c>
      <c r="CG133" s="384" t="n"/>
      <c r="CH133" s="384" t="n"/>
      <c r="CI133" s="385" t="n"/>
      <c r="CJ133" s="386">
        <f>IF(Q131="作業者1",K134-K131,0)</f>
        <v/>
      </c>
      <c r="CK133" s="387" t="n"/>
      <c r="CL133" s="387" t="n"/>
      <c r="CM133" s="387" t="n"/>
      <c r="CN133" s="388" t="n"/>
      <c r="CP133" s="253" t="inlineStr">
        <is>
          <t>時間外</t>
        </is>
      </c>
      <c r="CQ133" s="384" t="n"/>
      <c r="CR133" s="384" t="n"/>
      <c r="CS133" s="385" t="n"/>
      <c r="CT133" s="386">
        <f>IF(Q131="作業者2",K134-K131,0)</f>
        <v/>
      </c>
      <c r="CU133" s="387" t="n"/>
      <c r="CV133" s="387" t="n"/>
      <c r="CW133" s="387" t="n"/>
      <c r="CX133" s="388" t="n"/>
      <c r="CZ133" s="253" t="inlineStr">
        <is>
          <t>時間外</t>
        </is>
      </c>
      <c r="DA133" s="384" t="n"/>
      <c r="DB133" s="384" t="n"/>
      <c r="DC133" s="385" t="n"/>
      <c r="DD133" s="386">
        <f>IF(Q131="作業者3",K134-K131,0)</f>
        <v/>
      </c>
      <c r="DE133" s="387" t="n"/>
      <c r="DF133" s="387" t="n"/>
      <c r="DG133" s="387" t="n"/>
      <c r="DH133" s="388" t="n"/>
      <c r="DJ133" s="253" t="inlineStr">
        <is>
          <t>時間外</t>
        </is>
      </c>
      <c r="DK133" s="384" t="n"/>
      <c r="DL133" s="384" t="n"/>
      <c r="DM133" s="385" t="n"/>
      <c r="DN133" s="386">
        <f>IF(Q131="作業者4",K134-K131,0)</f>
        <v/>
      </c>
      <c r="DO133" s="387" t="n"/>
      <c r="DP133" s="387" t="n"/>
      <c r="DQ133" s="387" t="n"/>
      <c r="DR133" s="388" t="n"/>
      <c r="DT133" s="253" t="inlineStr">
        <is>
          <t>時間外</t>
        </is>
      </c>
      <c r="DU133" s="384" t="n"/>
      <c r="DV133" s="384" t="n"/>
      <c r="DW133" s="385" t="n"/>
      <c r="DX133" s="386">
        <f>IF(Q131="作業者5",K134-K131,0)</f>
        <v/>
      </c>
      <c r="DY133" s="387" t="n"/>
      <c r="DZ133" s="387" t="n"/>
      <c r="EA133" s="387" t="n"/>
      <c r="EB133" s="388" t="n"/>
    </row>
    <row r="134" ht="9" customHeight="1" s="337">
      <c r="B134" s="353" t="n"/>
      <c r="C134" s="339" t="n"/>
      <c r="D134" s="364" t="n"/>
      <c r="E134" s="412" t="n"/>
      <c r="F134" s="339" t="n"/>
      <c r="G134" s="364" t="n"/>
      <c r="H134" s="412" t="n"/>
      <c r="I134" s="339" t="n"/>
      <c r="J134" s="364" t="n"/>
      <c r="K134" s="412" t="n"/>
      <c r="L134" s="339" t="n"/>
      <c r="M134" s="364" t="n"/>
      <c r="N134" s="412" t="n"/>
      <c r="O134" s="339" t="n"/>
      <c r="P134" s="364" t="n"/>
      <c r="Q134" s="393" t="n"/>
      <c r="R134" s="390" t="n"/>
      <c r="S134" s="447" t="n"/>
      <c r="T134" s="365" t="n"/>
      <c r="U134" s="339" t="n"/>
      <c r="V134" s="364" t="n"/>
      <c r="W134" s="393" t="n"/>
      <c r="X134" s="390" t="n"/>
      <c r="Y134" s="390" t="n"/>
      <c r="Z134" s="390" t="n"/>
      <c r="AA134" s="390" t="n"/>
      <c r="AB134" s="390" t="n"/>
      <c r="AC134" s="390" t="n"/>
      <c r="AD134" s="390" t="n"/>
      <c r="AE134" s="390" t="n"/>
      <c r="AF134" s="390" t="n"/>
      <c r="AG134" s="390" t="n"/>
      <c r="AH134" s="390" t="n"/>
      <c r="AI134" s="390" t="n"/>
      <c r="AJ134" s="390" t="n"/>
      <c r="AK134" s="390" t="n"/>
      <c r="AL134" s="390" t="n"/>
      <c r="AM134" s="390" t="n"/>
      <c r="AN134" s="390" t="n"/>
      <c r="AO134" s="390" t="n"/>
      <c r="AP134" s="390" t="n"/>
      <c r="AQ134" s="390" t="n"/>
      <c r="AR134" s="390" t="n"/>
      <c r="AS134" s="390" t="n"/>
      <c r="AT134" s="390" t="n"/>
      <c r="AU134" s="390" t="n"/>
      <c r="AV134" s="390" t="n"/>
      <c r="AW134" s="390" t="n"/>
      <c r="AX134" s="390" t="n"/>
      <c r="AY134" s="390" t="n"/>
      <c r="AZ134" s="390" t="n"/>
      <c r="BA134" s="390" t="n"/>
      <c r="BB134" s="390" t="n"/>
      <c r="BC134" s="390" t="n"/>
      <c r="BD134" s="390" t="n"/>
      <c r="BE134" s="390" t="n"/>
      <c r="BF134" s="390" t="n"/>
      <c r="BG134" s="390" t="n"/>
      <c r="BH134" s="390" t="n"/>
      <c r="BI134" s="390" t="n"/>
      <c r="BJ134" s="390" t="n"/>
      <c r="BK134" s="390" t="n"/>
      <c r="BL134" s="390" t="n"/>
      <c r="BM134" s="390" t="n"/>
      <c r="BN134" s="390" t="n"/>
      <c r="BO134" s="390" t="n"/>
      <c r="BP134" s="390" t="n"/>
      <c r="BQ134" s="390" t="n"/>
      <c r="BR134" s="390" t="n"/>
      <c r="BS134" s="390" t="n"/>
      <c r="BT134" s="390" t="n"/>
      <c r="BU134" s="390" t="n"/>
      <c r="BV134" s="390" t="n"/>
      <c r="BW134" s="390" t="n"/>
      <c r="BX134" s="390" t="n"/>
      <c r="BY134" s="390" t="n"/>
      <c r="BZ134" s="390" t="n"/>
      <c r="CA134" s="390" t="n"/>
      <c r="CB134" s="390" t="n"/>
      <c r="CC134" s="394" t="n"/>
      <c r="CF134" s="254" t="inlineStr">
        <is>
          <t>休日</t>
        </is>
      </c>
      <c r="CG134" s="395" t="n"/>
      <c r="CH134" s="395" t="n"/>
      <c r="CI134" s="396" t="n"/>
      <c r="CJ134" s="397">
        <f>IF(Q131="作業者1",N134-N131,0)</f>
        <v/>
      </c>
      <c r="CK134" s="395" t="n"/>
      <c r="CL134" s="395" t="n"/>
      <c r="CM134" s="395" t="n"/>
      <c r="CN134" s="396" t="n"/>
      <c r="CP134" s="254" t="inlineStr">
        <is>
          <t>休日</t>
        </is>
      </c>
      <c r="CQ134" s="395" t="n"/>
      <c r="CR134" s="395" t="n"/>
      <c r="CS134" s="396" t="n"/>
      <c r="CT134" s="397">
        <f>IF(Q131="作業者2",N134-N131,0)</f>
        <v/>
      </c>
      <c r="CU134" s="395" t="n"/>
      <c r="CV134" s="395" t="n"/>
      <c r="CW134" s="395" t="n"/>
      <c r="CX134" s="396" t="n"/>
      <c r="CZ134" s="254" t="inlineStr">
        <is>
          <t>休日</t>
        </is>
      </c>
      <c r="DA134" s="395" t="n"/>
      <c r="DB134" s="395" t="n"/>
      <c r="DC134" s="396" t="n"/>
      <c r="DD134" s="397">
        <f>IF(Q131="作業者3",N134-N131,0)</f>
        <v/>
      </c>
      <c r="DE134" s="395" t="n"/>
      <c r="DF134" s="395" t="n"/>
      <c r="DG134" s="395" t="n"/>
      <c r="DH134" s="396" t="n"/>
      <c r="DJ134" s="254" t="inlineStr">
        <is>
          <t>休日</t>
        </is>
      </c>
      <c r="DK134" s="395" t="n"/>
      <c r="DL134" s="395" t="n"/>
      <c r="DM134" s="396" t="n"/>
      <c r="DN134" s="397">
        <f>IF(Q131="作業者4",N134-N131,0)</f>
        <v/>
      </c>
      <c r="DO134" s="395" t="n"/>
      <c r="DP134" s="395" t="n"/>
      <c r="DQ134" s="395" t="n"/>
      <c r="DR134" s="396" t="n"/>
      <c r="DT134" s="254" t="inlineStr">
        <is>
          <t>休日</t>
        </is>
      </c>
      <c r="DU134" s="395" t="n"/>
      <c r="DV134" s="395" t="n"/>
      <c r="DW134" s="396" t="n"/>
      <c r="DX134" s="397">
        <f>IF(Q131="作業者5",N134-N131,0)</f>
        <v/>
      </c>
      <c r="DY134" s="395" t="n"/>
      <c r="DZ134" s="395" t="n"/>
      <c r="EA134" s="395" t="n"/>
      <c r="EB134" s="396" t="n"/>
    </row>
    <row r="135" ht="9" customHeight="1" s="337">
      <c r="B135" s="424" t="n"/>
      <c r="C135" s="424" t="n"/>
      <c r="D135" s="424" t="n"/>
      <c r="E135" s="425" t="n"/>
      <c r="F135" s="11" t="n"/>
      <c r="G135" s="11" t="n"/>
      <c r="H135" s="425" t="n"/>
      <c r="I135" s="11" t="n"/>
      <c r="J135" s="11" t="n"/>
      <c r="K135" s="425" t="n"/>
      <c r="L135" s="11" t="n"/>
      <c r="M135" s="11" t="n"/>
      <c r="N135" s="425" t="n"/>
      <c r="O135" s="11" t="n"/>
      <c r="P135" s="11" t="n"/>
      <c r="Q135" s="8" t="n"/>
      <c r="R135" s="8" t="n"/>
      <c r="S135" s="8" t="n"/>
      <c r="T135" s="12" t="n"/>
      <c r="U135" s="12" t="n"/>
      <c r="V135" s="12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  <c r="BP135" s="14" t="n"/>
      <c r="BQ135" s="14" t="n"/>
      <c r="BR135" s="14" t="n"/>
      <c r="BS135" s="14" t="n"/>
      <c r="BT135" s="14" t="n"/>
      <c r="BU135" s="14" t="n"/>
      <c r="BV135" s="14" t="n"/>
      <c r="BW135" s="14" t="n"/>
      <c r="BX135" s="14" t="n"/>
      <c r="BY135" s="14" t="n"/>
      <c r="BZ135" s="14" t="n"/>
      <c r="CA135" s="415" t="n"/>
      <c r="CB135" s="87" t="n"/>
      <c r="CC135" s="87" t="n"/>
      <c r="CD135" s="87" t="n"/>
      <c r="CE135" s="416" t="n"/>
      <c r="CF135" s="34" t="n"/>
      <c r="CG135" s="34" t="n"/>
    </row>
    <row r="136" ht="14.45" customHeight="1" s="337">
      <c r="G136" s="312" t="inlineStr">
        <is>
          <t>早出(始)</t>
        </is>
      </c>
      <c r="H136" s="377" t="n"/>
      <c r="I136" s="377" t="n"/>
      <c r="J136" s="378" t="n"/>
      <c r="K136" s="303" t="n">
        <v>0.0006944444444444445</v>
      </c>
      <c r="L136" s="377" t="n"/>
      <c r="M136" s="378" t="n"/>
      <c r="Q136" s="426" t="inlineStr">
        <is>
          <t>作業者</t>
        </is>
      </c>
      <c r="R136" s="427" t="n"/>
      <c r="S136" s="428" t="n"/>
      <c r="BP136" s="16" t="n"/>
      <c r="BQ136" s="87" t="n"/>
      <c r="BR136" s="87" t="n"/>
      <c r="BS136" s="87" t="n"/>
      <c r="BT136" s="87" t="n"/>
      <c r="BU136" s="87" t="n"/>
      <c r="BV136" s="87" t="n"/>
      <c r="BW136" s="449" t="inlineStr">
        <is>
          <t>合計</t>
        </is>
      </c>
      <c r="BX136" s="362" t="n"/>
      <c r="BY136" s="362" t="n"/>
      <c r="BZ136" s="362" t="n"/>
      <c r="CA136" s="362" t="n"/>
      <c r="CB136" s="362" t="n"/>
      <c r="CC136" s="363" t="n"/>
      <c r="CD136" s="450" t="n"/>
      <c r="CE136" s="451" t="n"/>
      <c r="CF136" s="431" t="inlineStr">
        <is>
          <t>合計（作業者1）</t>
        </is>
      </c>
      <c r="CG136" s="362" t="n"/>
      <c r="CH136" s="362" t="n"/>
      <c r="CI136" s="362" t="n"/>
      <c r="CJ136" s="362" t="n"/>
      <c r="CK136" s="362" t="n"/>
      <c r="CL136" s="362" t="n"/>
      <c r="CM136" s="362" t="n"/>
      <c r="CN136" s="363" t="n"/>
      <c r="CP136" s="431" t="inlineStr">
        <is>
          <t>合計（作業者2）</t>
        </is>
      </c>
      <c r="CQ136" s="362" t="n"/>
      <c r="CR136" s="362" t="n"/>
      <c r="CS136" s="362" t="n"/>
      <c r="CT136" s="362" t="n"/>
      <c r="CU136" s="362" t="n"/>
      <c r="CV136" s="362" t="n"/>
      <c r="CW136" s="362" t="n"/>
      <c r="CX136" s="363" t="n"/>
      <c r="CZ136" s="431" t="inlineStr">
        <is>
          <t>合計（作業者3）</t>
        </is>
      </c>
      <c r="DA136" s="362" t="n"/>
      <c r="DB136" s="362" t="n"/>
      <c r="DC136" s="362" t="n"/>
      <c r="DD136" s="362" t="n"/>
      <c r="DE136" s="362" t="n"/>
      <c r="DF136" s="362" t="n"/>
      <c r="DG136" s="362" t="n"/>
      <c r="DH136" s="363" t="n"/>
      <c r="DJ136" s="431" t="inlineStr">
        <is>
          <t>合計（作業者4）</t>
        </is>
      </c>
      <c r="DK136" s="362" t="n"/>
      <c r="DL136" s="362" t="n"/>
      <c r="DM136" s="362" t="n"/>
      <c r="DN136" s="362" t="n"/>
      <c r="DO136" s="362" t="n"/>
      <c r="DP136" s="362" t="n"/>
      <c r="DQ136" s="362" t="n"/>
      <c r="DR136" s="363" t="n"/>
      <c r="DT136" s="431" t="inlineStr">
        <is>
          <t>合計（作業者5）</t>
        </is>
      </c>
      <c r="DU136" s="362" t="n"/>
      <c r="DV136" s="362" t="n"/>
      <c r="DW136" s="362" t="n"/>
      <c r="DX136" s="362" t="n"/>
      <c r="DY136" s="362" t="n"/>
      <c r="DZ136" s="362" t="n"/>
      <c r="EA136" s="362" t="n"/>
      <c r="EB136" s="363" t="n"/>
    </row>
    <row r="137" ht="13.5" customHeight="1" s="337">
      <c r="C137" s="13" t="n"/>
      <c r="G137" s="313" t="inlineStr">
        <is>
          <t>早出(終)</t>
        </is>
      </c>
      <c r="H137" s="384" t="n"/>
      <c r="I137" s="384" t="n"/>
      <c r="J137" s="385" t="n"/>
      <c r="K137" s="306" t="n">
        <v>0.3333333333333333</v>
      </c>
      <c r="L137" s="387" t="n"/>
      <c r="M137" s="388" t="n"/>
      <c r="Q137" s="36" t="inlineStr">
        <is>
          <t>作業者1</t>
        </is>
      </c>
      <c r="R137" s="99" t="n"/>
      <c r="S137" s="100" t="n"/>
      <c r="BP137" s="16" t="n"/>
      <c r="BQ137" s="87" t="n"/>
      <c r="BR137" s="87" t="n"/>
      <c r="BS137" s="87" t="n"/>
      <c r="BT137" s="87" t="n"/>
      <c r="BU137" s="87" t="n"/>
      <c r="BV137" s="87" t="n"/>
      <c r="BW137" s="366" t="n"/>
      <c r="BX137" s="367" t="n"/>
      <c r="BY137" s="367" t="n"/>
      <c r="BZ137" s="367" t="n"/>
      <c r="CA137" s="367" t="n"/>
      <c r="CB137" s="367" t="n"/>
      <c r="CC137" s="368" t="n"/>
      <c r="CD137" s="450" t="n"/>
      <c r="CE137" s="451" t="n"/>
      <c r="CF137" s="366" t="n"/>
      <c r="CG137" s="367" t="n"/>
      <c r="CH137" s="367" t="n"/>
      <c r="CI137" s="367" t="n"/>
      <c r="CJ137" s="367" t="n"/>
      <c r="CK137" s="367" t="n"/>
      <c r="CL137" s="367" t="n"/>
      <c r="CM137" s="367" t="n"/>
      <c r="CN137" s="368" t="n"/>
      <c r="CP137" s="366" t="n"/>
      <c r="CQ137" s="367" t="n"/>
      <c r="CR137" s="367" t="n"/>
      <c r="CS137" s="367" t="n"/>
      <c r="CT137" s="367" t="n"/>
      <c r="CU137" s="367" t="n"/>
      <c r="CV137" s="367" t="n"/>
      <c r="CW137" s="367" t="n"/>
      <c r="CX137" s="368" t="n"/>
      <c r="CZ137" s="366" t="n"/>
      <c r="DA137" s="367" t="n"/>
      <c r="DB137" s="367" t="n"/>
      <c r="DC137" s="367" t="n"/>
      <c r="DD137" s="367" t="n"/>
      <c r="DE137" s="367" t="n"/>
      <c r="DF137" s="367" t="n"/>
      <c r="DG137" s="367" t="n"/>
      <c r="DH137" s="368" t="n"/>
      <c r="DJ137" s="366" t="n"/>
      <c r="DK137" s="367" t="n"/>
      <c r="DL137" s="367" t="n"/>
      <c r="DM137" s="367" t="n"/>
      <c r="DN137" s="367" t="n"/>
      <c r="DO137" s="367" t="n"/>
      <c r="DP137" s="367" t="n"/>
      <c r="DQ137" s="367" t="n"/>
      <c r="DR137" s="368" t="n"/>
      <c r="DT137" s="366" t="n"/>
      <c r="DU137" s="367" t="n"/>
      <c r="DV137" s="367" t="n"/>
      <c r="DW137" s="367" t="n"/>
      <c r="DX137" s="367" t="n"/>
      <c r="DY137" s="367" t="n"/>
      <c r="DZ137" s="367" t="n"/>
      <c r="EA137" s="367" t="n"/>
      <c r="EB137" s="368" t="n"/>
    </row>
    <row r="138" ht="12" customHeight="1" s="337">
      <c r="C138" s="13" t="n"/>
      <c r="G138" s="313" t="inlineStr">
        <is>
          <t>時間外(始)</t>
        </is>
      </c>
      <c r="H138" s="384" t="n"/>
      <c r="I138" s="384" t="n"/>
      <c r="J138" s="385" t="n"/>
      <c r="K138" s="306" t="n">
        <v>0.7083333333333334</v>
      </c>
      <c r="L138" s="387" t="n"/>
      <c r="M138" s="388" t="n"/>
      <c r="Q138" s="38" t="inlineStr">
        <is>
          <t>作業者2</t>
        </is>
      </c>
      <c r="R138" s="78" t="n"/>
      <c r="S138" s="79" t="n"/>
      <c r="BP138" s="16" t="n"/>
      <c r="BQ138" s="87" t="n"/>
      <c r="BR138" s="87" t="n"/>
      <c r="BS138" s="87" t="n"/>
      <c r="BT138" s="87" t="n"/>
      <c r="BU138" s="87" t="n"/>
      <c r="BV138" s="87" t="n"/>
      <c r="BW138" s="452" t="inlineStr">
        <is>
          <t>移動</t>
        </is>
      </c>
      <c r="BX138" s="453" t="n"/>
      <c r="BY138" s="453" t="n"/>
      <c r="BZ138" s="454">
        <f>CJ138+CT138+DD138+DN138+DX138</f>
        <v/>
      </c>
      <c r="CA138" s="453" t="n"/>
      <c r="CB138" s="453" t="n"/>
      <c r="CC138" s="455" t="n"/>
      <c r="CD138" s="456" t="n"/>
      <c r="CE138" s="451" t="n"/>
      <c r="CF138" s="259" t="inlineStr">
        <is>
          <t>移動</t>
        </is>
      </c>
      <c r="CG138" s="403" t="n"/>
      <c r="CH138" s="403" t="n"/>
      <c r="CI138" s="404" t="n"/>
      <c r="CJ138" s="405">
        <f>CJ4+CJ8+CJ12+CJ16+CJ20+CJ24+CJ28+CJ32+CJ36+CJ40+CJ44+CJ48+CJ52+CJ56+CJ60+CJ64+CJ71+CJ75+CJ79+CJ83+CJ87+CJ91+CJ95+CJ99+CJ103+CJ107+CJ111+CJ115+CJ119+CJ123+CJ127+CJ131</f>
        <v/>
      </c>
      <c r="CK138" s="406" t="n"/>
      <c r="CL138" s="406" t="n"/>
      <c r="CM138" s="406" t="n"/>
      <c r="CN138" s="407" t="n"/>
      <c r="CP138" s="259" t="inlineStr">
        <is>
          <t>移動</t>
        </is>
      </c>
      <c r="CQ138" s="403" t="n"/>
      <c r="CR138" s="403" t="n"/>
      <c r="CS138" s="404" t="n"/>
      <c r="CT138" s="405">
        <f>CT4+CT8+CT12+CT16+CT20+CT24+CT28+CT32+CT36+CT40+CT44+CT48+CT52+CT56+CT60+CT64+CT71+CT75+CT79+CT83+CT87+CT91+CT95+CT99+CT103+CT107+CT111+CT115+CT119+CT123+CT127+CT131</f>
        <v/>
      </c>
      <c r="CU138" s="406" t="n"/>
      <c r="CV138" s="406" t="n"/>
      <c r="CW138" s="406" t="n"/>
      <c r="CX138" s="407" t="n"/>
      <c r="CZ138" s="259" t="inlineStr">
        <is>
          <t>移動</t>
        </is>
      </c>
      <c r="DA138" s="403" t="n"/>
      <c r="DB138" s="403" t="n"/>
      <c r="DC138" s="404" t="n"/>
      <c r="DD138" s="405">
        <f>DD4+DD8+DD12+DD16+DD20+DD24+DD28+DD32+DD36+DD40+DD44+DD48+DD52+DD56+DD60+DD64+DD71+DD75+DD79+DD83+DD87+DD91+DD95+DD99+DD103+DD107+DD111+DD115+DD119+DD123+DD127+DD131</f>
        <v/>
      </c>
      <c r="DE138" s="406" t="n"/>
      <c r="DF138" s="406" t="n"/>
      <c r="DG138" s="406" t="n"/>
      <c r="DH138" s="407" t="n"/>
      <c r="DJ138" s="259" t="inlineStr">
        <is>
          <t>移動</t>
        </is>
      </c>
      <c r="DK138" s="403" t="n"/>
      <c r="DL138" s="403" t="n"/>
      <c r="DM138" s="404" t="n"/>
      <c r="DN138" s="405">
        <f>DN4+DN8+DN12+DN16+DN20+DN24+DN28+DN32+DN36+DN40+DN44+DN48+DN52+DN56+DN60+DN64+DN71+DN75+DN79+DN83+DN87+DN91+DN95+DN99+DN103+DN107+DN111+DN115+DN119+DN123+DN127+DN131</f>
        <v/>
      </c>
      <c r="DO138" s="406" t="n"/>
      <c r="DP138" s="406" t="n"/>
      <c r="DQ138" s="406" t="n"/>
      <c r="DR138" s="407" t="n"/>
      <c r="DT138" s="259" t="inlineStr">
        <is>
          <t>移動</t>
        </is>
      </c>
      <c r="DU138" s="403" t="n"/>
      <c r="DV138" s="403" t="n"/>
      <c r="DW138" s="404" t="n"/>
      <c r="DX138" s="405">
        <f>DX4+DX8+DX12+DX16+DX20+DX24+DX28+DX32+DX36+DX40+DX44+DX48+DX52+DX56+DX60+DX64+DX71+DX75+DX79+DX83+DX87+DX91+DX95+DX99+DX103+DX107+DX111+DX115+DX119+DX123+DX127+DX131</f>
        <v/>
      </c>
      <c r="DY138" s="406" t="n"/>
      <c r="DZ138" s="406" t="n"/>
      <c r="EA138" s="406" t="n"/>
      <c r="EB138" s="407" t="n"/>
    </row>
    <row r="139" ht="12" customHeight="1" s="337">
      <c r="C139" s="13" t="n"/>
      <c r="G139" s="42" t="inlineStr">
        <is>
          <t>時間外(終)</t>
        </is>
      </c>
      <c r="H139" s="43" t="n"/>
      <c r="I139" s="43" t="n"/>
      <c r="J139" s="43" t="n"/>
      <c r="K139" s="309" t="n">
        <v>0.9993055555555556</v>
      </c>
      <c r="L139" s="395" t="n"/>
      <c r="M139" s="396" t="n"/>
      <c r="Q139" s="52" t="inlineStr">
        <is>
          <t>作業者3</t>
        </is>
      </c>
      <c r="R139" s="53" t="n"/>
      <c r="S139" s="54" t="n"/>
      <c r="BP139" s="16" t="n"/>
      <c r="BQ139" s="87" t="n"/>
      <c r="BR139" s="87" t="n"/>
      <c r="BS139" s="87" t="n"/>
      <c r="BT139" s="87" t="n"/>
      <c r="BU139" s="87" t="n"/>
      <c r="BV139" s="87" t="n"/>
      <c r="BW139" s="457" t="inlineStr">
        <is>
          <t>時間内</t>
        </is>
      </c>
      <c r="BX139" s="384" t="n"/>
      <c r="BY139" s="384" t="n"/>
      <c r="BZ139" s="458">
        <f>CJ139+CT139+DD139+DN139+DX139</f>
        <v/>
      </c>
      <c r="CA139" s="384" t="n"/>
      <c r="CB139" s="384" t="n"/>
      <c r="CC139" s="459" t="n"/>
      <c r="CD139" s="456" t="n"/>
      <c r="CE139" s="451" t="n"/>
      <c r="CF139" s="253" t="inlineStr">
        <is>
          <t>時間内</t>
        </is>
      </c>
      <c r="CG139" s="384" t="n"/>
      <c r="CH139" s="384" t="n"/>
      <c r="CI139" s="385" t="n"/>
      <c r="CJ139" s="386">
        <f>CJ5+CJ9+CJ13+CJ17+CJ21+CJ25+CJ29+CJ33+CJ37+CJ41+CJ45+CJ49+CJ53+CJ57+CJ61+CJ65+CJ72+CJ76+CJ80+CJ84+CJ88+CJ92+CJ96+CJ100+CJ104+CJ108+CJ112+CJ116+CJ120+CJ124+CJ128+CJ132</f>
        <v/>
      </c>
      <c r="CK139" s="387" t="n"/>
      <c r="CL139" s="387" t="n"/>
      <c r="CM139" s="387" t="n"/>
      <c r="CN139" s="388" t="n"/>
      <c r="CP139" s="253" t="inlineStr">
        <is>
          <t>時間内</t>
        </is>
      </c>
      <c r="CQ139" s="384" t="n"/>
      <c r="CR139" s="384" t="n"/>
      <c r="CS139" s="385" t="n"/>
      <c r="CT139" s="386">
        <f>CT5+CT9+CT13+CT17+CT21+CT25+CT29+CT33+CT37+CT41+CT45+CT49+CT53+CT57+CT61+CT65+CT72+CT76+CT80+CT84+CT88+CT92+CT96+CT100+CT104+CT108+CT112+CT116+CT120+CT124+CT128+CT132</f>
        <v/>
      </c>
      <c r="CU139" s="387" t="n"/>
      <c r="CV139" s="387" t="n"/>
      <c r="CW139" s="387" t="n"/>
      <c r="CX139" s="388" t="n"/>
      <c r="CZ139" s="253" t="inlineStr">
        <is>
          <t>時間内</t>
        </is>
      </c>
      <c r="DA139" s="384" t="n"/>
      <c r="DB139" s="384" t="n"/>
      <c r="DC139" s="385" t="n"/>
      <c r="DD139" s="386">
        <f>DD5+DD9+DD13+DD17+DD21+DD25+DD29+DD33+DD37+DD41+DD45+DD49+DD53+DD57+DD61+DD65+DD72+DD76+DD80+DD84+DD88+DD92+DD96+DD100+DD104+DD108+DD112+DD116+DD120+DD124+DD128+DD132</f>
        <v/>
      </c>
      <c r="DE139" s="387" t="n"/>
      <c r="DF139" s="387" t="n"/>
      <c r="DG139" s="387" t="n"/>
      <c r="DH139" s="388" t="n"/>
      <c r="DJ139" s="253" t="inlineStr">
        <is>
          <t>時間内</t>
        </is>
      </c>
      <c r="DK139" s="384" t="n"/>
      <c r="DL139" s="384" t="n"/>
      <c r="DM139" s="385" t="n"/>
      <c r="DN139" s="386">
        <f>DN5+DN9+DN13+DN17+DN21+DN25+DN29+DN33+DN37+DN41+DN45+DN49+DN53+DN57+DN61+DN65+DN72+DN76+DN80+DN84+DN88+DN92+DN96+DN100+DN104+DN108+DN112+DN116+DN120+DN124+DN128+DN132</f>
        <v/>
      </c>
      <c r="DO139" s="387" t="n"/>
      <c r="DP139" s="387" t="n"/>
      <c r="DQ139" s="387" t="n"/>
      <c r="DR139" s="388" t="n"/>
      <c r="DT139" s="253" t="inlineStr">
        <is>
          <t>時間内</t>
        </is>
      </c>
      <c r="DU139" s="384" t="n"/>
      <c r="DV139" s="384" t="n"/>
      <c r="DW139" s="385" t="n"/>
      <c r="DX139" s="386">
        <f>DX5+DX9+DX13+DX17+DX21+DX25+DX29+DX33+DX37+DX41+DX45+DX49+DX53+DX57+DX61+DX65+DX72+DX76+DX80+DX84+DX88+DX92+DX96+DX100+DX104+DX108+DX112+DX116+DX120+DX124+DX128+DX132</f>
        <v/>
      </c>
      <c r="DY139" s="387" t="n"/>
      <c r="DZ139" s="387" t="n"/>
      <c r="EA139" s="387" t="n"/>
      <c r="EB139" s="388" t="n"/>
    </row>
    <row r="140" ht="12" customHeight="1" s="337">
      <c r="C140" s="13" t="n"/>
      <c r="Q140" s="38" t="inlineStr">
        <is>
          <t>作業者4</t>
        </is>
      </c>
      <c r="R140" s="78" t="n"/>
      <c r="S140" s="79" t="n"/>
      <c r="BP140" s="19" t="n"/>
      <c r="BW140" s="457" t="inlineStr">
        <is>
          <t>時間外</t>
        </is>
      </c>
      <c r="BX140" s="384" t="n"/>
      <c r="BY140" s="384" t="n"/>
      <c r="BZ140" s="458">
        <f>CJ140+CT140+DD140+DN140+DX140</f>
        <v/>
      </c>
      <c r="CA140" s="384" t="n"/>
      <c r="CB140" s="384" t="n"/>
      <c r="CC140" s="459" t="n"/>
      <c r="CD140" s="456" t="n"/>
      <c r="CE140" s="31" t="n"/>
      <c r="CF140" s="253" t="inlineStr">
        <is>
          <t>時間外</t>
        </is>
      </c>
      <c r="CG140" s="384" t="n"/>
      <c r="CH140" s="384" t="n"/>
      <c r="CI140" s="385" t="n"/>
      <c r="CJ140" s="386">
        <f>CJ6+CJ10+CJ14+CJ18+CJ22+CJ26+CJ30+CJ34+CJ38+CJ42+CJ46+CJ50+CJ54+CJ58+CJ62+CJ66+CJ73+CJ77+CJ81+CJ85+CJ89+CJ93+CJ97+CJ101+CJ105+CJ109+CJ113+CJ117+CJ121+CJ125+CJ129+CJ133</f>
        <v/>
      </c>
      <c r="CK140" s="387" t="n"/>
      <c r="CL140" s="387" t="n"/>
      <c r="CM140" s="387" t="n"/>
      <c r="CN140" s="388" t="n"/>
      <c r="CP140" s="253" t="inlineStr">
        <is>
          <t>時間外</t>
        </is>
      </c>
      <c r="CQ140" s="384" t="n"/>
      <c r="CR140" s="384" t="n"/>
      <c r="CS140" s="385" t="n"/>
      <c r="CT140" s="386">
        <f>CT6+CT10+CT14+CT18+CT22+CT26+CT30+CT34+CT38+CT42+CT46+CT50+CT54+CT58+CT62+CT66+CT73+CT77+CT81+CT85+CT89+CT93+CT97+CT101+CT105+CT109+CT113+CT117+CT121+CT125+CT129+CT133</f>
        <v/>
      </c>
      <c r="CU140" s="387" t="n"/>
      <c r="CV140" s="387" t="n"/>
      <c r="CW140" s="387" t="n"/>
      <c r="CX140" s="388" t="n"/>
      <c r="CZ140" s="253" t="inlineStr">
        <is>
          <t>時間外</t>
        </is>
      </c>
      <c r="DA140" s="384" t="n"/>
      <c r="DB140" s="384" t="n"/>
      <c r="DC140" s="385" t="n"/>
      <c r="DD140" s="386">
        <f>DD6+DD10+DD14+DD18+DD22+DD26+DD30+DD34+DD38+DD42+DD46+DD50+DD54+DD58+DD62+DD66+DD73+DD77+DD81+DD85+DD89+DD93+DD97+DD101+DD105+DD109+DD113+DD117+DD121+DD125+DD129+DD133</f>
        <v/>
      </c>
      <c r="DE140" s="387" t="n"/>
      <c r="DF140" s="387" t="n"/>
      <c r="DG140" s="387" t="n"/>
      <c r="DH140" s="388" t="n"/>
      <c r="DJ140" s="253" t="inlineStr">
        <is>
          <t>時間外</t>
        </is>
      </c>
      <c r="DK140" s="384" t="n"/>
      <c r="DL140" s="384" t="n"/>
      <c r="DM140" s="385" t="n"/>
      <c r="DN140" s="386">
        <f>DN6+DN10+DN14+DN18+DN22+DN26+DN30+DN34+DN38+DN42+DN46+DN50+DN54+DN58+DN62+DN66+DN73+DN77+DN81+DN85+DN89+DN93+DN97+DN101+DN105+DN109+DN113+DN117+DN121+DN125+DN129+DN133</f>
        <v/>
      </c>
      <c r="DO140" s="387" t="n"/>
      <c r="DP140" s="387" t="n"/>
      <c r="DQ140" s="387" t="n"/>
      <c r="DR140" s="388" t="n"/>
      <c r="DT140" s="253" t="inlineStr">
        <is>
          <t>時間外</t>
        </is>
      </c>
      <c r="DU140" s="384" t="n"/>
      <c r="DV140" s="384" t="n"/>
      <c r="DW140" s="385" t="n"/>
      <c r="DX140" s="386">
        <f>DX6+DX10+DX14+DX18+DX22+DX26+DX30+DX34+DX38+DX42+DX46+DX50+DX54+DX58+DX62+DX66+DX73+DX77+DX81+DX85+DX89+DX93+DX97+DX101+DX105+DX109+DX113+DX117+DX121+DX125+DX129+DX133</f>
        <v/>
      </c>
      <c r="DY140" s="387" t="n"/>
      <c r="DZ140" s="387" t="n"/>
      <c r="EA140" s="387" t="n"/>
      <c r="EB140" s="388" t="n"/>
    </row>
    <row r="141" ht="12" customHeight="1" s="337">
      <c r="C141" s="13" t="n"/>
      <c r="Q141" s="40" t="inlineStr">
        <is>
          <t>作業者5</t>
        </is>
      </c>
      <c r="R141" s="82" t="n"/>
      <c r="S141" s="83" t="n"/>
      <c r="BW141" s="460" t="inlineStr">
        <is>
          <t>休日</t>
        </is>
      </c>
      <c r="BX141" s="395" t="n"/>
      <c r="BY141" s="395" t="n"/>
      <c r="BZ141" s="461">
        <f>CJ141+CT141+DD141+DN141+DX141</f>
        <v/>
      </c>
      <c r="CA141" s="395" t="n"/>
      <c r="CB141" s="395" t="n"/>
      <c r="CC141" s="462" t="n"/>
      <c r="CD141" s="456" t="n"/>
      <c r="CE141" s="31" t="n"/>
      <c r="CF141" s="254" t="inlineStr">
        <is>
          <t>休日</t>
        </is>
      </c>
      <c r="CG141" s="395" t="n"/>
      <c r="CH141" s="395" t="n"/>
      <c r="CI141" s="396" t="n"/>
      <c r="CJ141" s="397">
        <f>CJ7+CJ11+CJ15+CJ19+CJ23+CJ27+CJ31+CJ35+CJ39+CJ43+CJ47+CJ51+CJ55+CJ59+CJ63+CJ67+CJ74+CJ78+CJ82+CJ86+CJ90+CJ94+CJ98+CJ102+CJ106+CJ110+CJ114+CJ118+CJ122+CJ126+CJ130+CJ134</f>
        <v/>
      </c>
      <c r="CK141" s="395" t="n"/>
      <c r="CL141" s="395" t="n"/>
      <c r="CM141" s="395" t="n"/>
      <c r="CN141" s="396" t="n"/>
      <c r="CP141" s="254" t="inlineStr">
        <is>
          <t>休日</t>
        </is>
      </c>
      <c r="CQ141" s="395" t="n"/>
      <c r="CR141" s="395" t="n"/>
      <c r="CS141" s="396" t="n"/>
      <c r="CT141" s="397">
        <f>CT7+CT11+CT15+CT19+CT23+CT27+CT31+CT35+CT39+CT43+CT47+CT51+CT55+CT59+CT63+CT67+CT74+CT78+CT82+CT86+CT90+CT94+CT98+CT102+CT106+CT110+CT114+CT118+CT122+CT126+CT130+CT134</f>
        <v/>
      </c>
      <c r="CU141" s="395" t="n"/>
      <c r="CV141" s="395" t="n"/>
      <c r="CW141" s="395" t="n"/>
      <c r="CX141" s="396" t="n"/>
      <c r="CZ141" s="254" t="inlineStr">
        <is>
          <t>休日</t>
        </is>
      </c>
      <c r="DA141" s="395" t="n"/>
      <c r="DB141" s="395" t="n"/>
      <c r="DC141" s="396" t="n"/>
      <c r="DD141" s="397">
        <f>DD7+DD11+DD15+DD19+DD23+DD27+DD31+DD35+DD39+DD43+DD47+DD51+DD55+DD59+DD63+DD67+DD74+DD78+DD82+DD86+DD90+DD94+DD98+DD102+DD106+DD110+DD114+DD118+DD122+DD126+DD130+DD134</f>
        <v/>
      </c>
      <c r="DE141" s="395" t="n"/>
      <c r="DF141" s="395" t="n"/>
      <c r="DG141" s="395" t="n"/>
      <c r="DH141" s="396" t="n"/>
      <c r="DJ141" s="254" t="inlineStr">
        <is>
          <t>休日</t>
        </is>
      </c>
      <c r="DK141" s="395" t="n"/>
      <c r="DL141" s="395" t="n"/>
      <c r="DM141" s="396" t="n"/>
      <c r="DN141" s="397">
        <f>DN7+DN11+DN15+DN19+DN23+DN27+DN31+DN35+DN39+DN43+DN47+DN51+DN55+DN59+DN63+DN67+DN74+DN78+DN82+DN86+DN90+DN94+DN98+DN102+DN106+DN110+DN114+DN118+DN122+DN126+DN130+DN134</f>
        <v/>
      </c>
      <c r="DO141" s="395" t="n"/>
      <c r="DP141" s="395" t="n"/>
      <c r="DQ141" s="395" t="n"/>
      <c r="DR141" s="396" t="n"/>
      <c r="DT141" s="254" t="inlineStr">
        <is>
          <t>休日</t>
        </is>
      </c>
      <c r="DU141" s="395" t="n"/>
      <c r="DV141" s="395" t="n"/>
      <c r="DW141" s="396" t="n"/>
      <c r="DX141" s="397">
        <f>DX7+DX11+DX15+DX19+DX23+DX27+DX31+DX35+DX39+DX43+DX47+DX51+DX55+DX59+DX63+DX67+DX74+DX78+DX82+DX86+DX90+DX94+DX98+DX102+DX106+DX110+DX114+DX118+DX122+DX126+DX130+DX134</f>
        <v/>
      </c>
      <c r="DY141" s="395" t="n"/>
      <c r="DZ141" s="395" t="n"/>
      <c r="EA141" s="395" t="n"/>
      <c r="EB141" s="396" t="n"/>
    </row>
    <row r="142" ht="12" customHeight="1" s="337"/>
    <row r="143" ht="12" customHeight="1" s="337"/>
    <row r="144" ht="12" customHeight="1" s="337"/>
    <row r="145" ht="12" customHeight="1" s="337"/>
  </sheetData>
  <mergeCells count="1880">
    <mergeCell ref="DJ78:DM78"/>
    <mergeCell ref="CJ47:CN47"/>
    <mergeCell ref="DD95:DH95"/>
    <mergeCell ref="CT96:CX96"/>
    <mergeCell ref="DD87:DH87"/>
    <mergeCell ref="CF91:CI91"/>
    <mergeCell ref="CP88:CS88"/>
    <mergeCell ref="CT37:CX37"/>
    <mergeCell ref="CP82:CS82"/>
    <mergeCell ref="I57:I58"/>
    <mergeCell ref="DD97:DH97"/>
    <mergeCell ref="DN119:DR119"/>
    <mergeCell ref="CT98:CX98"/>
    <mergeCell ref="DD89:DH89"/>
    <mergeCell ref="CZ114:DC114"/>
    <mergeCell ref="CF93:CI93"/>
    <mergeCell ref="H75:J75"/>
    <mergeCell ref="DX109:EB109"/>
    <mergeCell ref="H111:J111"/>
    <mergeCell ref="CJ63:CN63"/>
    <mergeCell ref="DJ104:DM104"/>
    <mergeCell ref="CP83:CS83"/>
    <mergeCell ref="F13:F14"/>
    <mergeCell ref="DN114:DR114"/>
    <mergeCell ref="B52:D55"/>
    <mergeCell ref="DD113:DH113"/>
    <mergeCell ref="DJ106:DM106"/>
    <mergeCell ref="CP85:CS85"/>
    <mergeCell ref="T127:V130"/>
    <mergeCell ref="CF109:CI109"/>
    <mergeCell ref="CT124:CX124"/>
    <mergeCell ref="DD115:DH115"/>
    <mergeCell ref="W8:CC11"/>
    <mergeCell ref="N32:P32"/>
    <mergeCell ref="CP141:CS141"/>
    <mergeCell ref="CF75:CI75"/>
    <mergeCell ref="CT126:CX126"/>
    <mergeCell ref="DD108:DH108"/>
    <mergeCell ref="DN130:DR130"/>
    <mergeCell ref="CP12:CS12"/>
    <mergeCell ref="CZ125:DC125"/>
    <mergeCell ref="DD141:DH141"/>
    <mergeCell ref="K44:M44"/>
    <mergeCell ref="DN132:DR132"/>
    <mergeCell ref="CP14:CS14"/>
    <mergeCell ref="CZ133:DC133"/>
    <mergeCell ref="CZ127:DC127"/>
    <mergeCell ref="DJ28:DM28"/>
    <mergeCell ref="CP7:CS7"/>
    <mergeCell ref="H7:J7"/>
    <mergeCell ref="DT25:DW25"/>
    <mergeCell ref="T28:V31"/>
    <mergeCell ref="CZ39:DC39"/>
    <mergeCell ref="CJ117:CN117"/>
    <mergeCell ref="DJ30:DM30"/>
    <mergeCell ref="CT108:CX108"/>
    <mergeCell ref="CZ128:DC128"/>
    <mergeCell ref="Q12:S15"/>
    <mergeCell ref="DD38:DH38"/>
    <mergeCell ref="CT139:CX139"/>
    <mergeCell ref="E24:G24"/>
    <mergeCell ref="DD40:DH40"/>
    <mergeCell ref="N47:P47"/>
    <mergeCell ref="F88:F89"/>
    <mergeCell ref="CP35:CS35"/>
    <mergeCell ref="CZ57:DC57"/>
    <mergeCell ref="CF36:CI36"/>
    <mergeCell ref="CT51:CX51"/>
    <mergeCell ref="DT105:DW105"/>
    <mergeCell ref="I124:I125"/>
    <mergeCell ref="BZ138:CC138"/>
    <mergeCell ref="DT107:DW107"/>
    <mergeCell ref="E19:G19"/>
    <mergeCell ref="Q40:S43"/>
    <mergeCell ref="DJ69:DR70"/>
    <mergeCell ref="DT73:DW73"/>
    <mergeCell ref="CJ130:CN130"/>
    <mergeCell ref="CJ132:CN132"/>
    <mergeCell ref="CF35:CI35"/>
    <mergeCell ref="CF62:CI62"/>
    <mergeCell ref="CT33:CX33"/>
    <mergeCell ref="CF64:CI64"/>
    <mergeCell ref="H71:J71"/>
    <mergeCell ref="CT35:CX35"/>
    <mergeCell ref="H107:J107"/>
    <mergeCell ref="CF69:CN70"/>
    <mergeCell ref="CF30:CI30"/>
    <mergeCell ref="DJ100:DM100"/>
    <mergeCell ref="CP79:CS79"/>
    <mergeCell ref="K118:M118"/>
    <mergeCell ref="DN85:DR85"/>
    <mergeCell ref="CT64:CX64"/>
    <mergeCell ref="CZ80:DC80"/>
    <mergeCell ref="DJ102:DM102"/>
    <mergeCell ref="CP81:CS81"/>
    <mergeCell ref="DJ129:DM129"/>
    <mergeCell ref="H102:J102"/>
    <mergeCell ref="T123:V126"/>
    <mergeCell ref="DT120:DW120"/>
    <mergeCell ref="DJ131:DM131"/>
    <mergeCell ref="CJ62:CN62"/>
    <mergeCell ref="K134:M134"/>
    <mergeCell ref="CJ56:CN56"/>
    <mergeCell ref="CP105:CS105"/>
    <mergeCell ref="DD112:DH112"/>
    <mergeCell ref="W95:CC98"/>
    <mergeCell ref="E90:G90"/>
    <mergeCell ref="DD106:DH106"/>
    <mergeCell ref="CP107:CS107"/>
    <mergeCell ref="CP99:CS99"/>
    <mergeCell ref="E119:G119"/>
    <mergeCell ref="DJ113:DM113"/>
    <mergeCell ref="E91:G91"/>
    <mergeCell ref="CJ82:CN82"/>
    <mergeCell ref="CJ118:CN118"/>
    <mergeCell ref="CZ124:DC124"/>
    <mergeCell ref="DJ115:DM115"/>
    <mergeCell ref="CZ126:DC126"/>
    <mergeCell ref="N16:P16"/>
    <mergeCell ref="CP125:CS125"/>
    <mergeCell ref="CJ119:CN119"/>
    <mergeCell ref="N51:P51"/>
    <mergeCell ref="N43:P43"/>
    <mergeCell ref="F84:F85"/>
    <mergeCell ref="DD125:DH125"/>
    <mergeCell ref="DX6:EB6"/>
    <mergeCell ref="CF129:CI129"/>
    <mergeCell ref="CP120:CS120"/>
    <mergeCell ref="W20:CC23"/>
    <mergeCell ref="CF131:CI131"/>
    <mergeCell ref="E15:G15"/>
    <mergeCell ref="Q36:S39"/>
    <mergeCell ref="N67:P67"/>
    <mergeCell ref="CZ23:DC23"/>
    <mergeCell ref="Q127:S130"/>
    <mergeCell ref="DN27:DR27"/>
    <mergeCell ref="L96:L97"/>
    <mergeCell ref="CF60:CI60"/>
    <mergeCell ref="DX17:EB17"/>
    <mergeCell ref="H78:J78"/>
    <mergeCell ref="DT34:DW34"/>
    <mergeCell ref="CP50:CS50"/>
    <mergeCell ref="W48:CC51"/>
    <mergeCell ref="DN22:DR22"/>
    <mergeCell ref="H44:J44"/>
    <mergeCell ref="W4:CC7"/>
    <mergeCell ref="DX19:EB19"/>
    <mergeCell ref="E35:G35"/>
    <mergeCell ref="I108:I109"/>
    <mergeCell ref="O5:O6"/>
    <mergeCell ref="E28:G28"/>
    <mergeCell ref="CJ25:CN25"/>
    <mergeCell ref="DD23:DH23"/>
    <mergeCell ref="F5:F6"/>
    <mergeCell ref="E59:G59"/>
    <mergeCell ref="N82:P82"/>
    <mergeCell ref="O29:O30"/>
    <mergeCell ref="CF71:CI71"/>
    <mergeCell ref="O65:O66"/>
    <mergeCell ref="CP103:CS103"/>
    <mergeCell ref="Q52:S55"/>
    <mergeCell ref="DX72:EB72"/>
    <mergeCell ref="CZ94:DC94"/>
    <mergeCell ref="CF73:CI73"/>
    <mergeCell ref="H126:J126"/>
    <mergeCell ref="E56:G56"/>
    <mergeCell ref="CT16:CX16"/>
    <mergeCell ref="CJ27:CN27"/>
    <mergeCell ref="CT18:CX18"/>
    <mergeCell ref="CT104:CX104"/>
    <mergeCell ref="N12:P12"/>
    <mergeCell ref="W119:CC122"/>
    <mergeCell ref="O49:O50"/>
    <mergeCell ref="CT106:CX106"/>
    <mergeCell ref="CF101:CI101"/>
    <mergeCell ref="DX83:EB83"/>
    <mergeCell ref="CP116:CS116"/>
    <mergeCell ref="F21:F22"/>
    <mergeCell ref="B32:D35"/>
    <mergeCell ref="CT101:CX101"/>
    <mergeCell ref="DX84:EB84"/>
    <mergeCell ref="CP118:CS118"/>
    <mergeCell ref="E102:G102"/>
    <mergeCell ref="CJ99:CN99"/>
    <mergeCell ref="K24:M24"/>
    <mergeCell ref="CJ128:CN128"/>
    <mergeCell ref="E127:G127"/>
    <mergeCell ref="L61:L62"/>
    <mergeCell ref="DX13:EB13"/>
    <mergeCell ref="E4:G4"/>
    <mergeCell ref="DJ8:DM8"/>
    <mergeCell ref="T8:V11"/>
    <mergeCell ref="K51:M51"/>
    <mergeCell ref="DX15:EB15"/>
    <mergeCell ref="W127:CC130"/>
    <mergeCell ref="DJ10:DM10"/>
    <mergeCell ref="DN138:DR138"/>
    <mergeCell ref="DN9:DR9"/>
    <mergeCell ref="N78:P78"/>
    <mergeCell ref="DX41:EB41"/>
    <mergeCell ref="DD20:DH20"/>
    <mergeCell ref="DN11:DR11"/>
    <mergeCell ref="DX43:EB43"/>
    <mergeCell ref="DD22:DH22"/>
    <mergeCell ref="N79:P79"/>
    <mergeCell ref="DJ21:DM21"/>
    <mergeCell ref="E52:G52"/>
    <mergeCell ref="CZ32:DC32"/>
    <mergeCell ref="CF13:CI13"/>
    <mergeCell ref="F116:F117"/>
    <mergeCell ref="CT14:CX14"/>
    <mergeCell ref="T16:V19"/>
    <mergeCell ref="CT13:CX13"/>
    <mergeCell ref="DD4:DH4"/>
    <mergeCell ref="DN64:DR64"/>
    <mergeCell ref="CT43:CX43"/>
    <mergeCell ref="CT15:CX15"/>
    <mergeCell ref="DX54:EB54"/>
    <mergeCell ref="DD33:DH33"/>
    <mergeCell ref="K98:M98"/>
    <mergeCell ref="BZ140:CC140"/>
    <mergeCell ref="DT71:DW71"/>
    <mergeCell ref="DN65:DR65"/>
    <mergeCell ref="DX81:EB81"/>
    <mergeCell ref="DX56:EB56"/>
    <mergeCell ref="O76:O77"/>
    <mergeCell ref="T103:V106"/>
    <mergeCell ref="CJ51:CN51"/>
    <mergeCell ref="DT100:DW100"/>
    <mergeCell ref="DT66:DW66"/>
    <mergeCell ref="G137:J137"/>
    <mergeCell ref="DJ77:DM77"/>
    <mergeCell ref="CF28:CI28"/>
    <mergeCell ref="DX107:EB107"/>
    <mergeCell ref="DD86:DH86"/>
    <mergeCell ref="CF108:CI108"/>
    <mergeCell ref="K20:M20"/>
    <mergeCell ref="Q123:S126"/>
    <mergeCell ref="L57:L58"/>
    <mergeCell ref="CZ103:DC103"/>
    <mergeCell ref="K111:M111"/>
    <mergeCell ref="DN78:DR78"/>
    <mergeCell ref="W123:CC126"/>
    <mergeCell ref="DJ6:DM6"/>
    <mergeCell ref="B16:D19"/>
    <mergeCell ref="DX110:EB110"/>
    <mergeCell ref="CJ64:CN64"/>
    <mergeCell ref="K4:M4"/>
    <mergeCell ref="F61:F62"/>
    <mergeCell ref="CZ131:DC131"/>
    <mergeCell ref="CF110:CI110"/>
    <mergeCell ref="DN7:DR7"/>
    <mergeCell ref="DN129:DR129"/>
    <mergeCell ref="DD105:DH105"/>
    <mergeCell ref="DX120:EB120"/>
    <mergeCell ref="DT23:DW23"/>
    <mergeCell ref="T69:V70"/>
    <mergeCell ref="DX39:EB39"/>
    <mergeCell ref="DN131:DR131"/>
    <mergeCell ref="DJ17:DM17"/>
    <mergeCell ref="K35:M35"/>
    <mergeCell ref="DX121:EB121"/>
    <mergeCell ref="DT18:DW18"/>
    <mergeCell ref="CJ75:CN75"/>
    <mergeCell ref="CT141:CX141"/>
    <mergeCell ref="DJ19:DM19"/>
    <mergeCell ref="DX123:EB123"/>
    <mergeCell ref="DT26:DW26"/>
    <mergeCell ref="B64:D67"/>
    <mergeCell ref="DT9:DW9"/>
    <mergeCell ref="K59:M59"/>
    <mergeCell ref="CP29:CS29"/>
    <mergeCell ref="DN35:DR35"/>
    <mergeCell ref="DJ20:DM20"/>
    <mergeCell ref="L104:L105"/>
    <mergeCell ref="DN28:DR28"/>
    <mergeCell ref="DX50:EB50"/>
    <mergeCell ref="DD29:DH29"/>
    <mergeCell ref="DJ45:DM45"/>
    <mergeCell ref="H24:J24"/>
    <mergeCell ref="CP24:CS24"/>
    <mergeCell ref="DD39:DH39"/>
    <mergeCell ref="CZ21:DC21"/>
    <mergeCell ref="DN30:DR30"/>
    <mergeCell ref="DX52:EB52"/>
    <mergeCell ref="DD31:DH31"/>
    <mergeCell ref="I88:I89"/>
    <mergeCell ref="DJ53:DM53"/>
    <mergeCell ref="DJ47:DM47"/>
    <mergeCell ref="CP26:CS26"/>
    <mergeCell ref="L124:L125"/>
    <mergeCell ref="DT96:DW96"/>
    <mergeCell ref="DJ46:DM46"/>
    <mergeCell ref="T40:V43"/>
    <mergeCell ref="DT62:DW62"/>
    <mergeCell ref="DT37:DW37"/>
    <mergeCell ref="CZ16:DC16"/>
    <mergeCell ref="H55:J55"/>
    <mergeCell ref="DT98:DW98"/>
    <mergeCell ref="CJ7:CN7"/>
    <mergeCell ref="DJ48:DM48"/>
    <mergeCell ref="N69:P70"/>
    <mergeCell ref="B83:D86"/>
    <mergeCell ref="N115:P115"/>
    <mergeCell ref="CF24:CI24"/>
    <mergeCell ref="DJ63:DM63"/>
    <mergeCell ref="CP42:CS42"/>
    <mergeCell ref="DD57:DH57"/>
    <mergeCell ref="W40:CC43"/>
    <mergeCell ref="CF17:CI17"/>
    <mergeCell ref="Q32:S35"/>
    <mergeCell ref="CZ74:DC74"/>
    <mergeCell ref="CF53:CI53"/>
    <mergeCell ref="CT24:CX24"/>
    <mergeCell ref="DX63:EB63"/>
    <mergeCell ref="CF19:CI19"/>
    <mergeCell ref="CZ67:DC67"/>
    <mergeCell ref="DT88:DW88"/>
    <mergeCell ref="K107:M107"/>
    <mergeCell ref="DT124:DW124"/>
    <mergeCell ref="DN74:DR74"/>
    <mergeCell ref="B12:D15"/>
    <mergeCell ref="DT117:DW117"/>
    <mergeCell ref="CF50:CI50"/>
    <mergeCell ref="T87:V90"/>
    <mergeCell ref="CJ60:CN60"/>
    <mergeCell ref="DN76:DR76"/>
    <mergeCell ref="CT84:CX84"/>
    <mergeCell ref="I13:I14"/>
    <mergeCell ref="DT119:DW119"/>
    <mergeCell ref="CF79:CI79"/>
    <mergeCell ref="CT50:CX50"/>
    <mergeCell ref="DN101:DR101"/>
    <mergeCell ref="CT80:CX80"/>
    <mergeCell ref="N134:P134"/>
    <mergeCell ref="CF81:CI81"/>
    <mergeCell ref="CT52:CX52"/>
    <mergeCell ref="CP97:CS97"/>
    <mergeCell ref="CT79:CX79"/>
    <mergeCell ref="DN100:DR100"/>
    <mergeCell ref="DJ117:DM117"/>
    <mergeCell ref="CP96:CS96"/>
    <mergeCell ref="DT108:DW108"/>
    <mergeCell ref="CZ87:DC87"/>
    <mergeCell ref="DN102:DR102"/>
    <mergeCell ref="CT81:CX81"/>
    <mergeCell ref="DD103:DH103"/>
    <mergeCell ref="CP98:CS98"/>
    <mergeCell ref="H119:J119"/>
    <mergeCell ref="CF63:CI63"/>
    <mergeCell ref="DX119:EB119"/>
    <mergeCell ref="DT139:DW139"/>
    <mergeCell ref="CJ79:CN79"/>
    <mergeCell ref="CJ73:CN73"/>
    <mergeCell ref="DT2:EB3"/>
    <mergeCell ref="CZ113:DC113"/>
    <mergeCell ref="CF92:CI92"/>
    <mergeCell ref="DT51:DW51"/>
    <mergeCell ref="CT63:CX63"/>
    <mergeCell ref="DD129:DH129"/>
    <mergeCell ref="DD123:DH123"/>
    <mergeCell ref="DN120:DR120"/>
    <mergeCell ref="CF5:CI5"/>
    <mergeCell ref="CT99:CX99"/>
    <mergeCell ref="L100:L101"/>
    <mergeCell ref="CJ74:CN74"/>
    <mergeCell ref="CZ115:DC115"/>
    <mergeCell ref="DD131:DH131"/>
    <mergeCell ref="DN113:DR113"/>
    <mergeCell ref="CZ17:DC17"/>
    <mergeCell ref="DN26:DR26"/>
    <mergeCell ref="DJ130:DM130"/>
    <mergeCell ref="I84:I85"/>
    <mergeCell ref="DD124:DH124"/>
    <mergeCell ref="CF6:CI6"/>
    <mergeCell ref="DN140:DR140"/>
    <mergeCell ref="DN115:DR115"/>
    <mergeCell ref="CP22:CS22"/>
    <mergeCell ref="CZ19:DC19"/>
    <mergeCell ref="CZ141:DC141"/>
    <mergeCell ref="DJ132:DM132"/>
    <mergeCell ref="CP2:CX3"/>
    <mergeCell ref="DD126:DH126"/>
    <mergeCell ref="K60:M60"/>
    <mergeCell ref="CJ107:CN107"/>
    <mergeCell ref="CJ101:CN101"/>
    <mergeCell ref="DT33:DW33"/>
    <mergeCell ref="CZ12:DC12"/>
    <mergeCell ref="H51:J51"/>
    <mergeCell ref="DX18:EB18"/>
    <mergeCell ref="DT35:DW35"/>
    <mergeCell ref="CZ14:DC14"/>
    <mergeCell ref="B79:D82"/>
    <mergeCell ref="CJ92:CN92"/>
    <mergeCell ref="DD53:DH53"/>
    <mergeCell ref="W36:CC39"/>
    <mergeCell ref="CP48:CS48"/>
    <mergeCell ref="DT64:DW64"/>
    <mergeCell ref="DD55:DH55"/>
    <mergeCell ref="I112:I113"/>
    <mergeCell ref="CF2:CN3"/>
    <mergeCell ref="CZ38:DC38"/>
    <mergeCell ref="E32:G32"/>
    <mergeCell ref="CP33:CS33"/>
    <mergeCell ref="F96:F97"/>
    <mergeCell ref="CZ65:DC65"/>
    <mergeCell ref="CZ40:DC40"/>
    <mergeCell ref="DJ62:DM62"/>
    <mergeCell ref="DJ56:DM56"/>
    <mergeCell ref="H35:J35"/>
    <mergeCell ref="L108:L109"/>
    <mergeCell ref="T83:V86"/>
    <mergeCell ref="N86:P86"/>
    <mergeCell ref="CP51:CS51"/>
    <mergeCell ref="B107:D110"/>
    <mergeCell ref="CJ120:CN120"/>
    <mergeCell ref="CP66:CS66"/>
    <mergeCell ref="CF77:CI77"/>
    <mergeCell ref="H59:J59"/>
    <mergeCell ref="DX87:EB87"/>
    <mergeCell ref="DD66:DH66"/>
    <mergeCell ref="K131:M131"/>
    <mergeCell ref="CP67:CS67"/>
    <mergeCell ref="DJ82:DM82"/>
    <mergeCell ref="CP61:CS61"/>
    <mergeCell ref="DN98:DR98"/>
    <mergeCell ref="CT77:CX77"/>
    <mergeCell ref="DX89:EB89"/>
    <mergeCell ref="CZ93:DC93"/>
    <mergeCell ref="CF72:CI72"/>
    <mergeCell ref="H90:J90"/>
    <mergeCell ref="DX88:EB88"/>
    <mergeCell ref="T111:V114"/>
    <mergeCell ref="CJ42:CN42"/>
    <mergeCell ref="CZ84:DC84"/>
    <mergeCell ref="DJ119:DM119"/>
    <mergeCell ref="CF59:CI59"/>
    <mergeCell ref="CJ44:CN44"/>
    <mergeCell ref="DJ85:DM85"/>
    <mergeCell ref="CP64:CS64"/>
    <mergeCell ref="CZ109:DC109"/>
    <mergeCell ref="CF88:CI88"/>
    <mergeCell ref="Q103:S106"/>
    <mergeCell ref="DD94:DH94"/>
    <mergeCell ref="CF54:CI54"/>
    <mergeCell ref="CZ111:DC111"/>
    <mergeCell ref="CF90:CI90"/>
    <mergeCell ref="CT61:CX61"/>
    <mergeCell ref="DN109:DR109"/>
    <mergeCell ref="CP122:CS122"/>
    <mergeCell ref="CJ72:CN72"/>
    <mergeCell ref="I49:I50"/>
    <mergeCell ref="DN111:DR111"/>
    <mergeCell ref="CT90:CX90"/>
    <mergeCell ref="CZ112:DC112"/>
    <mergeCell ref="CZ106:DC106"/>
    <mergeCell ref="CF85:CI85"/>
    <mergeCell ref="DD122:DH122"/>
    <mergeCell ref="CT121:CX121"/>
    <mergeCell ref="CF116:CI116"/>
    <mergeCell ref="CT87:CX87"/>
    <mergeCell ref="Q87:S90"/>
    <mergeCell ref="CJ126:CN126"/>
    <mergeCell ref="CT123:CX123"/>
    <mergeCell ref="CF118:CI118"/>
    <mergeCell ref="N31:P31"/>
    <mergeCell ref="CT116:CX116"/>
    <mergeCell ref="N24:P24"/>
    <mergeCell ref="CP133:CS133"/>
    <mergeCell ref="W131:CC134"/>
    <mergeCell ref="O61:O62"/>
    <mergeCell ref="CT118:CX118"/>
    <mergeCell ref="DD140:DH140"/>
    <mergeCell ref="DJ25:DM25"/>
    <mergeCell ref="CZ36:DC36"/>
    <mergeCell ref="CJ116:CN116"/>
    <mergeCell ref="CT134:CX134"/>
    <mergeCell ref="T56:V59"/>
    <mergeCell ref="CJ139:CN139"/>
    <mergeCell ref="CJ111:CN111"/>
    <mergeCell ref="N44:P44"/>
    <mergeCell ref="DT16:DW16"/>
    <mergeCell ref="DX32:EB32"/>
    <mergeCell ref="CT48:CX48"/>
    <mergeCell ref="DJ27:DM27"/>
    <mergeCell ref="CF43:CI43"/>
    <mergeCell ref="CP65:CS65"/>
    <mergeCell ref="H86:J86"/>
    <mergeCell ref="T107:V110"/>
    <mergeCell ref="CZ69:DH70"/>
    <mergeCell ref="DT104:DW104"/>
    <mergeCell ref="E16:G16"/>
    <mergeCell ref="DX27:EB27"/>
    <mergeCell ref="CZ49:DC49"/>
    <mergeCell ref="DT106:DW106"/>
    <mergeCell ref="N95:P95"/>
    <mergeCell ref="CP60:CS60"/>
    <mergeCell ref="DT99:DW99"/>
    <mergeCell ref="DX58:EB58"/>
    <mergeCell ref="O9:O10"/>
    <mergeCell ref="CF25:CI25"/>
    <mergeCell ref="DT101:DW101"/>
    <mergeCell ref="CJ41:CN41"/>
    <mergeCell ref="CF61:CI61"/>
    <mergeCell ref="K69:M70"/>
    <mergeCell ref="N98:P98"/>
    <mergeCell ref="CF56:CI56"/>
    <mergeCell ref="DJ99:DM99"/>
    <mergeCell ref="CP78:CS78"/>
    <mergeCell ref="H99:J99"/>
    <mergeCell ref="N123:P123"/>
    <mergeCell ref="CF112:CI112"/>
    <mergeCell ref="DD21:DH21"/>
    <mergeCell ref="Q83:S86"/>
    <mergeCell ref="CT32:CX32"/>
    <mergeCell ref="CF114:CI114"/>
    <mergeCell ref="CT112:CX112"/>
    <mergeCell ref="L21:L22"/>
    <mergeCell ref="CF107:CI107"/>
    <mergeCell ref="N20:P20"/>
    <mergeCell ref="CP104:CS104"/>
    <mergeCell ref="O57:O58"/>
    <mergeCell ref="CT114:CX114"/>
    <mergeCell ref="CP106:CS106"/>
    <mergeCell ref="H127:J127"/>
    <mergeCell ref="W87:CC90"/>
    <mergeCell ref="E82:G82"/>
    <mergeCell ref="Q2:S3"/>
    <mergeCell ref="CF100:CI100"/>
    <mergeCell ref="CZ121:DC121"/>
    <mergeCell ref="F65:F66"/>
    <mergeCell ref="CP101:CS101"/>
    <mergeCell ref="CF125:CI125"/>
    <mergeCell ref="CF127:CI127"/>
    <mergeCell ref="K39:M39"/>
    <mergeCell ref="N40:P40"/>
    <mergeCell ref="DN6:DR6"/>
    <mergeCell ref="L76:L77"/>
    <mergeCell ref="CT127:CX127"/>
    <mergeCell ref="CP30:CS30"/>
    <mergeCell ref="CF128:CI128"/>
    <mergeCell ref="E12:G12"/>
    <mergeCell ref="N35:P35"/>
    <mergeCell ref="DT13:DW13"/>
    <mergeCell ref="F49:F50"/>
    <mergeCell ref="CZ134:DC134"/>
    <mergeCell ref="DT15:DW15"/>
    <mergeCell ref="W44:CC47"/>
    <mergeCell ref="F80:F81"/>
    <mergeCell ref="O132:O133"/>
    <mergeCell ref="DN17:DR17"/>
    <mergeCell ref="DX139:EB139"/>
    <mergeCell ref="K52:M52"/>
    <mergeCell ref="DN19:DR19"/>
    <mergeCell ref="DX16:EB16"/>
    <mergeCell ref="F104:F105"/>
    <mergeCell ref="DX51:EB51"/>
    <mergeCell ref="L88:L89"/>
    <mergeCell ref="CF52:CI52"/>
    <mergeCell ref="DX9:EB9"/>
    <mergeCell ref="DX11:EB11"/>
    <mergeCell ref="DD17:DH17"/>
    <mergeCell ref="Q69:S70"/>
    <mergeCell ref="DX67:EB67"/>
    <mergeCell ref="DD46:DH46"/>
    <mergeCell ref="DT136:EB137"/>
    <mergeCell ref="L17:L18"/>
    <mergeCell ref="CP41:CS41"/>
    <mergeCell ref="DD12:DH12"/>
    <mergeCell ref="N122:P122"/>
    <mergeCell ref="DJ64:DM64"/>
    <mergeCell ref="DX62:EB62"/>
    <mergeCell ref="B99:D102"/>
    <mergeCell ref="H123:J123"/>
    <mergeCell ref="N107:P107"/>
    <mergeCell ref="DX64:EB64"/>
    <mergeCell ref="CJ24:CN24"/>
    <mergeCell ref="DN63:DR63"/>
    <mergeCell ref="CJ26:CN26"/>
    <mergeCell ref="DD74:DH74"/>
    <mergeCell ref="CF34:CI34"/>
    <mergeCell ref="L45:L46"/>
    <mergeCell ref="DD76:DH76"/>
    <mergeCell ref="DJ75:DM75"/>
    <mergeCell ref="I29:I30"/>
    <mergeCell ref="Q131:S134"/>
    <mergeCell ref="N4:P4"/>
    <mergeCell ref="DN91:DR91"/>
    <mergeCell ref="W111:CC114"/>
    <mergeCell ref="E106:G106"/>
    <mergeCell ref="DX82:EB82"/>
    <mergeCell ref="H134:J134"/>
    <mergeCell ref="CZ86:DC86"/>
    <mergeCell ref="CF124:CI124"/>
    <mergeCell ref="DN93:DR93"/>
    <mergeCell ref="CP115:CS115"/>
    <mergeCell ref="E107:G107"/>
    <mergeCell ref="CT67:CX67"/>
    <mergeCell ref="CP136:CX137"/>
    <mergeCell ref="B24:D27"/>
    <mergeCell ref="DN117:DR117"/>
    <mergeCell ref="DX108:EB108"/>
    <mergeCell ref="O92:O93"/>
    <mergeCell ref="O128:O129"/>
    <mergeCell ref="Q115:S118"/>
    <mergeCell ref="K23:M23"/>
    <mergeCell ref="DX12:EB12"/>
    <mergeCell ref="F100:F101"/>
    <mergeCell ref="DJ7:DM7"/>
    <mergeCell ref="L84:L85"/>
    <mergeCell ref="DX7:EB7"/>
    <mergeCell ref="DT24:DW24"/>
    <mergeCell ref="H4:J4"/>
    <mergeCell ref="DX38:EB38"/>
    <mergeCell ref="CJ91:CN91"/>
    <mergeCell ref="CT82:CX82"/>
    <mergeCell ref="DN43:DR43"/>
    <mergeCell ref="CT22:CX22"/>
    <mergeCell ref="DD19:DH19"/>
    <mergeCell ref="DJ35:DM35"/>
    <mergeCell ref="CP39:CS39"/>
    <mergeCell ref="K67:M67"/>
    <mergeCell ref="L112:L113"/>
    <mergeCell ref="DN51:DR51"/>
    <mergeCell ref="CZ30:DC30"/>
    <mergeCell ref="DX33:EB33"/>
    <mergeCell ref="DN34:DR34"/>
    <mergeCell ref="CT9:CX9"/>
    <mergeCell ref="DX25:EB25"/>
    <mergeCell ref="H32:J32"/>
    <mergeCell ref="DT50:DW50"/>
    <mergeCell ref="CZ29:DC29"/>
    <mergeCell ref="DX60:EB60"/>
    <mergeCell ref="DX35:EB35"/>
    <mergeCell ref="DD14:DH14"/>
    <mergeCell ref="DT80:DW80"/>
    <mergeCell ref="CJ20:CN20"/>
    <mergeCell ref="DT52:DW52"/>
    <mergeCell ref="CZ31:DC31"/>
    <mergeCell ref="DT79:DW79"/>
    <mergeCell ref="CJ22:CN22"/>
    <mergeCell ref="CT4:CX4"/>
    <mergeCell ref="L41:L42"/>
    <mergeCell ref="DT81:DW81"/>
    <mergeCell ref="CJ15:CN15"/>
    <mergeCell ref="K87:M87"/>
    <mergeCell ref="CT12:CX12"/>
    <mergeCell ref="DD72:DH72"/>
    <mergeCell ref="CF7:CI7"/>
    <mergeCell ref="K95:M95"/>
    <mergeCell ref="T71:V74"/>
    <mergeCell ref="DD65:DH65"/>
    <mergeCell ref="DX86:EB86"/>
    <mergeCell ref="DN62:DR62"/>
    <mergeCell ref="DX122:EB122"/>
    <mergeCell ref="DN56:DR56"/>
    <mergeCell ref="N131:P131"/>
    <mergeCell ref="DJ79:DM79"/>
    <mergeCell ref="DJ73:DM73"/>
    <mergeCell ref="E51:G51"/>
    <mergeCell ref="BZ139:CC139"/>
    <mergeCell ref="CF89:CI89"/>
    <mergeCell ref="CJ48:CN48"/>
    <mergeCell ref="K90:M90"/>
    <mergeCell ref="DT63:DW63"/>
    <mergeCell ref="CT38:CX38"/>
    <mergeCell ref="B20:D23"/>
    <mergeCell ref="CJ33:CN33"/>
    <mergeCell ref="DJ74:DM74"/>
    <mergeCell ref="T95:V98"/>
    <mergeCell ref="DJ110:DM110"/>
    <mergeCell ref="CJ43:CN43"/>
    <mergeCell ref="K115:M115"/>
    <mergeCell ref="CT40:CX40"/>
    <mergeCell ref="DX104:EB104"/>
    <mergeCell ref="DD83:DH83"/>
    <mergeCell ref="DJ76:DM76"/>
    <mergeCell ref="CP84:CS84"/>
    <mergeCell ref="CJ34:CN34"/>
    <mergeCell ref="CZ100:DC100"/>
    <mergeCell ref="DX106:EB106"/>
    <mergeCell ref="DD85:DH85"/>
    <mergeCell ref="K19:M19"/>
    <mergeCell ref="CZ110:DC110"/>
    <mergeCell ref="DJ101:DM101"/>
    <mergeCell ref="CP80:CS80"/>
    <mergeCell ref="DX105:EB105"/>
    <mergeCell ref="DD84:DH84"/>
    <mergeCell ref="DX99:EB99"/>
    <mergeCell ref="CJ59:CN59"/>
    <mergeCell ref="DN75:DR75"/>
    <mergeCell ref="L49:L50"/>
    <mergeCell ref="DJ92:DM92"/>
    <mergeCell ref="DX101:EB101"/>
    <mergeCell ref="DD80:DH80"/>
    <mergeCell ref="B48:D51"/>
    <mergeCell ref="CJ61:CN61"/>
    <mergeCell ref="DD109:DH109"/>
    <mergeCell ref="CF105:CI105"/>
    <mergeCell ref="DD111:DH111"/>
    <mergeCell ref="CT122:CX122"/>
    <mergeCell ref="E118:G118"/>
    <mergeCell ref="CT105:CX105"/>
    <mergeCell ref="CP8:CS8"/>
    <mergeCell ref="DN128:DR128"/>
    <mergeCell ref="CP10:CS10"/>
    <mergeCell ref="CZ129:DC129"/>
    <mergeCell ref="DX29:EB29"/>
    <mergeCell ref="DD8:DH8"/>
    <mergeCell ref="CZ123:DC123"/>
    <mergeCell ref="DX31:EB31"/>
    <mergeCell ref="DD10:DH10"/>
    <mergeCell ref="DJ26:DM26"/>
    <mergeCell ref="CP5:CS5"/>
    <mergeCell ref="CJ105:CN105"/>
    <mergeCell ref="Q8:S11"/>
    <mergeCell ref="CT133:CX133"/>
    <mergeCell ref="DT77:DW77"/>
    <mergeCell ref="F112:F113"/>
    <mergeCell ref="DJ42:DM42"/>
    <mergeCell ref="E20:G20"/>
    <mergeCell ref="CP21:CS21"/>
    <mergeCell ref="DD36:DH36"/>
    <mergeCell ref="DD28:DH28"/>
    <mergeCell ref="CZ53:DC53"/>
    <mergeCell ref="CF32:CI32"/>
    <mergeCell ref="DJ44:DM44"/>
    <mergeCell ref="CP23:CS23"/>
    <mergeCell ref="DN60:DR60"/>
    <mergeCell ref="K86:M86"/>
    <mergeCell ref="CZ55:DC55"/>
    <mergeCell ref="H16:J16"/>
    <mergeCell ref="CT5:CX5"/>
    <mergeCell ref="Q28:S31"/>
    <mergeCell ref="DX44:EB44"/>
    <mergeCell ref="CJ4:CN4"/>
    <mergeCell ref="N59:P59"/>
    <mergeCell ref="T91:V94"/>
    <mergeCell ref="CJ39:CN39"/>
    <mergeCell ref="DN55:DR55"/>
    <mergeCell ref="CT36:CX36"/>
    <mergeCell ref="CT30:CX30"/>
    <mergeCell ref="DD54:DH54"/>
    <mergeCell ref="DJ72:DM72"/>
    <mergeCell ref="CF58:CI58"/>
    <mergeCell ref="DT90:DW90"/>
    <mergeCell ref="CP49:CS49"/>
    <mergeCell ref="CT65:CX65"/>
    <mergeCell ref="DD56:DH56"/>
    <mergeCell ref="H67:J67"/>
    <mergeCell ref="CF16:CI16"/>
    <mergeCell ref="CT31:CX31"/>
    <mergeCell ref="CP76:CS76"/>
    <mergeCell ref="H103:J103"/>
    <mergeCell ref="I9:I10"/>
    <mergeCell ref="DD49:DH49"/>
    <mergeCell ref="DN71:DR71"/>
    <mergeCell ref="DJ96:DM96"/>
    <mergeCell ref="K114:M114"/>
    <mergeCell ref="CF18:CI18"/>
    <mergeCell ref="CZ66:DC66"/>
    <mergeCell ref="DT87:DW87"/>
    <mergeCell ref="DX103:EB103"/>
    <mergeCell ref="DX97:EB97"/>
    <mergeCell ref="CJ57:CN57"/>
    <mergeCell ref="DJ98:DM98"/>
    <mergeCell ref="CP77:CS77"/>
    <mergeCell ref="H98:J98"/>
    <mergeCell ref="K99:M99"/>
    <mergeCell ref="DT116:DW116"/>
    <mergeCell ref="T119:V122"/>
    <mergeCell ref="DD107:DH107"/>
    <mergeCell ref="B4:D7"/>
    <mergeCell ref="DJ83:DM83"/>
    <mergeCell ref="CF42:CI42"/>
    <mergeCell ref="DT118:DW118"/>
    <mergeCell ref="CJ58:CN58"/>
    <mergeCell ref="CF103:CI103"/>
    <mergeCell ref="K130:M130"/>
    <mergeCell ref="CJ52:CN52"/>
    <mergeCell ref="CT49:CX49"/>
    <mergeCell ref="CF44:CI44"/>
    <mergeCell ref="H131:J131"/>
    <mergeCell ref="W91:CC94"/>
    <mergeCell ref="H87:J87"/>
    <mergeCell ref="I37:I38"/>
    <mergeCell ref="DD102:DH102"/>
    <mergeCell ref="O21:O22"/>
    <mergeCell ref="CT78:CX78"/>
    <mergeCell ref="DN99:DR99"/>
    <mergeCell ref="CF98:CI98"/>
    <mergeCell ref="DJ116:DM116"/>
    <mergeCell ref="CP95:CS95"/>
    <mergeCell ref="DD110:DH110"/>
    <mergeCell ref="DT134:DW134"/>
    <mergeCell ref="DJ109:DM109"/>
    <mergeCell ref="K127:M127"/>
    <mergeCell ref="H82:J82"/>
    <mergeCell ref="DJ139:DM139"/>
    <mergeCell ref="DX116:EB116"/>
    <mergeCell ref="N11:P11"/>
    <mergeCell ref="F29:F30"/>
    <mergeCell ref="T2:V3"/>
    <mergeCell ref="CJ114:CN114"/>
    <mergeCell ref="DJ111:DM111"/>
    <mergeCell ref="DJ2:DR3"/>
    <mergeCell ref="I65:I66"/>
    <mergeCell ref="CP90:CS90"/>
    <mergeCell ref="CT129:CX129"/>
    <mergeCell ref="CZ122:DC122"/>
    <mergeCell ref="DT48:DW48"/>
    <mergeCell ref="DD120:DH120"/>
    <mergeCell ref="DJ140:DM140"/>
    <mergeCell ref="CP121:CS121"/>
    <mergeCell ref="DT14:DW14"/>
    <mergeCell ref="CJ71:CN71"/>
    <mergeCell ref="CT131:CX131"/>
    <mergeCell ref="CF126:CI126"/>
    <mergeCell ref="N39:P39"/>
    <mergeCell ref="DD121:DH121"/>
    <mergeCell ref="E99:G99"/>
    <mergeCell ref="L92:L93"/>
    <mergeCell ref="CZ138:DC138"/>
    <mergeCell ref="CZ132:DC132"/>
    <mergeCell ref="H12:J12"/>
    <mergeCell ref="CZ9:DC9"/>
    <mergeCell ref="H48:J48"/>
    <mergeCell ref="CZ140:DC140"/>
    <mergeCell ref="DJ41:DM41"/>
    <mergeCell ref="CT113:CX113"/>
    <mergeCell ref="H43:J43"/>
    <mergeCell ref="T64:V67"/>
    <mergeCell ref="CP45:CS45"/>
    <mergeCell ref="CP134:CS134"/>
    <mergeCell ref="CP47:CS47"/>
    <mergeCell ref="H74:J74"/>
    <mergeCell ref="W28:CC31"/>
    <mergeCell ref="CF139:CI139"/>
    <mergeCell ref="CP46:CS46"/>
    <mergeCell ref="DD134:DH134"/>
    <mergeCell ref="CZ37:DC37"/>
    <mergeCell ref="E31:G31"/>
    <mergeCell ref="DD47:DH47"/>
    <mergeCell ref="I104:I105"/>
    <mergeCell ref="DT32:DW32"/>
    <mergeCell ref="DT112:DW112"/>
    <mergeCell ref="CF38:CI38"/>
    <mergeCell ref="DT114:DW114"/>
    <mergeCell ref="CF40:CI40"/>
    <mergeCell ref="CF67:CI67"/>
    <mergeCell ref="DN36:DR36"/>
    <mergeCell ref="W56:CC59"/>
    <mergeCell ref="O17:O18"/>
    <mergeCell ref="CT76:CX76"/>
    <mergeCell ref="H122:J122"/>
    <mergeCell ref="CP59:CS59"/>
    <mergeCell ref="K123:M123"/>
    <mergeCell ref="E44:G44"/>
    <mergeCell ref="CP86:CS86"/>
    <mergeCell ref="DT125:DW125"/>
    <mergeCell ref="N8:P8"/>
    <mergeCell ref="CP117:CS117"/>
    <mergeCell ref="DT127:DW127"/>
    <mergeCell ref="O45:O46"/>
    <mergeCell ref="CF87:CI87"/>
    <mergeCell ref="CP119:CS119"/>
    <mergeCell ref="DX79:EB79"/>
    <mergeCell ref="DD117:DH117"/>
    <mergeCell ref="W75:CC78"/>
    <mergeCell ref="L29:L30"/>
    <mergeCell ref="CP112:CS112"/>
    <mergeCell ref="CF82:CI82"/>
    <mergeCell ref="DD119:DH119"/>
    <mergeCell ref="F9:F10"/>
    <mergeCell ref="CJ94:CN94"/>
    <mergeCell ref="CP114:CS114"/>
    <mergeCell ref="CF113:CI113"/>
    <mergeCell ref="B69:D70"/>
    <mergeCell ref="CJ129:CN129"/>
    <mergeCell ref="CJ123:CN123"/>
    <mergeCell ref="DJ120:DM120"/>
    <mergeCell ref="E98:G98"/>
    <mergeCell ref="CJ95:CN95"/>
    <mergeCell ref="CJ89:CN89"/>
    <mergeCell ref="CJ97:CN97"/>
    <mergeCell ref="CP130:CS130"/>
    <mergeCell ref="CJ124:CN124"/>
    <mergeCell ref="CT115:CX115"/>
    <mergeCell ref="CF141:CI141"/>
    <mergeCell ref="N23:P23"/>
    <mergeCell ref="CP132:CS132"/>
    <mergeCell ref="DD130:DH130"/>
    <mergeCell ref="I100:I101"/>
    <mergeCell ref="CZ35:DC35"/>
    <mergeCell ref="CJ113:CN113"/>
    <mergeCell ref="CP127:CS127"/>
    <mergeCell ref="N74:P74"/>
    <mergeCell ref="CJ108:CN108"/>
    <mergeCell ref="W52:CC55"/>
    <mergeCell ref="W60:CC63"/>
    <mergeCell ref="I120:I121"/>
    <mergeCell ref="DX24:EB24"/>
    <mergeCell ref="CP57:CS57"/>
    <mergeCell ref="CT10:CX10"/>
    <mergeCell ref="T99:V102"/>
    <mergeCell ref="CT39:CX39"/>
    <mergeCell ref="Q56:S59"/>
    <mergeCell ref="O41:O42"/>
    <mergeCell ref="DD30:DH30"/>
    <mergeCell ref="N87:P87"/>
    <mergeCell ref="W71:CC74"/>
    <mergeCell ref="DT67:DW67"/>
    <mergeCell ref="DX77:EB77"/>
    <mergeCell ref="O72:O73"/>
    <mergeCell ref="F132:F133"/>
    <mergeCell ref="E67:G67"/>
    <mergeCell ref="CJ32:CN32"/>
    <mergeCell ref="CT29:CX29"/>
    <mergeCell ref="CT23:CX23"/>
    <mergeCell ref="K106:M106"/>
    <mergeCell ref="CF104:CI104"/>
    <mergeCell ref="Q119:S122"/>
    <mergeCell ref="DN79:DR79"/>
    <mergeCell ref="Q75:S78"/>
    <mergeCell ref="DN73:DR73"/>
    <mergeCell ref="DX95:EB95"/>
    <mergeCell ref="L53:L54"/>
    <mergeCell ref="CF106:CI106"/>
    <mergeCell ref="N19:P19"/>
    <mergeCell ref="CJ122:CN122"/>
    <mergeCell ref="DX96:EB96"/>
    <mergeCell ref="DJ91:DM91"/>
    <mergeCell ref="DD100:DH100"/>
    <mergeCell ref="F57:F58"/>
    <mergeCell ref="K36:M36"/>
    <mergeCell ref="DN92:DR92"/>
    <mergeCell ref="DN5:DR5"/>
    <mergeCell ref="DX124:EB124"/>
    <mergeCell ref="DX118:EB118"/>
    <mergeCell ref="K31:M31"/>
    <mergeCell ref="DJ15:DM15"/>
    <mergeCell ref="DT12:DW12"/>
    <mergeCell ref="DX22:EB22"/>
    <mergeCell ref="DX134:EB134"/>
    <mergeCell ref="DT7:DW7"/>
    <mergeCell ref="DX46:EB46"/>
    <mergeCell ref="DN16:DR16"/>
    <mergeCell ref="H20:J20"/>
    <mergeCell ref="CP20:CS20"/>
    <mergeCell ref="DT38:DW38"/>
    <mergeCell ref="CZ11:DC11"/>
    <mergeCell ref="DJ33:DM33"/>
    <mergeCell ref="DX48:EB48"/>
    <mergeCell ref="DD27:DH27"/>
    <mergeCell ref="DN18:DR18"/>
    <mergeCell ref="DJ43:DM43"/>
    <mergeCell ref="DJ34:DM34"/>
    <mergeCell ref="CP9:CS9"/>
    <mergeCell ref="K75:M75"/>
    <mergeCell ref="W64:CC67"/>
    <mergeCell ref="DJ136:DR137"/>
    <mergeCell ref="DN42:DR42"/>
    <mergeCell ref="N111:P111"/>
    <mergeCell ref="CF20:CI20"/>
    <mergeCell ref="DJ59:DM59"/>
    <mergeCell ref="CJ5:CN5"/>
    <mergeCell ref="CP38:CS38"/>
    <mergeCell ref="DD9:DH9"/>
    <mergeCell ref="DN44:DR44"/>
    <mergeCell ref="N119:P119"/>
    <mergeCell ref="DD45:DH45"/>
    <mergeCell ref="O25:O26"/>
    <mergeCell ref="CP4:CS4"/>
    <mergeCell ref="CT20:CX20"/>
    <mergeCell ref="CP40:CS40"/>
    <mergeCell ref="DD11:DH11"/>
    <mergeCell ref="DX59:EB59"/>
    <mergeCell ref="CF15:CI15"/>
    <mergeCell ref="K103:M103"/>
    <mergeCell ref="CZ72:DC72"/>
    <mergeCell ref="CF51:CI51"/>
    <mergeCell ref="DJ54:DM54"/>
    <mergeCell ref="L9:L10"/>
    <mergeCell ref="CP92:CS92"/>
    <mergeCell ref="N114:P114"/>
    <mergeCell ref="DX61:EB61"/>
    <mergeCell ref="B8:D11"/>
    <mergeCell ref="DT122:DW122"/>
    <mergeCell ref="DT78:DW78"/>
    <mergeCell ref="H69:J70"/>
    <mergeCell ref="DN72:DR72"/>
    <mergeCell ref="CP94:CS94"/>
    <mergeCell ref="CT46:CX46"/>
    <mergeCell ref="DD37:DH37"/>
    <mergeCell ref="CJ16:CN16"/>
    <mergeCell ref="Q99:S102"/>
    <mergeCell ref="DD98:DH98"/>
    <mergeCell ref="N130:P130"/>
    <mergeCell ref="CF33:CI33"/>
    <mergeCell ref="CJ18:CN18"/>
    <mergeCell ref="DN88:DR88"/>
    <mergeCell ref="L37:L38"/>
    <mergeCell ref="CZ83:DC83"/>
    <mergeCell ref="DX114:EB114"/>
    <mergeCell ref="DD93:DH93"/>
    <mergeCell ref="DN90:DR90"/>
    <mergeCell ref="CZ85:DC85"/>
    <mergeCell ref="DT133:DW133"/>
    <mergeCell ref="I21:I22"/>
    <mergeCell ref="DN83:DR83"/>
    <mergeCell ref="CJ103:CN103"/>
    <mergeCell ref="W2:CC3"/>
    <mergeCell ref="CT66:CX66"/>
    <mergeCell ref="L65:L66"/>
    <mergeCell ref="CJ77:CN77"/>
    <mergeCell ref="CT59:CX59"/>
    <mergeCell ref="CJ98:CN98"/>
    <mergeCell ref="DN141:DR141"/>
    <mergeCell ref="DN116:DR116"/>
    <mergeCell ref="CT95:CX95"/>
    <mergeCell ref="DT39:DW39"/>
    <mergeCell ref="CT89:CX89"/>
    <mergeCell ref="DX132:EB132"/>
    <mergeCell ref="DT5:DW5"/>
    <mergeCell ref="K55:M55"/>
    <mergeCell ref="N56:P56"/>
    <mergeCell ref="CT97:CX97"/>
    <mergeCell ref="CZ13:DC13"/>
    <mergeCell ref="DJ4:DM4"/>
    <mergeCell ref="O120:O121"/>
    <mergeCell ref="DJ39:DM39"/>
    <mergeCell ref="DX133:EB133"/>
    <mergeCell ref="DX127:EB127"/>
    <mergeCell ref="CZ15:DC15"/>
    <mergeCell ref="DT30:DW30"/>
    <mergeCell ref="K40:M40"/>
    <mergeCell ref="CJ87:CN87"/>
    <mergeCell ref="DN13:DR13"/>
    <mergeCell ref="DJ128:DM128"/>
    <mergeCell ref="DX4:EB4"/>
    <mergeCell ref="DT29:DW29"/>
    <mergeCell ref="CZ8:DC8"/>
    <mergeCell ref="DT65:DW65"/>
    <mergeCell ref="K71:M71"/>
    <mergeCell ref="DN38:DR38"/>
    <mergeCell ref="DT31:DW31"/>
    <mergeCell ref="CZ10:DC10"/>
    <mergeCell ref="DT58:DW58"/>
    <mergeCell ref="CJ88:CN88"/>
    <mergeCell ref="CZ25:DC25"/>
    <mergeCell ref="DN40:DR40"/>
    <mergeCell ref="CJ90:CN90"/>
    <mergeCell ref="DT60:DW60"/>
    <mergeCell ref="DD138:DH138"/>
    <mergeCell ref="DD132:DH132"/>
    <mergeCell ref="DJ57:DM57"/>
    <mergeCell ref="CP36:CS36"/>
    <mergeCell ref="DD51:DH51"/>
    <mergeCell ref="K74:M74"/>
    <mergeCell ref="CF22:CI22"/>
    <mergeCell ref="DN41:DR41"/>
    <mergeCell ref="N110:P110"/>
    <mergeCell ref="E2:G3"/>
    <mergeCell ref="DJ58:DM58"/>
    <mergeCell ref="DJ52:DM52"/>
    <mergeCell ref="CP31:CS31"/>
    <mergeCell ref="H31:J31"/>
    <mergeCell ref="DT49:DW49"/>
    <mergeCell ref="CZ28:DC28"/>
    <mergeCell ref="T79:V82"/>
    <mergeCell ref="B87:D90"/>
    <mergeCell ref="DD67:DH67"/>
    <mergeCell ref="DJ60:DM60"/>
    <mergeCell ref="DT42:DW42"/>
    <mergeCell ref="H60:J60"/>
    <mergeCell ref="B95:D98"/>
    <mergeCell ref="CJ12:CN12"/>
    <mergeCell ref="DT44:DW44"/>
    <mergeCell ref="CF29:CI29"/>
    <mergeCell ref="CF4:CI4"/>
    <mergeCell ref="CJ14:CN14"/>
    <mergeCell ref="DD62:DH62"/>
    <mergeCell ref="DJ55:DM55"/>
    <mergeCell ref="DN59:DR59"/>
    <mergeCell ref="L33:L34"/>
    <mergeCell ref="CZ79:DC79"/>
    <mergeCell ref="CZ54:DC54"/>
    <mergeCell ref="DX85:EB85"/>
    <mergeCell ref="DD64:DH64"/>
    <mergeCell ref="DJ80:DM80"/>
    <mergeCell ref="CZ81:DC81"/>
    <mergeCell ref="CZ56:DC56"/>
    <mergeCell ref="DT129:DW129"/>
    <mergeCell ref="B115:D118"/>
    <mergeCell ref="CJ38:CN38"/>
    <mergeCell ref="DN54:DR54"/>
    <mergeCell ref="DJ71:DM71"/>
    <mergeCell ref="DT131:DW131"/>
    <mergeCell ref="E43:G43"/>
    <mergeCell ref="Q64:S67"/>
    <mergeCell ref="DN81:DR81"/>
    <mergeCell ref="CJ40:CN40"/>
    <mergeCell ref="CT62:CX62"/>
    <mergeCell ref="CZ76:DC76"/>
    <mergeCell ref="CF84:CI84"/>
    <mergeCell ref="CP75:CS75"/>
    <mergeCell ref="E131:G131"/>
    <mergeCell ref="DN112:DR112"/>
    <mergeCell ref="CT91:CX91"/>
    <mergeCell ref="DD82:DH82"/>
    <mergeCell ref="DT126:DW126"/>
    <mergeCell ref="K138:M138"/>
    <mergeCell ref="CZ107:DC107"/>
    <mergeCell ref="CF86:CI86"/>
    <mergeCell ref="CT57:CX57"/>
    <mergeCell ref="CT93:CX93"/>
    <mergeCell ref="DD75:DH75"/>
    <mergeCell ref="DT113:DW113"/>
    <mergeCell ref="CZ92:DC92"/>
    <mergeCell ref="DN107:DR107"/>
    <mergeCell ref="CT86:CX86"/>
    <mergeCell ref="CZ102:DC102"/>
    <mergeCell ref="I53:I54"/>
    <mergeCell ref="CT117:CX117"/>
    <mergeCell ref="E69:G70"/>
    <mergeCell ref="CZ6:DC6"/>
    <mergeCell ref="CJ84:CN84"/>
    <mergeCell ref="CT119:CX119"/>
    <mergeCell ref="E115:G115"/>
    <mergeCell ref="CT75:CX75"/>
    <mergeCell ref="N27:P27"/>
    <mergeCell ref="CJ86:CN86"/>
    <mergeCell ref="CJ80:CN80"/>
    <mergeCell ref="DN125:DR125"/>
    <mergeCell ref="CP129:CS129"/>
    <mergeCell ref="CZ120:DC120"/>
    <mergeCell ref="CF99:CI99"/>
    <mergeCell ref="DN127:DR127"/>
    <mergeCell ref="CP131:CS131"/>
    <mergeCell ref="DX28:EB28"/>
    <mergeCell ref="DJ23:DM23"/>
    <mergeCell ref="DN39:DR39"/>
    <mergeCell ref="CJ112:CN112"/>
    <mergeCell ref="CT130:CX130"/>
    <mergeCell ref="T52:V55"/>
    <mergeCell ref="CJ141:CN141"/>
    <mergeCell ref="DT40:DW40"/>
    <mergeCell ref="CT132:CX132"/>
    <mergeCell ref="DT76:DW76"/>
    <mergeCell ref="W16:CC19"/>
    <mergeCell ref="DJ51:DM51"/>
    <mergeCell ref="CZ50:DC50"/>
    <mergeCell ref="DD35:DH35"/>
    <mergeCell ref="CP55:CS55"/>
    <mergeCell ref="K83:M83"/>
    <mergeCell ref="CZ52:DC52"/>
    <mergeCell ref="CF31:CI31"/>
    <mergeCell ref="DN50:DR50"/>
    <mergeCell ref="L120:L121"/>
    <mergeCell ref="CT25:CX25"/>
    <mergeCell ref="CZ45:DC45"/>
    <mergeCell ref="B119:D122"/>
    <mergeCell ref="DT102:DW102"/>
    <mergeCell ref="E39:G39"/>
    <mergeCell ref="CJ36:CN36"/>
    <mergeCell ref="Q136:S136"/>
    <mergeCell ref="CZ47:DC47"/>
    <mergeCell ref="CF26:CI26"/>
    <mergeCell ref="DT95:DW95"/>
    <mergeCell ref="CJ125:CN125"/>
    <mergeCell ref="CJ127:CN127"/>
    <mergeCell ref="DT97:DW97"/>
    <mergeCell ref="CF57:CI57"/>
    <mergeCell ref="CT28:CX28"/>
    <mergeCell ref="CP73:CS73"/>
    <mergeCell ref="CF23:CI23"/>
    <mergeCell ref="CZ63:DC63"/>
    <mergeCell ref="DJ95:DM95"/>
    <mergeCell ref="CP74:CS74"/>
    <mergeCell ref="DJ89:DM89"/>
    <mergeCell ref="H95:J95"/>
    <mergeCell ref="I132:I133"/>
    <mergeCell ref="DD104:DH104"/>
    <mergeCell ref="DJ97:DM97"/>
    <mergeCell ref="DJ124:DM124"/>
    <mergeCell ref="Q79:S82"/>
    <mergeCell ref="DT115:DW115"/>
    <mergeCell ref="CJ49:CN49"/>
    <mergeCell ref="CZ91:DC91"/>
    <mergeCell ref="DJ126:DM126"/>
    <mergeCell ref="BW139:BY139"/>
    <mergeCell ref="E83:G83"/>
    <mergeCell ref="DD99:DH99"/>
    <mergeCell ref="N106:P106"/>
    <mergeCell ref="DT141:DW141"/>
    <mergeCell ref="B127:D130"/>
    <mergeCell ref="CZ116:DC116"/>
    <mergeCell ref="O53:O54"/>
    <mergeCell ref="CF95:CI95"/>
    <mergeCell ref="CT110:CX110"/>
    <mergeCell ref="DD101:DH101"/>
    <mergeCell ref="CP102:CS102"/>
    <mergeCell ref="CZ118:DC118"/>
    <mergeCell ref="CF97:CI97"/>
    <mergeCell ref="W83:CC86"/>
    <mergeCell ref="E78:G78"/>
    <mergeCell ref="E114:G114"/>
    <mergeCell ref="H115:J115"/>
    <mergeCell ref="CZ117:DC117"/>
    <mergeCell ref="CF96:CI96"/>
    <mergeCell ref="DJ108:DM108"/>
    <mergeCell ref="E86:G86"/>
    <mergeCell ref="CP87:CS87"/>
    <mergeCell ref="Q107:S110"/>
    <mergeCell ref="H27:J27"/>
    <mergeCell ref="T48:V51"/>
    <mergeCell ref="CZ119:DC119"/>
    <mergeCell ref="CT128:CX128"/>
    <mergeCell ref="W12:CC15"/>
    <mergeCell ref="CF123:CI123"/>
    <mergeCell ref="N36:P36"/>
    <mergeCell ref="L72:L73"/>
    <mergeCell ref="O100:O101"/>
    <mergeCell ref="CP138:CS138"/>
    <mergeCell ref="CP113:CS113"/>
    <mergeCell ref="K2:M3"/>
    <mergeCell ref="CF136:CN137"/>
    <mergeCell ref="E8:G8"/>
    <mergeCell ref="CZ139:DC139"/>
    <mergeCell ref="CP140:CS140"/>
    <mergeCell ref="CZ130:DC130"/>
    <mergeCell ref="CJ121:CN121"/>
    <mergeCell ref="DN20:DR20"/>
    <mergeCell ref="N64:P64"/>
    <mergeCell ref="F76:F77"/>
    <mergeCell ref="CF134:CI134"/>
    <mergeCell ref="DT93:DW93"/>
    <mergeCell ref="CP44:CS44"/>
    <mergeCell ref="K48:M48"/>
    <mergeCell ref="CF55:CI55"/>
    <mergeCell ref="DN15:DR15"/>
    <mergeCell ref="CP37:CS37"/>
    <mergeCell ref="CT53:CX53"/>
    <mergeCell ref="DD44:DH44"/>
    <mergeCell ref="CF48:CI48"/>
    <mergeCell ref="F92:F93"/>
    <mergeCell ref="CT55:CX55"/>
    <mergeCell ref="I128:I129"/>
    <mergeCell ref="E23:G23"/>
    <mergeCell ref="Q44:S47"/>
    <mergeCell ref="N75:P75"/>
    <mergeCell ref="CJ134:CN134"/>
    <mergeCell ref="CF37:CI37"/>
    <mergeCell ref="DN33:DR33"/>
    <mergeCell ref="N102:P102"/>
    <mergeCell ref="L13:L14"/>
    <mergeCell ref="B123:D126"/>
    <mergeCell ref="DX65:EB65"/>
    <mergeCell ref="CF66:CI66"/>
    <mergeCell ref="CZ89:DC89"/>
    <mergeCell ref="W79:CC82"/>
    <mergeCell ref="N103:P103"/>
    <mergeCell ref="I25:I26"/>
    <mergeCell ref="DN87:DR87"/>
    <mergeCell ref="E110:G110"/>
    <mergeCell ref="CZ82:DC82"/>
    <mergeCell ref="DN89:DR89"/>
    <mergeCell ref="H106:J106"/>
    <mergeCell ref="CF119:CI119"/>
    <mergeCell ref="N7:P7"/>
    <mergeCell ref="O96:O97"/>
    <mergeCell ref="CP109:CS109"/>
    <mergeCell ref="W107:CC110"/>
    <mergeCell ref="DX78:EB78"/>
    <mergeCell ref="H130:J130"/>
    <mergeCell ref="O37:O38"/>
    <mergeCell ref="CT94:CX94"/>
    <mergeCell ref="W99:CC102"/>
    <mergeCell ref="E94:G94"/>
    <mergeCell ref="K122:M122"/>
    <mergeCell ref="CP111:CS111"/>
    <mergeCell ref="DX80:EB80"/>
    <mergeCell ref="CF122:CI122"/>
    <mergeCell ref="E95:G95"/>
    <mergeCell ref="F45:F46"/>
    <mergeCell ref="N60:P60"/>
    <mergeCell ref="F72:F73"/>
    <mergeCell ref="DN105:DR105"/>
    <mergeCell ref="O124:O125"/>
    <mergeCell ref="Q111:S114"/>
    <mergeCell ref="CF138:CI138"/>
    <mergeCell ref="CF132:CI132"/>
    <mergeCell ref="DX8:EB8"/>
    <mergeCell ref="N55:P55"/>
    <mergeCell ref="DX10:EB10"/>
    <mergeCell ref="CF133:CI133"/>
    <mergeCell ref="E123:G123"/>
    <mergeCell ref="DJ5:DM5"/>
    <mergeCell ref="B40:D43"/>
    <mergeCell ref="H64:J64"/>
    <mergeCell ref="DT20:DW20"/>
    <mergeCell ref="N71:P71"/>
    <mergeCell ref="DX5:EB5"/>
    <mergeCell ref="O108:O109"/>
    <mergeCell ref="DD13:DH13"/>
    <mergeCell ref="DN29:DR29"/>
    <mergeCell ref="DN4:DR4"/>
    <mergeCell ref="DT22:DW22"/>
    <mergeCell ref="DD15:DH15"/>
    <mergeCell ref="DX30:EB30"/>
    <mergeCell ref="DN31:DR31"/>
    <mergeCell ref="DN24:DR24"/>
    <mergeCell ref="DX21:EB21"/>
    <mergeCell ref="DT46:DW46"/>
    <mergeCell ref="E134:G134"/>
    <mergeCell ref="DJ16:DM16"/>
    <mergeCell ref="H2:J3"/>
    <mergeCell ref="DN32:DR32"/>
    <mergeCell ref="E47:G47"/>
    <mergeCell ref="CT7:CX7"/>
    <mergeCell ref="DX23:EB23"/>
    <mergeCell ref="CZ27:DC27"/>
    <mergeCell ref="DJ18:DM18"/>
    <mergeCell ref="DN57:DR57"/>
    <mergeCell ref="CT8:CX8"/>
    <mergeCell ref="E63:G63"/>
    <mergeCell ref="K91:M91"/>
    <mergeCell ref="DN58:DR58"/>
    <mergeCell ref="W103:CC106"/>
    <mergeCell ref="DN52:DR52"/>
    <mergeCell ref="DX74:EB74"/>
    <mergeCell ref="DX49:EB49"/>
    <mergeCell ref="O33:O34"/>
    <mergeCell ref="BW136:CC137"/>
    <mergeCell ref="DX76:EB76"/>
    <mergeCell ref="DT59:DW59"/>
    <mergeCell ref="DT89:DW89"/>
    <mergeCell ref="CJ29:CN29"/>
    <mergeCell ref="F41:F42"/>
    <mergeCell ref="DT61:DW61"/>
    <mergeCell ref="CJ31:CN31"/>
    <mergeCell ref="DD79:DH79"/>
    <mergeCell ref="DX100:EB100"/>
    <mergeCell ref="CT21:CX21"/>
    <mergeCell ref="DX102:EB102"/>
    <mergeCell ref="DD81:DH81"/>
    <mergeCell ref="E122:G122"/>
    <mergeCell ref="K15:M15"/>
    <mergeCell ref="DN96:DR96"/>
    <mergeCell ref="DX131:EB131"/>
    <mergeCell ref="DJ88:DM88"/>
    <mergeCell ref="F25:F26"/>
    <mergeCell ref="B36:D39"/>
    <mergeCell ref="T75:V78"/>
    <mergeCell ref="DJ90:DM90"/>
    <mergeCell ref="DX113:EB113"/>
    <mergeCell ref="DD92:DH92"/>
    <mergeCell ref="DN124:DR124"/>
    <mergeCell ref="CT103:CX103"/>
    <mergeCell ref="CP6:CS6"/>
    <mergeCell ref="DX115:EB115"/>
    <mergeCell ref="K28:M28"/>
    <mergeCell ref="DN126:DR126"/>
    <mergeCell ref="E130:G130"/>
    <mergeCell ref="DJ12:DM12"/>
    <mergeCell ref="T12:V15"/>
    <mergeCell ref="DD6:DH6"/>
    <mergeCell ref="DJ14:DM14"/>
    <mergeCell ref="CT92:CX92"/>
    <mergeCell ref="DJ13:DM13"/>
    <mergeCell ref="DT4:DW4"/>
    <mergeCell ref="DX14:EB14"/>
    <mergeCell ref="CJ96:CN96"/>
    <mergeCell ref="T36:V39"/>
    <mergeCell ref="DJ38:DM38"/>
    <mergeCell ref="CP17:CS17"/>
    <mergeCell ref="K56:M56"/>
    <mergeCell ref="CT6:CX6"/>
    <mergeCell ref="H11:J11"/>
    <mergeCell ref="DX45:EB45"/>
    <mergeCell ref="DD24:DH24"/>
    <mergeCell ref="DD18:DH18"/>
    <mergeCell ref="DJ40:DM40"/>
    <mergeCell ref="CP19:CS19"/>
    <mergeCell ref="H19:J19"/>
    <mergeCell ref="CZ41:DC41"/>
    <mergeCell ref="B75:D78"/>
    <mergeCell ref="DX47:EB47"/>
    <mergeCell ref="DD26:DH26"/>
    <mergeCell ref="CZ51:DC51"/>
    <mergeCell ref="DN139:DR139"/>
    <mergeCell ref="CZ34:DC34"/>
    <mergeCell ref="DT91:DW91"/>
    <mergeCell ref="Q24:S27"/>
    <mergeCell ref="DX40:EB40"/>
    <mergeCell ref="CT60:CX60"/>
    <mergeCell ref="DT57:DW57"/>
    <mergeCell ref="DT84:DW84"/>
    <mergeCell ref="F120:F121"/>
    <mergeCell ref="DD50:DH50"/>
    <mergeCell ref="DN66:DR66"/>
    <mergeCell ref="B103:D106"/>
    <mergeCell ref="DT86:DW86"/>
    <mergeCell ref="CF46:CI46"/>
    <mergeCell ref="DD16:DH16"/>
    <mergeCell ref="CT17:CX17"/>
    <mergeCell ref="DX98:EB98"/>
    <mergeCell ref="DD77:DH77"/>
    <mergeCell ref="CT11:CX11"/>
    <mergeCell ref="DD52:DH52"/>
    <mergeCell ref="CF12:CI12"/>
    <mergeCell ref="K94:M94"/>
    <mergeCell ref="CT19:CX19"/>
    <mergeCell ref="DN67:DR67"/>
    <mergeCell ref="CF14:CI14"/>
    <mergeCell ref="CZ62:DC62"/>
    <mergeCell ref="CF41:CI41"/>
    <mergeCell ref="DJ84:DM84"/>
    <mergeCell ref="K102:M102"/>
    <mergeCell ref="DX93:EB93"/>
    <mergeCell ref="BW141:BY141"/>
    <mergeCell ref="DT75:DW75"/>
    <mergeCell ref="CJ53:CN53"/>
    <mergeCell ref="CT44:CX44"/>
    <mergeCell ref="CZ64:DC64"/>
    <mergeCell ref="DJ86:DM86"/>
    <mergeCell ref="L132:L133"/>
    <mergeCell ref="CJ55:CN55"/>
    <mergeCell ref="DN94:DR94"/>
    <mergeCell ref="CT73:CX73"/>
    <mergeCell ref="B131:D134"/>
    <mergeCell ref="CT45:CX45"/>
    <mergeCell ref="DD88:DH88"/>
    <mergeCell ref="DD63:DH63"/>
    <mergeCell ref="DJ81:DM81"/>
    <mergeCell ref="O104:O105"/>
    <mergeCell ref="CT47:CX47"/>
    <mergeCell ref="DN95:DR95"/>
    <mergeCell ref="CT74:CX74"/>
    <mergeCell ref="DX117:EB117"/>
    <mergeCell ref="DD96:DH96"/>
    <mergeCell ref="DX111:EB111"/>
    <mergeCell ref="DD90:DH90"/>
    <mergeCell ref="DJ112:DM112"/>
    <mergeCell ref="CP91:CS91"/>
    <mergeCell ref="DN122:DR122"/>
    <mergeCell ref="DN97:DR97"/>
    <mergeCell ref="DT130:DW130"/>
    <mergeCell ref="B60:D63"/>
    <mergeCell ref="DJ105:DM105"/>
    <mergeCell ref="DT43:DW43"/>
    <mergeCell ref="CP93:CS93"/>
    <mergeCell ref="DJ141:DM141"/>
    <mergeCell ref="CZ75:DC75"/>
    <mergeCell ref="H114:J114"/>
    <mergeCell ref="DD91:DH91"/>
    <mergeCell ref="DX112:EB112"/>
    <mergeCell ref="DT132:DW132"/>
    <mergeCell ref="CJ66:CN66"/>
    <mergeCell ref="DN82:DR82"/>
    <mergeCell ref="DJ107:DM107"/>
    <mergeCell ref="DX141:EB141"/>
    <mergeCell ref="DD116:DH116"/>
    <mergeCell ref="Q91:S94"/>
    <mergeCell ref="CJ67:CN67"/>
    <mergeCell ref="T32:V35"/>
    <mergeCell ref="DD118:DH118"/>
    <mergeCell ref="CP13:CS13"/>
    <mergeCell ref="CZ4:DC4"/>
    <mergeCell ref="DN133:DR133"/>
    <mergeCell ref="DN108:DR108"/>
    <mergeCell ref="DJ36:DM36"/>
    <mergeCell ref="CP15:CS15"/>
    <mergeCell ref="H15:J15"/>
    <mergeCell ref="DX130:EB130"/>
    <mergeCell ref="B71:D74"/>
    <mergeCell ref="N2:P3"/>
    <mergeCell ref="DJ125:DM125"/>
    <mergeCell ref="H8:J8"/>
    <mergeCell ref="Q20:S23"/>
    <mergeCell ref="DJ127:DM127"/>
    <mergeCell ref="DX125:EB125"/>
    <mergeCell ref="DT28:DW28"/>
    <mergeCell ref="CZ7:DC7"/>
    <mergeCell ref="CF140:CI140"/>
    <mergeCell ref="DT69:EB70"/>
    <mergeCell ref="DN37:DR37"/>
    <mergeCell ref="CT138:CX138"/>
    <mergeCell ref="H39:J39"/>
    <mergeCell ref="T60:V63"/>
    <mergeCell ref="K63:M63"/>
    <mergeCell ref="I76:I77"/>
    <mergeCell ref="DD48:DH48"/>
    <mergeCell ref="CF8:CI8"/>
    <mergeCell ref="CT140:CX140"/>
    <mergeCell ref="CP43:CS43"/>
    <mergeCell ref="W24:CC27"/>
    <mergeCell ref="N48:P48"/>
    <mergeCell ref="CZ58:DC58"/>
    <mergeCell ref="CP34:CS34"/>
    <mergeCell ref="W32:CC35"/>
    <mergeCell ref="DJ49:DM49"/>
    <mergeCell ref="E27:G27"/>
    <mergeCell ref="CP28:CS28"/>
    <mergeCell ref="H28:J28"/>
    <mergeCell ref="DD43:DH43"/>
    <mergeCell ref="Q48:S51"/>
    <mergeCell ref="I92:I93"/>
    <mergeCell ref="CZ60:DC60"/>
    <mergeCell ref="CF39:CI39"/>
    <mergeCell ref="CJ138:CN138"/>
    <mergeCell ref="I5:I6"/>
    <mergeCell ref="L128:L129"/>
    <mergeCell ref="CJ9:CN9"/>
    <mergeCell ref="BZ141:CC141"/>
    <mergeCell ref="DJ50:DM50"/>
    <mergeCell ref="DT110:DW110"/>
    <mergeCell ref="H23:J23"/>
    <mergeCell ref="T44:V47"/>
    <mergeCell ref="CP25:CS25"/>
    <mergeCell ref="CT41:CX41"/>
    <mergeCell ref="CJ11:CN11"/>
    <mergeCell ref="DD59:DH59"/>
    <mergeCell ref="CJ133:CN133"/>
    <mergeCell ref="CP54:CS54"/>
    <mergeCell ref="O13:O14"/>
    <mergeCell ref="DD61:DH61"/>
    <mergeCell ref="CF65:CI65"/>
    <mergeCell ref="K126:M126"/>
    <mergeCell ref="CF21:CI21"/>
    <mergeCell ref="CP62:CS62"/>
    <mergeCell ref="H56:J56"/>
    <mergeCell ref="CP56:CS56"/>
    <mergeCell ref="CZ78:DC78"/>
    <mergeCell ref="H83:J83"/>
    <mergeCell ref="CT72:CX72"/>
    <mergeCell ref="K119:M119"/>
    <mergeCell ref="DT92:DW92"/>
    <mergeCell ref="CZ71:DC71"/>
    <mergeCell ref="H110:J110"/>
    <mergeCell ref="T131:V134"/>
    <mergeCell ref="DT128:DW128"/>
    <mergeCell ref="E40:G40"/>
    <mergeCell ref="CP69:CX70"/>
    <mergeCell ref="CJ37:CN37"/>
    <mergeCell ref="DJ103:DM103"/>
    <mergeCell ref="CZ73:DC73"/>
    <mergeCell ref="DT121:DW121"/>
    <mergeCell ref="CT88:CX88"/>
    <mergeCell ref="I17:I18"/>
    <mergeCell ref="DT123:DW123"/>
    <mergeCell ref="CZ104:DC104"/>
    <mergeCell ref="CF83:CI83"/>
    <mergeCell ref="CT54:CX54"/>
    <mergeCell ref="DD114:DH114"/>
    <mergeCell ref="CJ93:CN93"/>
    <mergeCell ref="CF49:CI49"/>
    <mergeCell ref="CJ65:CN65"/>
    <mergeCell ref="K137:M137"/>
    <mergeCell ref="CT56:CX56"/>
    <mergeCell ref="DN104:DR104"/>
    <mergeCell ref="CT83:CX83"/>
    <mergeCell ref="CZ105:DC105"/>
    <mergeCell ref="CZ99:DC99"/>
    <mergeCell ref="CF78:CI78"/>
    <mergeCell ref="DJ121:DM121"/>
    <mergeCell ref="CP100:CS100"/>
    <mergeCell ref="K139:M139"/>
    <mergeCell ref="DN106:DR106"/>
    <mergeCell ref="CT85:CX85"/>
    <mergeCell ref="CP110:CS110"/>
    <mergeCell ref="L80:L81"/>
    <mergeCell ref="B44:D47"/>
    <mergeCell ref="CZ101:DC101"/>
    <mergeCell ref="CF80:CI80"/>
    <mergeCell ref="DJ123:DM123"/>
    <mergeCell ref="I45:I46"/>
    <mergeCell ref="CT109:CX109"/>
    <mergeCell ref="CJ83:CN83"/>
    <mergeCell ref="DT53:DW53"/>
    <mergeCell ref="DJ118:DM118"/>
    <mergeCell ref="I72:I73"/>
    <mergeCell ref="K8:M8"/>
    <mergeCell ref="CT111:CX111"/>
    <mergeCell ref="DT55:DW55"/>
    <mergeCell ref="DD133:DH133"/>
    <mergeCell ref="DD127:DH127"/>
    <mergeCell ref="CP128:CS128"/>
    <mergeCell ref="F33:F34"/>
    <mergeCell ref="CJ78:CN78"/>
    <mergeCell ref="I96:I97"/>
    <mergeCell ref="DJ134:DM134"/>
    <mergeCell ref="DD128:DH128"/>
    <mergeCell ref="CJ109:CN109"/>
    <mergeCell ref="CF10:CI10"/>
    <mergeCell ref="CP123:CS123"/>
    <mergeCell ref="Q4:S7"/>
    <mergeCell ref="CJ104:CN104"/>
    <mergeCell ref="CJ140:CN140"/>
    <mergeCell ref="CJ106:CN106"/>
    <mergeCell ref="CP58:CS58"/>
    <mergeCell ref="H52:J52"/>
    <mergeCell ref="CP52:CS52"/>
    <mergeCell ref="H79:J79"/>
    <mergeCell ref="I116:I117"/>
    <mergeCell ref="DX20:EB20"/>
    <mergeCell ref="CZ42:DC42"/>
    <mergeCell ref="E36:G36"/>
    <mergeCell ref="E11:G11"/>
    <mergeCell ref="CP53:CS53"/>
    <mergeCell ref="H47:J47"/>
    <mergeCell ref="CZ44:DC44"/>
    <mergeCell ref="CJ35:CN35"/>
    <mergeCell ref="B2:D3"/>
    <mergeCell ref="N90:P90"/>
    <mergeCell ref="B111:D114"/>
    <mergeCell ref="DT94:DW94"/>
    <mergeCell ref="N83:P83"/>
    <mergeCell ref="CF45:CI45"/>
    <mergeCell ref="Q60:S63"/>
    <mergeCell ref="CJ30:CN30"/>
    <mergeCell ref="CP63:CS63"/>
    <mergeCell ref="H63:J63"/>
    <mergeCell ref="N91:P91"/>
    <mergeCell ref="CZ95:DC95"/>
    <mergeCell ref="CF74:CI74"/>
    <mergeCell ref="CP71:CS71"/>
    <mergeCell ref="E64:G64"/>
    <mergeCell ref="F128:F129"/>
    <mergeCell ref="CZ97:DC97"/>
    <mergeCell ref="CF76:CI76"/>
    <mergeCell ref="H94:J94"/>
    <mergeCell ref="T115:V118"/>
    <mergeCell ref="DJ87:DM87"/>
    <mergeCell ref="I41:I42"/>
    <mergeCell ref="CZ98:DC98"/>
    <mergeCell ref="O84:O85"/>
    <mergeCell ref="Q71:S74"/>
    <mergeCell ref="DX91:EB91"/>
    <mergeCell ref="CT107:CX107"/>
    <mergeCell ref="O80:O81"/>
    <mergeCell ref="CF102:CI102"/>
    <mergeCell ref="N15:P15"/>
    <mergeCell ref="CP124:CS124"/>
    <mergeCell ref="CF94:CI94"/>
    <mergeCell ref="E75:G75"/>
    <mergeCell ref="CP126:CS126"/>
    <mergeCell ref="CZ108:DC108"/>
    <mergeCell ref="CZ136:DH137"/>
    <mergeCell ref="CJ46:CN46"/>
    <mergeCell ref="CT125:CX125"/>
    <mergeCell ref="E103:G103"/>
    <mergeCell ref="F53:F54"/>
    <mergeCell ref="CJ100:CN100"/>
    <mergeCell ref="CF120:CI120"/>
    <mergeCell ref="K32:M32"/>
    <mergeCell ref="CJ102:CN102"/>
    <mergeCell ref="CT120:CX120"/>
    <mergeCell ref="CF121:CI121"/>
    <mergeCell ref="CF115:CI115"/>
    <mergeCell ref="K27:M27"/>
    <mergeCell ref="N28:P28"/>
    <mergeCell ref="CJ131:CN131"/>
    <mergeCell ref="E7:G7"/>
    <mergeCell ref="CP139:CS139"/>
    <mergeCell ref="DT8:DW8"/>
    <mergeCell ref="F37:F38"/>
    <mergeCell ref="DT10:DW10"/>
    <mergeCell ref="K16:M16"/>
    <mergeCell ref="DN12:DR12"/>
    <mergeCell ref="DX34:EB34"/>
    <mergeCell ref="K11:M11"/>
    <mergeCell ref="CJ115:CN115"/>
    <mergeCell ref="DJ29:DM29"/>
    <mergeCell ref="K47:M47"/>
    <mergeCell ref="DN14:DR14"/>
    <mergeCell ref="E60:G60"/>
    <mergeCell ref="DX36:EB36"/>
    <mergeCell ref="F124:F125"/>
    <mergeCell ref="DJ31:DM31"/>
    <mergeCell ref="CF47:CI47"/>
    <mergeCell ref="DJ24:DM24"/>
    <mergeCell ref="T24:V27"/>
    <mergeCell ref="DT21:DW21"/>
    <mergeCell ref="DJ32:DM32"/>
    <mergeCell ref="N99:P99"/>
    <mergeCell ref="DD41:DH41"/>
    <mergeCell ref="DJ114:DM114"/>
    <mergeCell ref="DD7:DH7"/>
    <mergeCell ref="DD34:DH34"/>
    <mergeCell ref="CP89:CS89"/>
    <mergeCell ref="DN25:DR25"/>
    <mergeCell ref="E71:G71"/>
    <mergeCell ref="N94:P94"/>
    <mergeCell ref="DX57:EB57"/>
    <mergeCell ref="CJ17:CN17"/>
    <mergeCell ref="E79:G79"/>
    <mergeCell ref="H118:J118"/>
    <mergeCell ref="DT103:DW103"/>
    <mergeCell ref="N127:P127"/>
    <mergeCell ref="E74:G74"/>
    <mergeCell ref="Q95:S98"/>
    <mergeCell ref="CT34:CX34"/>
    <mergeCell ref="G138:J138"/>
    <mergeCell ref="DD25:DH25"/>
    <mergeCell ref="DN84:DR84"/>
    <mergeCell ref="DX75:EB75"/>
    <mergeCell ref="CF117:CI117"/>
    <mergeCell ref="L25:L26"/>
    <mergeCell ref="CF111:CI111"/>
    <mergeCell ref="DN86:DR86"/>
    <mergeCell ref="CP108:CS108"/>
    <mergeCell ref="DN80:DR80"/>
    <mergeCell ref="DT6:DW6"/>
    <mergeCell ref="I80:I81"/>
    <mergeCell ref="E87:G87"/>
    <mergeCell ref="DX128:EB128"/>
    <mergeCell ref="DN8:DR8"/>
    <mergeCell ref="N52:P52"/>
    <mergeCell ref="K43:M43"/>
    <mergeCell ref="O116:O117"/>
    <mergeCell ref="DN10:DR10"/>
    <mergeCell ref="DX129:EB129"/>
    <mergeCell ref="O88:O89"/>
    <mergeCell ref="CF130:CI130"/>
    <mergeCell ref="CZ5:DC5"/>
    <mergeCell ref="T20:V23"/>
    <mergeCell ref="CJ85:CN85"/>
    <mergeCell ref="DT17:DW17"/>
    <mergeCell ref="DT11:DW11"/>
    <mergeCell ref="DT27:DW27"/>
    <mergeCell ref="DJ22:DM22"/>
    <mergeCell ref="DT19:DW19"/>
    <mergeCell ref="N63:P63"/>
    <mergeCell ref="CP32:CS32"/>
    <mergeCell ref="W69:CC70"/>
    <mergeCell ref="DN21:DR21"/>
    <mergeCell ref="K64:M64"/>
    <mergeCell ref="DX53:EB53"/>
    <mergeCell ref="DD32:DH32"/>
    <mergeCell ref="CJ13:CN13"/>
    <mergeCell ref="DN23:DR23"/>
    <mergeCell ref="CP27:CS27"/>
    <mergeCell ref="DT45:DW45"/>
    <mergeCell ref="CZ24:DC24"/>
    <mergeCell ref="CZ18:DC18"/>
    <mergeCell ref="F108:F109"/>
    <mergeCell ref="DX55:EB55"/>
    <mergeCell ref="L5:L6"/>
    <mergeCell ref="DT47:DW47"/>
    <mergeCell ref="CZ26:DC26"/>
    <mergeCell ref="DT74:DW74"/>
    <mergeCell ref="B91:D94"/>
    <mergeCell ref="CJ8:CN8"/>
    <mergeCell ref="CJ10:CN10"/>
    <mergeCell ref="DD58:DH58"/>
    <mergeCell ref="K82:M82"/>
    <mergeCell ref="G136:J136"/>
    <mergeCell ref="DN49:DR49"/>
    <mergeCell ref="DX71:EB71"/>
    <mergeCell ref="N118:P118"/>
    <mergeCell ref="DJ66:DM66"/>
    <mergeCell ref="DD60:DH60"/>
    <mergeCell ref="N126:P126"/>
    <mergeCell ref="DX73:EB73"/>
    <mergeCell ref="CZ77:DC77"/>
    <mergeCell ref="DX66:EB66"/>
    <mergeCell ref="E126:G126"/>
    <mergeCell ref="DJ67:DM67"/>
    <mergeCell ref="K110:M110"/>
    <mergeCell ref="DJ61:DM61"/>
    <mergeCell ref="H40:J40"/>
    <mergeCell ref="DT83:DW83"/>
    <mergeCell ref="DN77:DR77"/>
    <mergeCell ref="CJ28:CN28"/>
    <mergeCell ref="DD42:DH42"/>
    <mergeCell ref="CJ21:CN21"/>
    <mergeCell ref="DD78:DH78"/>
    <mergeCell ref="K12:M12"/>
    <mergeCell ref="DJ94:DM94"/>
    <mergeCell ref="DN110:DR110"/>
    <mergeCell ref="CJ23:CN23"/>
    <mergeCell ref="DD71:DH71"/>
    <mergeCell ref="DX92:EB92"/>
    <mergeCell ref="O112:O113"/>
    <mergeCell ref="K136:M136"/>
    <mergeCell ref="CZ88:DC88"/>
    <mergeCell ref="DN103:DR103"/>
    <mergeCell ref="I33:I34"/>
    <mergeCell ref="DD73:DH73"/>
    <mergeCell ref="DX94:EB94"/>
    <mergeCell ref="K7:M7"/>
    <mergeCell ref="CJ54:CN54"/>
    <mergeCell ref="W115:CC118"/>
    <mergeCell ref="CZ96:DC96"/>
    <mergeCell ref="CZ90:DC90"/>
    <mergeCell ref="DT138:DW138"/>
    <mergeCell ref="CJ81:CN81"/>
    <mergeCell ref="DT140:DW140"/>
    <mergeCell ref="E111:G111"/>
    <mergeCell ref="CT71:CX71"/>
    <mergeCell ref="CJ110:CN110"/>
    <mergeCell ref="B28:D31"/>
    <mergeCell ref="CJ76:CN76"/>
    <mergeCell ref="DN121:DR121"/>
    <mergeCell ref="CT100:CX100"/>
    <mergeCell ref="DJ138:DM138"/>
    <mergeCell ref="I61:I62"/>
    <mergeCell ref="DN123:DR123"/>
    <mergeCell ref="CT102:CX102"/>
    <mergeCell ref="DJ9:DM9"/>
    <mergeCell ref="DX138:EB138"/>
    <mergeCell ref="DT41:DW41"/>
    <mergeCell ref="CZ20:DC20"/>
    <mergeCell ref="DJ11:DM11"/>
    <mergeCell ref="DX26:EB26"/>
    <mergeCell ref="DD5:DH5"/>
    <mergeCell ref="DJ133:DM133"/>
    <mergeCell ref="F17:F18"/>
    <mergeCell ref="DN118:DR118"/>
    <mergeCell ref="DX140:EB140"/>
    <mergeCell ref="CZ22:DC22"/>
    <mergeCell ref="T4:V7"/>
    <mergeCell ref="B56:D59"/>
    <mergeCell ref="CZ2:DH3"/>
    <mergeCell ref="DT36:DW36"/>
    <mergeCell ref="DT72:DW72"/>
    <mergeCell ref="CJ6:CN6"/>
    <mergeCell ref="K78:M78"/>
    <mergeCell ref="DN45:DR45"/>
    <mergeCell ref="DX42:EB42"/>
    <mergeCell ref="CZ46:DC46"/>
    <mergeCell ref="DN134:DR134"/>
    <mergeCell ref="DJ37:DM37"/>
    <mergeCell ref="CP16:CS16"/>
    <mergeCell ref="DN53:DR53"/>
    <mergeCell ref="DN47:DR47"/>
    <mergeCell ref="K79:M79"/>
    <mergeCell ref="CZ48:DC48"/>
    <mergeCell ref="CF27:CI27"/>
    <mergeCell ref="DD139:DH139"/>
    <mergeCell ref="DN46:DR46"/>
    <mergeCell ref="CP18:CS18"/>
    <mergeCell ref="L116:L117"/>
    <mergeCell ref="DX37:EB37"/>
    <mergeCell ref="H36:J36"/>
    <mergeCell ref="CP11:CS11"/>
    <mergeCell ref="DT54:DW54"/>
    <mergeCell ref="CZ33:DC33"/>
    <mergeCell ref="DN48:DR48"/>
    <mergeCell ref="CT27:CX27"/>
    <mergeCell ref="DJ93:DM93"/>
    <mergeCell ref="CZ43:DC43"/>
    <mergeCell ref="DJ65:DM65"/>
    <mergeCell ref="DT56:DW56"/>
    <mergeCell ref="Q16:S19"/>
    <mergeCell ref="CT58:CX58"/>
    <mergeCell ref="CF9:CI9"/>
    <mergeCell ref="DT85:DW85"/>
    <mergeCell ref="CJ19:CN19"/>
    <mergeCell ref="CF11:CI11"/>
    <mergeCell ref="CT26:CX26"/>
    <mergeCell ref="CZ59:DC59"/>
    <mergeCell ref="DX90:EB90"/>
    <mergeCell ref="BW138:BY138"/>
    <mergeCell ref="CJ50:CN50"/>
    <mergeCell ref="DX126:EB126"/>
    <mergeCell ref="DT82:DW82"/>
    <mergeCell ref="CZ61:DC61"/>
    <mergeCell ref="H91:J91"/>
    <mergeCell ref="DT109:DW109"/>
    <mergeCell ref="E55:G55"/>
    <mergeCell ref="BW140:BY140"/>
    <mergeCell ref="CP72:CS72"/>
    <mergeCell ref="DT111:DW111"/>
    <mergeCell ref="E48:G48"/>
    <mergeCell ref="CJ45:CN45"/>
    <mergeCell ref="DN61:DR61"/>
    <mergeCell ref="CT42:CX42"/>
    <mergeCell ref="DJ122:DM122"/>
  </mergeCells>
  <dataValidations count="7">
    <dataValidation sqref="Q68:S68 Q135:S135" showDropDown="0" showInputMessage="1" showErrorMessage="1" allowBlank="1" type="list">
      <formula1>$Q$137:$Q$139</formula1>
    </dataValidation>
    <dataValidation sqref="H7:J7 H11:J11 H15:J15 H19:J19 H23:J23 H27:J27 H31:J31 H35:J35 H39:J39 H43:J43 H47:J47 H51:J51 H55:J55 H59:J59 H63:J63 H67:J68 H74:J74 H78:J78 H82:J82 H86:J86 H90:J90 H94:J94 H98:J98 H102:J102 H106:J106 H110:J110 H114:J114 H118:J118 H122:J122 H126:J126 H130:J130 H134:J135" showDropDown="0" showInputMessage="1" showErrorMessage="1" allowBlank="1" error="17時以降は時間外に記入してください。" type="time">
      <formula1>0.333333333333333</formula1>
      <formula2>0.708333333333333</formula2>
    </dataValidation>
    <dataValidation sqref="H4:J4 H8:J8 H12:J12 H16:J16 H20:J20 H24:J24 H28:J28 H32:J32 H36:J36 H40:J40 H44:J44 H48:J48 H52:J52 H56:J56 H60:J60 H64:J64 H71:J71 H75:J75 H79:J79 H83:J83 H87:J87 H91:J91 H95:J95 H99:J99 H103:J103 H107:J107 H111:J111 H115:J115 H119:J119 H123:J123 H127:J127 H131:J131" showDropDown="0" showInputMessage="1" showErrorMessage="1" allowBlank="1" error="8時以前は時間外に記入してください。" type="time">
      <formula1>0.333333333333333</formula1>
      <formula2>0.708333333333333</formula2>
    </dataValidation>
    <dataValidation sqref="K5:M6" showDropDown="0" showInputMessage="1" showErrorMessage="1" allowBlank="1" type="custom">
      <formula1>AND(K1048514&gt;=$K$136,K1048514&lt;=$K$137)+AND(K1048514&gt;=$K$138,K1048514&lt;=$K$139)</formula1>
    </dataValidation>
    <dataValidation sqref="K7:M67 K71:M134" showDropDown="0" showInputMessage="1" showErrorMessage="1" allowBlank="1" error="時間外のみ記載してください。" type="custom">
      <formula1>AND(K7&gt;=$K$136,K7&lt;=$K$137)+AND(K7&gt;=$K$138,K7&lt;=$K$139)</formula1>
    </dataValidation>
    <dataValidation sqref="K4:M4" showDropDown="0" showInputMessage="1" showErrorMessage="1" allowBlank="1" type="custom">
      <formula1>AND(K4&gt;=$K$136,K4&lt;=$K$137)+AND(K4&gt;=$K$138,K4&lt;=$K$139)</formula1>
    </dataValidation>
    <dataValidation sqref="Q4:S67 Q71:S134" showDropDown="0" showInputMessage="1" showErrorMessage="1" allowBlank="1" type="list">
      <formula1>$Q$137:$Q$141</formula1>
    </dataValidation>
  </dataValidations>
  <pageMargins left="0.3149606299212598" right="0.1181102362204725" top="0.3149606299212598" bottom="0" header="0.1968503937007874" footer="0.1968503937007874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40"/>
  <sheetViews>
    <sheetView showZeros="0" tabSelected="1" zoomScaleNormal="100" workbookViewId="0">
      <selection activeCell="M23" sqref="M23:T23"/>
    </sheetView>
  </sheetViews>
  <sheetFormatPr baseColWidth="8" defaultRowHeight="18.75"/>
  <cols>
    <col width="2.625" customWidth="1" style="1" min="1" max="100"/>
    <col width="9" customWidth="1" style="1" min="101" max="16384"/>
  </cols>
  <sheetData>
    <row r="1" ht="22.5" customHeight="1" s="337">
      <c r="A1" s="332" t="inlineStr">
        <is>
          <t>船 名</t>
        </is>
      </c>
      <c r="B1" s="463" t="n"/>
      <c r="C1" s="464" t="n"/>
      <c r="D1" s="332">
        <f>作業報告書!C5</f>
        <v/>
      </c>
      <c r="E1" s="463" t="n"/>
      <c r="F1" s="463" t="n"/>
      <c r="G1" s="463" t="n"/>
      <c r="H1" s="463" t="n"/>
      <c r="I1" s="463" t="n"/>
      <c r="J1" s="463" t="n"/>
      <c r="K1" s="463" t="n"/>
      <c r="L1" s="463" t="n"/>
      <c r="M1" s="463" t="n"/>
      <c r="N1" s="463" t="n"/>
      <c r="O1" s="464" t="n"/>
      <c r="P1" s="66" t="inlineStr">
        <is>
          <t>科　目</t>
        </is>
      </c>
      <c r="Q1" s="463" t="n"/>
      <c r="R1" s="464" t="n"/>
      <c r="S1" s="66">
        <f>作業報告書!Y5</f>
        <v/>
      </c>
      <c r="T1" s="463" t="n"/>
      <c r="U1" s="463" t="n"/>
      <c r="V1" s="463" t="n"/>
      <c r="W1" s="463" t="n"/>
      <c r="X1" s="463" t="n"/>
      <c r="Y1" s="463" t="n"/>
      <c r="Z1" s="463" t="n"/>
      <c r="AA1" s="463" t="n"/>
      <c r="AB1" s="463" t="n"/>
      <c r="AC1" s="463" t="n"/>
      <c r="AD1" s="464" t="n"/>
      <c r="AE1" s="66" t="inlineStr">
        <is>
          <t>型　名</t>
        </is>
      </c>
      <c r="AF1" s="463" t="n"/>
      <c r="AG1" s="464" t="n"/>
      <c r="AH1" s="66" t="n"/>
      <c r="AI1" s="463" t="n"/>
      <c r="AJ1" s="463" t="n"/>
      <c r="AK1" s="463" t="n"/>
      <c r="AL1" s="463" t="n"/>
      <c r="AM1" s="463" t="n"/>
      <c r="AN1" s="463" t="n"/>
      <c r="AO1" s="463" t="n"/>
      <c r="AP1" s="463" t="n"/>
      <c r="AQ1" s="463" t="n"/>
      <c r="AR1" s="463" t="n"/>
      <c r="AS1" s="464" t="n"/>
      <c r="AT1" s="66" t="inlineStr">
        <is>
          <t>完成月日</t>
        </is>
      </c>
      <c r="AU1" s="463" t="n"/>
      <c r="AV1" s="463" t="n"/>
      <c r="AW1" s="464" t="n"/>
      <c r="AX1" s="465" t="n"/>
      <c r="AY1" s="463" t="n"/>
      <c r="AZ1" s="463" t="n"/>
      <c r="BA1" s="463" t="n"/>
      <c r="BB1" s="464" t="n"/>
    </row>
    <row r="2" ht="18" customHeight="1" s="337">
      <c r="A2" s="62" t="inlineStr">
        <is>
          <t>氏　　名</t>
        </is>
      </c>
      <c r="B2" s="427" t="n"/>
      <c r="C2" s="427" t="n"/>
      <c r="D2" s="427" t="n"/>
      <c r="E2" s="427" t="n"/>
      <c r="F2" s="428" t="n"/>
      <c r="G2" s="62" t="inlineStr">
        <is>
          <t>平 日 時 間 (内)</t>
        </is>
      </c>
      <c r="H2" s="427" t="n"/>
      <c r="I2" s="427" t="n"/>
      <c r="J2" s="427" t="n"/>
      <c r="K2" s="427" t="n"/>
      <c r="L2" s="428" t="n"/>
      <c r="M2" s="62" t="inlineStr">
        <is>
          <t>工　賃(@7,000)</t>
        </is>
      </c>
      <c r="N2" s="427" t="n"/>
      <c r="O2" s="427" t="n"/>
      <c r="P2" s="427" t="n"/>
      <c r="Q2" s="427" t="n"/>
      <c r="R2" s="428" t="n"/>
      <c r="S2" s="62" t="inlineStr">
        <is>
          <t>平 日 時 間 (外)</t>
        </is>
      </c>
      <c r="T2" s="427" t="n"/>
      <c r="U2" s="427" t="n"/>
      <c r="V2" s="427" t="n"/>
      <c r="W2" s="427" t="n"/>
      <c r="X2" s="428" t="n"/>
      <c r="Y2" s="62" t="inlineStr">
        <is>
          <t>休 日 労 働 時 間</t>
        </is>
      </c>
      <c r="Z2" s="427" t="n"/>
      <c r="AA2" s="427" t="n"/>
      <c r="AB2" s="427" t="n"/>
      <c r="AC2" s="427" t="n"/>
      <c r="AD2" s="428" t="n"/>
      <c r="AE2" s="62" t="inlineStr">
        <is>
          <t>工　賃(@8,400)</t>
        </is>
      </c>
      <c r="AF2" s="427" t="n"/>
      <c r="AG2" s="427" t="n"/>
      <c r="AH2" s="427" t="n"/>
      <c r="AI2" s="427" t="n"/>
      <c r="AJ2" s="428" t="n"/>
      <c r="AK2" s="62" t="inlineStr">
        <is>
          <t>移 動 時 間</t>
        </is>
      </c>
      <c r="AL2" s="427" t="n"/>
      <c r="AM2" s="427" t="n"/>
      <c r="AN2" s="428" t="n"/>
      <c r="AO2" s="62" t="inlineStr">
        <is>
          <t>移動費(×0.8)</t>
        </is>
      </c>
      <c r="AP2" s="427" t="n"/>
      <c r="AQ2" s="427" t="n"/>
      <c r="AR2" s="427" t="n"/>
      <c r="AS2" s="427" t="n"/>
      <c r="AT2" s="428" t="n"/>
      <c r="AU2" s="62" t="inlineStr">
        <is>
          <t>備　　考</t>
        </is>
      </c>
      <c r="AV2" s="427" t="n"/>
      <c r="AW2" s="427" t="n"/>
      <c r="AX2" s="427" t="n"/>
      <c r="AY2" s="427" t="n"/>
      <c r="AZ2" s="427" t="n"/>
      <c r="BA2" s="427" t="n"/>
      <c r="BB2" s="428" t="n"/>
    </row>
    <row r="3" ht="22.5" customHeight="1" s="337">
      <c r="A3" s="333" t="n"/>
      <c r="B3" s="427" t="n"/>
      <c r="C3" s="427" t="n"/>
      <c r="D3" s="427" t="n"/>
      <c r="E3" s="427" t="n"/>
      <c r="F3" s="428" t="n"/>
      <c r="G3" s="466">
        <f>SUM('作業報告書:作業報告書 (END)'!CJ139)</f>
        <v/>
      </c>
      <c r="H3" s="427" t="n"/>
      <c r="I3" s="427" t="n"/>
      <c r="J3" s="427" t="n"/>
      <c r="K3" s="427" t="n"/>
      <c r="L3" s="428" t="n"/>
      <c r="M3" s="467">
        <f>(G3*24)*7000</f>
        <v/>
      </c>
      <c r="N3" s="427" t="n"/>
      <c r="O3" s="427" t="n"/>
      <c r="P3" s="427" t="n"/>
      <c r="Q3" s="427" t="n"/>
      <c r="R3" s="428" t="n"/>
      <c r="S3" s="466">
        <f>SUM('作業報告書:作業報告書 (END)'!CJ140)</f>
        <v/>
      </c>
      <c r="T3" s="427" t="n"/>
      <c r="U3" s="427" t="n"/>
      <c r="V3" s="427" t="n"/>
      <c r="W3" s="427" t="n"/>
      <c r="X3" s="428" t="n"/>
      <c r="Y3" s="466">
        <f>SUM('作業報告書:作業報告書 (END)'!CJ141)</f>
        <v/>
      </c>
      <c r="Z3" s="427" t="n"/>
      <c r="AA3" s="427" t="n"/>
      <c r="AB3" s="427" t="n"/>
      <c r="AC3" s="427" t="n"/>
      <c r="AD3" s="428" t="n"/>
      <c r="AE3" s="467">
        <f>(S3*24+Y3*24)*8400</f>
        <v/>
      </c>
      <c r="AF3" s="427" t="n"/>
      <c r="AG3" s="427" t="n"/>
      <c r="AH3" s="427" t="n"/>
      <c r="AI3" s="427" t="n"/>
      <c r="AJ3" s="428" t="n"/>
      <c r="AK3" s="466">
        <f>SUM('作業報告書:作業報告書 (END)'!CJ138)</f>
        <v/>
      </c>
      <c r="AL3" s="427" t="n"/>
      <c r="AM3" s="427" t="n"/>
      <c r="AN3" s="428" t="n"/>
      <c r="AO3" s="467">
        <f>(AK3*24)*5600</f>
        <v/>
      </c>
      <c r="AP3" s="427" t="n"/>
      <c r="AQ3" s="427" t="n"/>
      <c r="AR3" s="427" t="n"/>
      <c r="AS3" s="427" t="n"/>
      <c r="AT3" s="428" t="n"/>
      <c r="AU3" s="334" t="n"/>
      <c r="AV3" s="463" t="n"/>
      <c r="AW3" s="463" t="n"/>
      <c r="AX3" s="463" t="n"/>
      <c r="AY3" s="463" t="n"/>
      <c r="AZ3" s="463" t="n"/>
      <c r="BA3" s="463" t="n"/>
      <c r="BB3" s="464" t="n"/>
    </row>
    <row r="4" ht="22.5" customHeight="1" s="337">
      <c r="A4" s="334" t="n"/>
      <c r="B4" s="463" t="n"/>
      <c r="C4" s="463" t="n"/>
      <c r="D4" s="463" t="n"/>
      <c r="E4" s="463" t="n"/>
      <c r="F4" s="464" t="n"/>
      <c r="G4" s="466">
        <f>SUM('作業報告書:作業報告書 (END)'!CT139)</f>
        <v/>
      </c>
      <c r="H4" s="427" t="n"/>
      <c r="I4" s="427" t="n"/>
      <c r="J4" s="427" t="n"/>
      <c r="K4" s="427" t="n"/>
      <c r="L4" s="428" t="n"/>
      <c r="M4" s="467">
        <f>(G4*24)*7000</f>
        <v/>
      </c>
      <c r="N4" s="427" t="n"/>
      <c r="O4" s="427" t="n"/>
      <c r="P4" s="427" t="n"/>
      <c r="Q4" s="427" t="n"/>
      <c r="R4" s="428" t="n"/>
      <c r="S4" s="466">
        <f>SUM('作業報告書:作業報告書 (END)'!CT140)</f>
        <v/>
      </c>
      <c r="T4" s="427" t="n"/>
      <c r="U4" s="427" t="n"/>
      <c r="V4" s="427" t="n"/>
      <c r="W4" s="427" t="n"/>
      <c r="X4" s="428" t="n"/>
      <c r="Y4" s="466">
        <f>SUM('作業報告書:作業報告書 (END)'!CT141)</f>
        <v/>
      </c>
      <c r="Z4" s="427" t="n"/>
      <c r="AA4" s="427" t="n"/>
      <c r="AB4" s="427" t="n"/>
      <c r="AC4" s="427" t="n"/>
      <c r="AD4" s="428" t="n"/>
      <c r="AE4" s="467">
        <f>(S4*24+Y4*24)*8400</f>
        <v/>
      </c>
      <c r="AF4" s="427" t="n"/>
      <c r="AG4" s="427" t="n"/>
      <c r="AH4" s="427" t="n"/>
      <c r="AI4" s="427" t="n"/>
      <c r="AJ4" s="428" t="n"/>
      <c r="AK4" s="466">
        <f>SUM('作業報告書:作業報告書 (END)'!CT138)</f>
        <v/>
      </c>
      <c r="AL4" s="427" t="n"/>
      <c r="AM4" s="427" t="n"/>
      <c r="AN4" s="428" t="n"/>
      <c r="AO4" s="467">
        <f>(AK4*24)*5600</f>
        <v/>
      </c>
      <c r="AP4" s="427" t="n"/>
      <c r="AQ4" s="427" t="n"/>
      <c r="AR4" s="427" t="n"/>
      <c r="AS4" s="427" t="n"/>
      <c r="AT4" s="428" t="n"/>
      <c r="AU4" s="334" t="n"/>
      <c r="AV4" s="463" t="n"/>
      <c r="AW4" s="463" t="n"/>
      <c r="AX4" s="463" t="n"/>
      <c r="AY4" s="463" t="n"/>
      <c r="AZ4" s="463" t="n"/>
      <c r="BA4" s="463" t="n"/>
      <c r="BB4" s="464" t="n"/>
    </row>
    <row r="5" ht="22.5" customHeight="1" s="337">
      <c r="A5" s="334" t="n"/>
      <c r="B5" s="463" t="n"/>
      <c r="C5" s="463" t="n"/>
      <c r="D5" s="463" t="n"/>
      <c r="E5" s="463" t="n"/>
      <c r="F5" s="464" t="n"/>
      <c r="G5" s="466">
        <f>SUM('作業報告書:作業報告書 (END)'!DD139)</f>
        <v/>
      </c>
      <c r="H5" s="427" t="n"/>
      <c r="I5" s="427" t="n"/>
      <c r="J5" s="427" t="n"/>
      <c r="K5" s="427" t="n"/>
      <c r="L5" s="428" t="n"/>
      <c r="M5" s="467">
        <f>(G5*24)*7000</f>
        <v/>
      </c>
      <c r="N5" s="427" t="n"/>
      <c r="O5" s="427" t="n"/>
      <c r="P5" s="427" t="n"/>
      <c r="Q5" s="427" t="n"/>
      <c r="R5" s="428" t="n"/>
      <c r="S5" s="466">
        <f>SUM('作業報告書:作業報告書 (END)'!DD140)</f>
        <v/>
      </c>
      <c r="T5" s="427" t="n"/>
      <c r="U5" s="427" t="n"/>
      <c r="V5" s="427" t="n"/>
      <c r="W5" s="427" t="n"/>
      <c r="X5" s="428" t="n"/>
      <c r="Y5" s="466">
        <f>SUM('作業報告書:作業報告書 (END)'!DD141)</f>
        <v/>
      </c>
      <c r="Z5" s="427" t="n"/>
      <c r="AA5" s="427" t="n"/>
      <c r="AB5" s="427" t="n"/>
      <c r="AC5" s="427" t="n"/>
      <c r="AD5" s="428" t="n"/>
      <c r="AE5" s="467">
        <f>(S5*24+Y5*24)*8400</f>
        <v/>
      </c>
      <c r="AF5" s="427" t="n"/>
      <c r="AG5" s="427" t="n"/>
      <c r="AH5" s="427" t="n"/>
      <c r="AI5" s="427" t="n"/>
      <c r="AJ5" s="428" t="n"/>
      <c r="AK5" s="466">
        <f>SUM('作業報告書:作業報告書 (END)'!DD138)</f>
        <v/>
      </c>
      <c r="AL5" s="427" t="n"/>
      <c r="AM5" s="427" t="n"/>
      <c r="AN5" s="428" t="n"/>
      <c r="AO5" s="467">
        <f>(AK5*24)*5600</f>
        <v/>
      </c>
      <c r="AP5" s="427" t="n"/>
      <c r="AQ5" s="427" t="n"/>
      <c r="AR5" s="427" t="n"/>
      <c r="AS5" s="427" t="n"/>
      <c r="AT5" s="428" t="n"/>
      <c r="AU5" s="334" t="n"/>
      <c r="AV5" s="463" t="n"/>
      <c r="AW5" s="463" t="n"/>
      <c r="AX5" s="463" t="n"/>
      <c r="AY5" s="463" t="n"/>
      <c r="AZ5" s="463" t="n"/>
      <c r="BA5" s="463" t="n"/>
      <c r="BB5" s="464" t="n"/>
    </row>
    <row r="6" ht="22.5" customHeight="1" s="337">
      <c r="A6" s="334" t="n"/>
      <c r="B6" s="463" t="n"/>
      <c r="C6" s="463" t="n"/>
      <c r="D6" s="463" t="n"/>
      <c r="E6" s="463" t="n"/>
      <c r="F6" s="464" t="n"/>
      <c r="G6" s="466">
        <f>SUM('作業報告書:作業報告書 (END)'!DN139)</f>
        <v/>
      </c>
      <c r="H6" s="427" t="n"/>
      <c r="I6" s="427" t="n"/>
      <c r="J6" s="427" t="n"/>
      <c r="K6" s="427" t="n"/>
      <c r="L6" s="428" t="n"/>
      <c r="M6" s="467">
        <f>(G6*24)*7000</f>
        <v/>
      </c>
      <c r="N6" s="427" t="n"/>
      <c r="O6" s="427" t="n"/>
      <c r="P6" s="427" t="n"/>
      <c r="Q6" s="427" t="n"/>
      <c r="R6" s="428" t="n"/>
      <c r="S6" s="466">
        <f>SUM('作業報告書:作業報告書 (END)'!DN140)</f>
        <v/>
      </c>
      <c r="T6" s="427" t="n"/>
      <c r="U6" s="427" t="n"/>
      <c r="V6" s="427" t="n"/>
      <c r="W6" s="427" t="n"/>
      <c r="X6" s="428" t="n"/>
      <c r="Y6" s="466">
        <f>SUM('作業報告書:作業報告書 (END)'!DN141)</f>
        <v/>
      </c>
      <c r="Z6" s="427" t="n"/>
      <c r="AA6" s="427" t="n"/>
      <c r="AB6" s="427" t="n"/>
      <c r="AC6" s="427" t="n"/>
      <c r="AD6" s="428" t="n"/>
      <c r="AE6" s="467">
        <f>(S6*24+Y6*24)*8400</f>
        <v/>
      </c>
      <c r="AF6" s="427" t="n"/>
      <c r="AG6" s="427" t="n"/>
      <c r="AH6" s="427" t="n"/>
      <c r="AI6" s="427" t="n"/>
      <c r="AJ6" s="428" t="n"/>
      <c r="AK6" s="466">
        <f>SUM('作業報告書:作業報告書 (END)'!DN138)</f>
        <v/>
      </c>
      <c r="AL6" s="427" t="n"/>
      <c r="AM6" s="427" t="n"/>
      <c r="AN6" s="428" t="n"/>
      <c r="AO6" s="467">
        <f>(AK6*24)*5600</f>
        <v/>
      </c>
      <c r="AP6" s="427" t="n"/>
      <c r="AQ6" s="427" t="n"/>
      <c r="AR6" s="427" t="n"/>
      <c r="AS6" s="427" t="n"/>
      <c r="AT6" s="428" t="n"/>
      <c r="AU6" s="334" t="n"/>
      <c r="AV6" s="463" t="n"/>
      <c r="AW6" s="463" t="n"/>
      <c r="AX6" s="463" t="n"/>
      <c r="AY6" s="463" t="n"/>
      <c r="AZ6" s="463" t="n"/>
      <c r="BA6" s="463" t="n"/>
      <c r="BB6" s="464" t="n"/>
    </row>
    <row r="7" ht="22.5" customHeight="1" s="337">
      <c r="A7" s="334" t="n"/>
      <c r="B7" s="463" t="n"/>
      <c r="C7" s="463" t="n"/>
      <c r="D7" s="463" t="n"/>
      <c r="E7" s="463" t="n"/>
      <c r="F7" s="464" t="n"/>
      <c r="G7" s="466">
        <f>SUM('作業報告書:作業報告書 (END)'!DX139)</f>
        <v/>
      </c>
      <c r="H7" s="427" t="n"/>
      <c r="I7" s="427" t="n"/>
      <c r="J7" s="427" t="n"/>
      <c r="K7" s="427" t="n"/>
      <c r="L7" s="428" t="n"/>
      <c r="M7" s="467">
        <f>(G7*24)*7000</f>
        <v/>
      </c>
      <c r="N7" s="427" t="n"/>
      <c r="O7" s="427" t="n"/>
      <c r="P7" s="427" t="n"/>
      <c r="Q7" s="427" t="n"/>
      <c r="R7" s="428" t="n"/>
      <c r="S7" s="466">
        <f>SUM('作業報告書:作業報告書 (END)'!DX140)</f>
        <v/>
      </c>
      <c r="T7" s="427" t="n"/>
      <c r="U7" s="427" t="n"/>
      <c r="V7" s="427" t="n"/>
      <c r="W7" s="427" t="n"/>
      <c r="X7" s="428" t="n"/>
      <c r="Y7" s="466">
        <f>SUM('作業報告書:作業報告書 (END)'!DX141)</f>
        <v/>
      </c>
      <c r="Z7" s="427" t="n"/>
      <c r="AA7" s="427" t="n"/>
      <c r="AB7" s="427" t="n"/>
      <c r="AC7" s="427" t="n"/>
      <c r="AD7" s="428" t="n"/>
      <c r="AE7" s="467">
        <f>(S7*24+Y7*24)*8400</f>
        <v/>
      </c>
      <c r="AF7" s="427" t="n"/>
      <c r="AG7" s="427" t="n"/>
      <c r="AH7" s="427" t="n"/>
      <c r="AI7" s="427" t="n"/>
      <c r="AJ7" s="428" t="n"/>
      <c r="AK7" s="466">
        <f>SUM('作業報告書:作業報告書 (END)'!DX138)</f>
        <v/>
      </c>
      <c r="AL7" s="427" t="n"/>
      <c r="AM7" s="427" t="n"/>
      <c r="AN7" s="428" t="n"/>
      <c r="AO7" s="467">
        <f>(AK7*24)*5600</f>
        <v/>
      </c>
      <c r="AP7" s="427" t="n"/>
      <c r="AQ7" s="427" t="n"/>
      <c r="AR7" s="427" t="n"/>
      <c r="AS7" s="427" t="n"/>
      <c r="AT7" s="428" t="n"/>
      <c r="AU7" s="334" t="n"/>
      <c r="AV7" s="463" t="n"/>
      <c r="AW7" s="463" t="n"/>
      <c r="AX7" s="463" t="n"/>
      <c r="AY7" s="463" t="n"/>
      <c r="AZ7" s="463" t="n"/>
      <c r="BA7" s="463" t="n"/>
      <c r="BB7" s="464" t="n"/>
    </row>
    <row r="8" ht="22.5" customHeight="1" s="337">
      <c r="A8" s="334" t="n"/>
      <c r="B8" s="463" t="n"/>
      <c r="C8" s="463" t="n"/>
      <c r="D8" s="463" t="n"/>
      <c r="E8" s="463" t="n"/>
      <c r="F8" s="464" t="n"/>
      <c r="G8" s="468" t="n"/>
      <c r="H8" s="463" t="n"/>
      <c r="I8" s="463" t="n"/>
      <c r="J8" s="463" t="n"/>
      <c r="K8" s="463" t="n"/>
      <c r="L8" s="464" t="n"/>
      <c r="M8" s="467">
        <f>(G8*24)*7000</f>
        <v/>
      </c>
      <c r="N8" s="427" t="n"/>
      <c r="O8" s="427" t="n"/>
      <c r="P8" s="427" t="n"/>
      <c r="Q8" s="427" t="n"/>
      <c r="R8" s="428" t="n"/>
      <c r="S8" s="468" t="n"/>
      <c r="T8" s="463" t="n"/>
      <c r="U8" s="463" t="n"/>
      <c r="V8" s="463" t="n"/>
      <c r="W8" s="463" t="n"/>
      <c r="X8" s="464" t="n"/>
      <c r="Y8" s="468" t="n"/>
      <c r="Z8" s="463" t="n"/>
      <c r="AA8" s="463" t="n"/>
      <c r="AB8" s="463" t="n"/>
      <c r="AC8" s="463" t="n"/>
      <c r="AD8" s="464" t="n"/>
      <c r="AE8" s="467">
        <f>(S8*24+Y8*24)*8400</f>
        <v/>
      </c>
      <c r="AF8" s="427" t="n"/>
      <c r="AG8" s="427" t="n"/>
      <c r="AH8" s="427" t="n"/>
      <c r="AI8" s="427" t="n"/>
      <c r="AJ8" s="428" t="n"/>
      <c r="AK8" s="468" t="n"/>
      <c r="AL8" s="463" t="n"/>
      <c r="AM8" s="463" t="n"/>
      <c r="AN8" s="464" t="n"/>
      <c r="AO8" s="467">
        <f>(AK8*24)*5600</f>
        <v/>
      </c>
      <c r="AP8" s="427" t="n"/>
      <c r="AQ8" s="427" t="n"/>
      <c r="AR8" s="427" t="n"/>
      <c r="AS8" s="427" t="n"/>
      <c r="AT8" s="428" t="n"/>
      <c r="AU8" s="334" t="n"/>
      <c r="AV8" s="463" t="n"/>
      <c r="AW8" s="463" t="n"/>
      <c r="AX8" s="463" t="n"/>
      <c r="AY8" s="463" t="n"/>
      <c r="AZ8" s="463" t="n"/>
      <c r="BA8" s="463" t="n"/>
      <c r="BB8" s="464" t="n"/>
    </row>
    <row r="9" ht="22.5" customHeight="1" s="337">
      <c r="A9" s="469" t="inlineStr">
        <is>
          <t>合計</t>
        </is>
      </c>
      <c r="B9" s="470" t="n"/>
      <c r="C9" s="470" t="n"/>
      <c r="D9" s="470" t="n"/>
      <c r="E9" s="470" t="n"/>
      <c r="F9" s="471" t="n"/>
      <c r="G9" s="468">
        <f>SUM(G3:L8)</f>
        <v/>
      </c>
      <c r="H9" s="470" t="n"/>
      <c r="I9" s="470" t="n"/>
      <c r="J9" s="470" t="n"/>
      <c r="K9" s="470" t="n"/>
      <c r="L9" s="471" t="n"/>
      <c r="M9" s="472">
        <f>SUM(M3:R8)</f>
        <v/>
      </c>
      <c r="N9" s="470" t="n"/>
      <c r="O9" s="470" t="n"/>
      <c r="P9" s="470" t="n"/>
      <c r="Q9" s="470" t="n"/>
      <c r="R9" s="471" t="n"/>
      <c r="S9" s="468">
        <f>SUM(S3:X8)</f>
        <v/>
      </c>
      <c r="T9" s="470" t="n"/>
      <c r="U9" s="470" t="n"/>
      <c r="V9" s="470" t="n"/>
      <c r="W9" s="470" t="n"/>
      <c r="X9" s="471" t="n"/>
      <c r="Y9" s="468">
        <f>SUM(Y3:AD8)</f>
        <v/>
      </c>
      <c r="Z9" s="470" t="n"/>
      <c r="AA9" s="470" t="n"/>
      <c r="AB9" s="470" t="n"/>
      <c r="AC9" s="470" t="n"/>
      <c r="AD9" s="471" t="n"/>
      <c r="AE9" s="472">
        <f>SUM(AE3:AJ8)</f>
        <v/>
      </c>
      <c r="AF9" s="470" t="n"/>
      <c r="AG9" s="470" t="n"/>
      <c r="AH9" s="470" t="n"/>
      <c r="AI9" s="470" t="n"/>
      <c r="AJ9" s="471" t="n"/>
      <c r="AK9" s="468">
        <f>SUM(AK3:AN8)</f>
        <v/>
      </c>
      <c r="AL9" s="470" t="n"/>
      <c r="AM9" s="470" t="n"/>
      <c r="AN9" s="471" t="n"/>
      <c r="AO9" s="467">
        <f>SUM(AO3:AT8)</f>
        <v/>
      </c>
      <c r="AP9" s="473" t="n"/>
      <c r="AQ9" s="473" t="n"/>
      <c r="AR9" s="473" t="n"/>
      <c r="AS9" s="473" t="n"/>
      <c r="AT9" s="474" t="n"/>
      <c r="AU9" s="334" t="n"/>
      <c r="AV9" s="470" t="n"/>
      <c r="AW9" s="470" t="n"/>
      <c r="AX9" s="470" t="n"/>
      <c r="AY9" s="470" t="n"/>
      <c r="AZ9" s="470" t="n"/>
      <c r="BA9" s="470" t="n"/>
      <c r="BB9" s="471" t="n"/>
    </row>
    <row r="10" ht="20.1" customHeight="1" s="337">
      <c r="A10" s="336" t="inlineStr">
        <is>
          <t>材　　　　料　　　　持　　　　出　　　　表</t>
        </is>
      </c>
      <c r="B10" s="463" t="n"/>
      <c r="C10" s="463" t="n"/>
      <c r="D10" s="463" t="n"/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3" t="n"/>
      <c r="V10" s="463" t="n"/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3" t="n"/>
      <c r="AN10" s="463" t="n"/>
      <c r="AO10" s="463" t="n"/>
      <c r="AP10" s="463" t="n"/>
      <c r="AQ10" s="463" t="n"/>
      <c r="AR10" s="463" t="n"/>
      <c r="AS10" s="463" t="n"/>
      <c r="AT10" s="463" t="n"/>
      <c r="AU10" s="463" t="n"/>
      <c r="AV10" s="463" t="n"/>
      <c r="AW10" s="463" t="n"/>
      <c r="AX10" s="463" t="n"/>
      <c r="AY10" s="463" t="n"/>
      <c r="AZ10" s="463" t="n"/>
      <c r="BA10" s="463" t="n"/>
      <c r="BB10" s="464" t="n"/>
    </row>
    <row r="11" ht="18" customHeight="1" s="337">
      <c r="A11" s="66" t="inlineStr">
        <is>
          <t>月 / 日</t>
        </is>
      </c>
      <c r="B11" s="463" t="n"/>
      <c r="C11" s="463" t="n"/>
      <c r="D11" s="464" t="n"/>
      <c r="E11" s="66" t="inlineStr">
        <is>
          <t>品     名</t>
        </is>
      </c>
      <c r="F11" s="463" t="n"/>
      <c r="G11" s="463" t="n"/>
      <c r="H11" s="463" t="n"/>
      <c r="I11" s="463" t="n"/>
      <c r="J11" s="463" t="n"/>
      <c r="K11" s="463" t="n"/>
      <c r="L11" s="464" t="n"/>
      <c r="M11" s="66" t="inlineStr">
        <is>
          <t>型     式</t>
        </is>
      </c>
      <c r="N11" s="463" t="n"/>
      <c r="O11" s="463" t="n"/>
      <c r="P11" s="463" t="n"/>
      <c r="Q11" s="463" t="n"/>
      <c r="R11" s="463" t="n"/>
      <c r="S11" s="463" t="n"/>
      <c r="T11" s="464" t="n"/>
      <c r="U11" s="66" t="inlineStr">
        <is>
          <t>在  庫</t>
        </is>
      </c>
      <c r="V11" s="463" t="n"/>
      <c r="W11" s="464" t="n"/>
      <c r="X11" s="66" t="inlineStr">
        <is>
          <t>仕 入 先</t>
        </is>
      </c>
      <c r="Y11" s="463" t="n"/>
      <c r="Z11" s="463" t="n"/>
      <c r="AA11" s="464" t="n"/>
      <c r="AB11" s="66" t="inlineStr">
        <is>
          <t>数  量</t>
        </is>
      </c>
      <c r="AC11" s="463" t="n"/>
      <c r="AD11" s="463" t="n"/>
      <c r="AE11" s="464" t="n"/>
      <c r="AF11" s="66" t="inlineStr">
        <is>
          <t>仕 入 単 価</t>
        </is>
      </c>
      <c r="AG11" s="463" t="n"/>
      <c r="AH11" s="463" t="n"/>
      <c r="AI11" s="464" t="n"/>
      <c r="AJ11" s="66" t="inlineStr">
        <is>
          <t>仕 入 合 計</t>
        </is>
      </c>
      <c r="AK11" s="463" t="n"/>
      <c r="AL11" s="463" t="n"/>
      <c r="AM11" s="463" t="n"/>
      <c r="AN11" s="464" t="n"/>
      <c r="AO11" s="66" t="inlineStr">
        <is>
          <t>売 値 単 価</t>
        </is>
      </c>
      <c r="AP11" s="463" t="n"/>
      <c r="AQ11" s="463" t="n"/>
      <c r="AR11" s="464" t="n"/>
      <c r="AS11" s="66" t="inlineStr">
        <is>
          <t>売 値 合 計</t>
        </is>
      </c>
      <c r="AT11" s="463" t="n"/>
      <c r="AU11" s="463" t="n"/>
      <c r="AV11" s="463" t="n"/>
      <c r="AW11" s="464" t="n"/>
      <c r="AX11" s="66" t="inlineStr">
        <is>
          <t>送   料</t>
        </is>
      </c>
      <c r="AY11" s="463" t="n"/>
      <c r="AZ11" s="463" t="n"/>
      <c r="BA11" s="463" t="n"/>
      <c r="BB11" s="464" t="n"/>
    </row>
    <row r="12" ht="22.5" customHeight="1" s="337">
      <c r="A12" s="475" t="n"/>
      <c r="B12" s="463" t="n"/>
      <c r="C12" s="463" t="n"/>
      <c r="D12" s="464" t="n"/>
      <c r="E12" s="66" t="n"/>
      <c r="F12" s="463" t="n"/>
      <c r="G12" s="463" t="n"/>
      <c r="H12" s="463" t="n"/>
      <c r="I12" s="463" t="n"/>
      <c r="J12" s="463" t="n"/>
      <c r="K12" s="463" t="n"/>
      <c r="L12" s="464" t="n"/>
      <c r="M12" s="66" t="n"/>
      <c r="N12" s="463" t="n"/>
      <c r="O12" s="463" t="n"/>
      <c r="P12" s="463" t="n"/>
      <c r="Q12" s="463" t="n"/>
      <c r="R12" s="463" t="n"/>
      <c r="S12" s="463" t="n"/>
      <c r="T12" s="464" t="n"/>
      <c r="U12" s="66" t="n"/>
      <c r="V12" s="463" t="n"/>
      <c r="W12" s="464" t="n"/>
      <c r="X12" s="66" t="n"/>
      <c r="Y12" s="463" t="n"/>
      <c r="Z12" s="463" t="n"/>
      <c r="AA12" s="464" t="n"/>
      <c r="AB12" s="56" t="n"/>
      <c r="AC12" s="463" t="n"/>
      <c r="AD12" s="463" t="n"/>
      <c r="AE12" s="55" t="n"/>
      <c r="AF12" s="476" t="n"/>
      <c r="AG12" s="463" t="n"/>
      <c r="AH12" s="463" t="n"/>
      <c r="AI12" s="464" t="n"/>
      <c r="AJ12" s="476">
        <f>SUM(AF12*AB12)</f>
        <v/>
      </c>
      <c r="AK12" s="463" t="n"/>
      <c r="AL12" s="463" t="n"/>
      <c r="AM12" s="463" t="n"/>
      <c r="AN12" s="464" t="n"/>
      <c r="AO12" s="476" t="n"/>
      <c r="AP12" s="463" t="n"/>
      <c r="AQ12" s="463" t="n"/>
      <c r="AR12" s="464" t="n"/>
      <c r="AS12" s="476">
        <f>SUM(AO12*AB12)</f>
        <v/>
      </c>
      <c r="AT12" s="463" t="n"/>
      <c r="AU12" s="463" t="n"/>
      <c r="AV12" s="463" t="n"/>
      <c r="AW12" s="464" t="n"/>
      <c r="AX12" s="476" t="n"/>
      <c r="AY12" s="463" t="n"/>
      <c r="AZ12" s="463" t="n"/>
      <c r="BA12" s="463" t="n"/>
      <c r="BB12" s="464" t="n"/>
    </row>
    <row r="13" ht="22.5" customHeight="1" s="337">
      <c r="A13" s="475" t="n"/>
      <c r="B13" s="463" t="n"/>
      <c r="C13" s="463" t="n"/>
      <c r="D13" s="464" t="n"/>
      <c r="E13" s="66" t="n"/>
      <c r="F13" s="463" t="n"/>
      <c r="G13" s="463" t="n"/>
      <c r="H13" s="463" t="n"/>
      <c r="I13" s="463" t="n"/>
      <c r="J13" s="463" t="n"/>
      <c r="K13" s="463" t="n"/>
      <c r="L13" s="464" t="n"/>
      <c r="M13" s="66" t="n"/>
      <c r="N13" s="463" t="n"/>
      <c r="O13" s="463" t="n"/>
      <c r="P13" s="463" t="n"/>
      <c r="Q13" s="463" t="n"/>
      <c r="R13" s="463" t="n"/>
      <c r="S13" s="463" t="n"/>
      <c r="T13" s="464" t="n"/>
      <c r="U13" s="66" t="n"/>
      <c r="V13" s="463" t="n"/>
      <c r="W13" s="464" t="n"/>
      <c r="X13" s="66" t="n"/>
      <c r="Y13" s="463" t="n"/>
      <c r="Z13" s="463" t="n"/>
      <c r="AA13" s="464" t="n"/>
      <c r="AB13" s="56" t="n"/>
      <c r="AC13" s="463" t="n"/>
      <c r="AD13" s="463" t="n"/>
      <c r="AE13" s="55" t="n"/>
      <c r="AF13" s="476" t="n"/>
      <c r="AG13" s="463" t="n"/>
      <c r="AH13" s="463" t="n"/>
      <c r="AI13" s="464" t="n"/>
      <c r="AJ13" s="476">
        <f>SUM(AF13*AB13)</f>
        <v/>
      </c>
      <c r="AK13" s="463" t="n"/>
      <c r="AL13" s="463" t="n"/>
      <c r="AM13" s="463" t="n"/>
      <c r="AN13" s="464" t="n"/>
      <c r="AO13" s="476" t="n"/>
      <c r="AP13" s="463" t="n"/>
      <c r="AQ13" s="463" t="n"/>
      <c r="AR13" s="464" t="n"/>
      <c r="AS13" s="476">
        <f>SUM(AO13*AB13)</f>
        <v/>
      </c>
      <c r="AT13" s="463" t="n"/>
      <c r="AU13" s="463" t="n"/>
      <c r="AV13" s="463" t="n"/>
      <c r="AW13" s="464" t="n"/>
      <c r="AX13" s="476" t="n"/>
      <c r="AY13" s="463" t="n"/>
      <c r="AZ13" s="463" t="n"/>
      <c r="BA13" s="463" t="n"/>
      <c r="BB13" s="464" t="n"/>
    </row>
    <row r="14" ht="22.5" customHeight="1" s="337">
      <c r="A14" s="475" t="n"/>
      <c r="B14" s="463" t="n"/>
      <c r="C14" s="463" t="n"/>
      <c r="D14" s="464" t="n"/>
      <c r="E14" s="66" t="n"/>
      <c r="F14" s="463" t="n"/>
      <c r="G14" s="463" t="n"/>
      <c r="H14" s="463" t="n"/>
      <c r="I14" s="463" t="n"/>
      <c r="J14" s="463" t="n"/>
      <c r="K14" s="463" t="n"/>
      <c r="L14" s="464" t="n"/>
      <c r="M14" s="66" t="n"/>
      <c r="N14" s="463" t="n"/>
      <c r="O14" s="463" t="n"/>
      <c r="P14" s="463" t="n"/>
      <c r="Q14" s="463" t="n"/>
      <c r="R14" s="463" t="n"/>
      <c r="S14" s="463" t="n"/>
      <c r="T14" s="464" t="n"/>
      <c r="U14" s="66" t="n"/>
      <c r="V14" s="463" t="n"/>
      <c r="W14" s="464" t="n"/>
      <c r="X14" s="66" t="n"/>
      <c r="Y14" s="463" t="n"/>
      <c r="Z14" s="463" t="n"/>
      <c r="AA14" s="464" t="n"/>
      <c r="AB14" s="56" t="n"/>
      <c r="AC14" s="463" t="n"/>
      <c r="AD14" s="463" t="n"/>
      <c r="AE14" s="55" t="n"/>
      <c r="AF14" s="476" t="n"/>
      <c r="AG14" s="463" t="n"/>
      <c r="AH14" s="463" t="n"/>
      <c r="AI14" s="464" t="n"/>
      <c r="AJ14" s="476">
        <f>SUM(AF14*AB14)</f>
        <v/>
      </c>
      <c r="AK14" s="463" t="n"/>
      <c r="AL14" s="463" t="n"/>
      <c r="AM14" s="463" t="n"/>
      <c r="AN14" s="464" t="n"/>
      <c r="AO14" s="476" t="n"/>
      <c r="AP14" s="463" t="n"/>
      <c r="AQ14" s="463" t="n"/>
      <c r="AR14" s="464" t="n"/>
      <c r="AS14" s="476">
        <f>SUM(AO14*AB14)</f>
        <v/>
      </c>
      <c r="AT14" s="463" t="n"/>
      <c r="AU14" s="463" t="n"/>
      <c r="AV14" s="463" t="n"/>
      <c r="AW14" s="464" t="n"/>
      <c r="AX14" s="476" t="n"/>
      <c r="AY14" s="463" t="n"/>
      <c r="AZ14" s="463" t="n"/>
      <c r="BA14" s="463" t="n"/>
      <c r="BB14" s="464" t="n"/>
    </row>
    <row r="15" ht="22.5" customHeight="1" s="337">
      <c r="A15" s="475" t="n"/>
      <c r="B15" s="463" t="n"/>
      <c r="C15" s="463" t="n"/>
      <c r="D15" s="464" t="n"/>
      <c r="E15" s="66" t="n"/>
      <c r="F15" s="463" t="n"/>
      <c r="G15" s="463" t="n"/>
      <c r="H15" s="463" t="n"/>
      <c r="I15" s="463" t="n"/>
      <c r="J15" s="463" t="n"/>
      <c r="K15" s="463" t="n"/>
      <c r="L15" s="464" t="n"/>
      <c r="M15" s="66" t="n"/>
      <c r="N15" s="463" t="n"/>
      <c r="O15" s="463" t="n"/>
      <c r="P15" s="463" t="n"/>
      <c r="Q15" s="463" t="n"/>
      <c r="R15" s="463" t="n"/>
      <c r="S15" s="463" t="n"/>
      <c r="T15" s="464" t="n"/>
      <c r="U15" s="66" t="n"/>
      <c r="V15" s="463" t="n"/>
      <c r="W15" s="464" t="n"/>
      <c r="X15" s="66" t="n"/>
      <c r="Y15" s="463" t="n"/>
      <c r="Z15" s="463" t="n"/>
      <c r="AA15" s="464" t="n"/>
      <c r="AB15" s="56" t="n"/>
      <c r="AC15" s="463" t="n"/>
      <c r="AD15" s="463" t="n"/>
      <c r="AE15" s="55" t="n"/>
      <c r="AF15" s="476" t="n"/>
      <c r="AG15" s="463" t="n"/>
      <c r="AH15" s="463" t="n"/>
      <c r="AI15" s="464" t="n"/>
      <c r="AJ15" s="476">
        <f>SUM(AF15*AB15)</f>
        <v/>
      </c>
      <c r="AK15" s="463" t="n"/>
      <c r="AL15" s="463" t="n"/>
      <c r="AM15" s="463" t="n"/>
      <c r="AN15" s="464" t="n"/>
      <c r="AO15" s="476" t="n"/>
      <c r="AP15" s="463" t="n"/>
      <c r="AQ15" s="463" t="n"/>
      <c r="AR15" s="464" t="n"/>
      <c r="AS15" s="476">
        <f>SUM(AO15*AB15)</f>
        <v/>
      </c>
      <c r="AT15" s="463" t="n"/>
      <c r="AU15" s="463" t="n"/>
      <c r="AV15" s="463" t="n"/>
      <c r="AW15" s="464" t="n"/>
      <c r="AX15" s="476" t="n"/>
      <c r="AY15" s="463" t="n"/>
      <c r="AZ15" s="463" t="n"/>
      <c r="BA15" s="463" t="n"/>
      <c r="BB15" s="464" t="n"/>
    </row>
    <row r="16" ht="22.5" customHeight="1" s="337">
      <c r="A16" s="475" t="n"/>
      <c r="B16" s="463" t="n"/>
      <c r="C16" s="463" t="n"/>
      <c r="D16" s="464" t="n"/>
      <c r="E16" s="66" t="n"/>
      <c r="F16" s="463" t="n"/>
      <c r="G16" s="463" t="n"/>
      <c r="H16" s="463" t="n"/>
      <c r="I16" s="463" t="n"/>
      <c r="J16" s="463" t="n"/>
      <c r="K16" s="463" t="n"/>
      <c r="L16" s="464" t="n"/>
      <c r="M16" s="66" t="n"/>
      <c r="N16" s="463" t="n"/>
      <c r="O16" s="463" t="n"/>
      <c r="P16" s="463" t="n"/>
      <c r="Q16" s="463" t="n"/>
      <c r="R16" s="463" t="n"/>
      <c r="S16" s="463" t="n"/>
      <c r="T16" s="464" t="n"/>
      <c r="U16" s="66" t="n"/>
      <c r="V16" s="463" t="n"/>
      <c r="W16" s="464" t="n"/>
      <c r="X16" s="66" t="n"/>
      <c r="Y16" s="463" t="n"/>
      <c r="Z16" s="463" t="n"/>
      <c r="AA16" s="464" t="n"/>
      <c r="AB16" s="56" t="n"/>
      <c r="AC16" s="463" t="n"/>
      <c r="AD16" s="463" t="n"/>
      <c r="AE16" s="55" t="n"/>
      <c r="AF16" s="476" t="n"/>
      <c r="AG16" s="463" t="n"/>
      <c r="AH16" s="463" t="n"/>
      <c r="AI16" s="464" t="n"/>
      <c r="AJ16" s="476">
        <f>SUM(AF16*AB16)</f>
        <v/>
      </c>
      <c r="AK16" s="463" t="n"/>
      <c r="AL16" s="463" t="n"/>
      <c r="AM16" s="463" t="n"/>
      <c r="AN16" s="464" t="n"/>
      <c r="AO16" s="476" t="n"/>
      <c r="AP16" s="463" t="n"/>
      <c r="AQ16" s="463" t="n"/>
      <c r="AR16" s="464" t="n"/>
      <c r="AS16" s="476">
        <f>SUM(AO16*AB16)</f>
        <v/>
      </c>
      <c r="AT16" s="463" t="n"/>
      <c r="AU16" s="463" t="n"/>
      <c r="AV16" s="463" t="n"/>
      <c r="AW16" s="464" t="n"/>
      <c r="AX16" s="476" t="n"/>
      <c r="AY16" s="463" t="n"/>
      <c r="AZ16" s="463" t="n"/>
      <c r="BA16" s="463" t="n"/>
      <c r="BB16" s="464" t="n"/>
    </row>
    <row r="17" ht="22.5" customHeight="1" s="337">
      <c r="A17" s="475" t="n"/>
      <c r="B17" s="463" t="n"/>
      <c r="C17" s="463" t="n"/>
      <c r="D17" s="464" t="n"/>
      <c r="E17" s="66" t="n"/>
      <c r="F17" s="463" t="n"/>
      <c r="G17" s="463" t="n"/>
      <c r="H17" s="463" t="n"/>
      <c r="I17" s="463" t="n"/>
      <c r="J17" s="463" t="n"/>
      <c r="K17" s="463" t="n"/>
      <c r="L17" s="464" t="n"/>
      <c r="M17" s="66" t="n"/>
      <c r="N17" s="463" t="n"/>
      <c r="O17" s="463" t="n"/>
      <c r="P17" s="463" t="n"/>
      <c r="Q17" s="463" t="n"/>
      <c r="R17" s="463" t="n"/>
      <c r="S17" s="463" t="n"/>
      <c r="T17" s="464" t="n"/>
      <c r="U17" s="66" t="n"/>
      <c r="V17" s="463" t="n"/>
      <c r="W17" s="464" t="n"/>
      <c r="X17" s="66" t="n"/>
      <c r="Y17" s="463" t="n"/>
      <c r="Z17" s="463" t="n"/>
      <c r="AA17" s="464" t="n"/>
      <c r="AB17" s="56" t="n"/>
      <c r="AC17" s="463" t="n"/>
      <c r="AD17" s="463" t="n"/>
      <c r="AE17" s="55" t="n"/>
      <c r="AF17" s="476" t="n"/>
      <c r="AG17" s="463" t="n"/>
      <c r="AH17" s="463" t="n"/>
      <c r="AI17" s="464" t="n"/>
      <c r="AJ17" s="476">
        <f>SUM(AF17*AB17)</f>
        <v/>
      </c>
      <c r="AK17" s="463" t="n"/>
      <c r="AL17" s="463" t="n"/>
      <c r="AM17" s="463" t="n"/>
      <c r="AN17" s="464" t="n"/>
      <c r="AO17" s="476" t="n"/>
      <c r="AP17" s="463" t="n"/>
      <c r="AQ17" s="463" t="n"/>
      <c r="AR17" s="464" t="n"/>
      <c r="AS17" s="476">
        <f>SUM(AO17*AB17)</f>
        <v/>
      </c>
      <c r="AT17" s="463" t="n"/>
      <c r="AU17" s="463" t="n"/>
      <c r="AV17" s="463" t="n"/>
      <c r="AW17" s="464" t="n"/>
      <c r="AX17" s="476" t="n"/>
      <c r="AY17" s="463" t="n"/>
      <c r="AZ17" s="463" t="n"/>
      <c r="BA17" s="463" t="n"/>
      <c r="BB17" s="464" t="n"/>
    </row>
    <row r="18" ht="22.5" customHeight="1" s="337">
      <c r="A18" s="475" t="n"/>
      <c r="B18" s="463" t="n"/>
      <c r="C18" s="463" t="n"/>
      <c r="D18" s="464" t="n"/>
      <c r="E18" s="66" t="n"/>
      <c r="F18" s="463" t="n"/>
      <c r="G18" s="463" t="n"/>
      <c r="H18" s="463" t="n"/>
      <c r="I18" s="463" t="n"/>
      <c r="J18" s="463" t="n"/>
      <c r="K18" s="463" t="n"/>
      <c r="L18" s="464" t="n"/>
      <c r="M18" s="66" t="n"/>
      <c r="N18" s="463" t="n"/>
      <c r="O18" s="463" t="n"/>
      <c r="P18" s="463" t="n"/>
      <c r="Q18" s="463" t="n"/>
      <c r="R18" s="463" t="n"/>
      <c r="S18" s="463" t="n"/>
      <c r="T18" s="464" t="n"/>
      <c r="U18" s="66" t="n"/>
      <c r="V18" s="463" t="n"/>
      <c r="W18" s="464" t="n"/>
      <c r="X18" s="66" t="n"/>
      <c r="Y18" s="463" t="n"/>
      <c r="Z18" s="463" t="n"/>
      <c r="AA18" s="464" t="n"/>
      <c r="AB18" s="56" t="n"/>
      <c r="AC18" s="463" t="n"/>
      <c r="AD18" s="463" t="n"/>
      <c r="AE18" s="55" t="n"/>
      <c r="AF18" s="476" t="n"/>
      <c r="AG18" s="463" t="n"/>
      <c r="AH18" s="463" t="n"/>
      <c r="AI18" s="464" t="n"/>
      <c r="AJ18" s="476">
        <f>SUM(AF18*AB18)</f>
        <v/>
      </c>
      <c r="AK18" s="463" t="n"/>
      <c r="AL18" s="463" t="n"/>
      <c r="AM18" s="463" t="n"/>
      <c r="AN18" s="464" t="n"/>
      <c r="AO18" s="476" t="n"/>
      <c r="AP18" s="463" t="n"/>
      <c r="AQ18" s="463" t="n"/>
      <c r="AR18" s="464" t="n"/>
      <c r="AS18" s="476">
        <f>SUM(AO18*AB18)</f>
        <v/>
      </c>
      <c r="AT18" s="463" t="n"/>
      <c r="AU18" s="463" t="n"/>
      <c r="AV18" s="463" t="n"/>
      <c r="AW18" s="464" t="n"/>
      <c r="AX18" s="476" t="n"/>
      <c r="AY18" s="463" t="n"/>
      <c r="AZ18" s="463" t="n"/>
      <c r="BA18" s="463" t="n"/>
      <c r="BB18" s="464" t="n"/>
    </row>
    <row r="19" ht="22.5" customHeight="1" s="337">
      <c r="A19" s="475" t="n"/>
      <c r="B19" s="463" t="n"/>
      <c r="C19" s="463" t="n"/>
      <c r="D19" s="464" t="n"/>
      <c r="E19" s="66" t="n"/>
      <c r="F19" s="463" t="n"/>
      <c r="G19" s="463" t="n"/>
      <c r="H19" s="463" t="n"/>
      <c r="I19" s="463" t="n"/>
      <c r="J19" s="463" t="n"/>
      <c r="K19" s="463" t="n"/>
      <c r="L19" s="464" t="n"/>
      <c r="M19" s="66" t="n"/>
      <c r="N19" s="463" t="n"/>
      <c r="O19" s="463" t="n"/>
      <c r="P19" s="463" t="n"/>
      <c r="Q19" s="463" t="n"/>
      <c r="R19" s="463" t="n"/>
      <c r="S19" s="463" t="n"/>
      <c r="T19" s="464" t="n"/>
      <c r="U19" s="66" t="n"/>
      <c r="V19" s="463" t="n"/>
      <c r="W19" s="464" t="n"/>
      <c r="X19" s="66" t="n"/>
      <c r="Y19" s="463" t="n"/>
      <c r="Z19" s="463" t="n"/>
      <c r="AA19" s="464" t="n"/>
      <c r="AB19" s="56" t="n"/>
      <c r="AC19" s="463" t="n"/>
      <c r="AD19" s="463" t="n"/>
      <c r="AE19" s="55" t="n"/>
      <c r="AF19" s="476" t="n"/>
      <c r="AG19" s="463" t="n"/>
      <c r="AH19" s="463" t="n"/>
      <c r="AI19" s="464" t="n"/>
      <c r="AJ19" s="476">
        <f>SUM(AF19*AB19)</f>
        <v/>
      </c>
      <c r="AK19" s="463" t="n"/>
      <c r="AL19" s="463" t="n"/>
      <c r="AM19" s="463" t="n"/>
      <c r="AN19" s="464" t="n"/>
      <c r="AO19" s="476" t="n"/>
      <c r="AP19" s="463" t="n"/>
      <c r="AQ19" s="463" t="n"/>
      <c r="AR19" s="464" t="n"/>
      <c r="AS19" s="476">
        <f>SUM(AO19*AB19)</f>
        <v/>
      </c>
      <c r="AT19" s="463" t="n"/>
      <c r="AU19" s="463" t="n"/>
      <c r="AV19" s="463" t="n"/>
      <c r="AW19" s="464" t="n"/>
      <c r="AX19" s="476" t="n"/>
      <c r="AY19" s="463" t="n"/>
      <c r="AZ19" s="463" t="n"/>
      <c r="BA19" s="463" t="n"/>
      <c r="BB19" s="464" t="n"/>
    </row>
    <row r="20" ht="22.5" customHeight="1" s="337">
      <c r="A20" s="477" t="n"/>
      <c r="B20" s="427" t="n"/>
      <c r="C20" s="427" t="n"/>
      <c r="D20" s="428" t="n"/>
      <c r="E20" s="62" t="n"/>
      <c r="F20" s="427" t="n"/>
      <c r="G20" s="427" t="n"/>
      <c r="H20" s="427" t="n"/>
      <c r="I20" s="427" t="n"/>
      <c r="J20" s="427" t="n"/>
      <c r="K20" s="427" t="n"/>
      <c r="L20" s="428" t="n"/>
      <c r="M20" s="62" t="n"/>
      <c r="N20" s="427" t="n"/>
      <c r="O20" s="427" t="n"/>
      <c r="P20" s="427" t="n"/>
      <c r="Q20" s="427" t="n"/>
      <c r="R20" s="427" t="n"/>
      <c r="S20" s="427" t="n"/>
      <c r="T20" s="428" t="n"/>
      <c r="U20" s="62" t="n"/>
      <c r="V20" s="427" t="n"/>
      <c r="W20" s="428" t="n"/>
      <c r="X20" s="62" t="n"/>
      <c r="Y20" s="427" t="n"/>
      <c r="Z20" s="427" t="n"/>
      <c r="AA20" s="428" t="n"/>
      <c r="AB20" s="56" t="n"/>
      <c r="AC20" s="463" t="n"/>
      <c r="AD20" s="463" t="n"/>
      <c r="AE20" s="55" t="n"/>
      <c r="AF20" s="476" t="n"/>
      <c r="AG20" s="463" t="n"/>
      <c r="AH20" s="463" t="n"/>
      <c r="AI20" s="464" t="n"/>
      <c r="AJ20" s="476">
        <f>SUM(AF20*AB20)</f>
        <v/>
      </c>
      <c r="AK20" s="463" t="n"/>
      <c r="AL20" s="463" t="n"/>
      <c r="AM20" s="463" t="n"/>
      <c r="AN20" s="464" t="n"/>
      <c r="AO20" s="476" t="n"/>
      <c r="AP20" s="463" t="n"/>
      <c r="AQ20" s="463" t="n"/>
      <c r="AR20" s="464" t="n"/>
      <c r="AS20" s="476">
        <f>SUM(AO20*AB20)</f>
        <v/>
      </c>
      <c r="AT20" s="463" t="n"/>
      <c r="AU20" s="463" t="n"/>
      <c r="AV20" s="463" t="n"/>
      <c r="AW20" s="464" t="n"/>
      <c r="AX20" s="476" t="n"/>
      <c r="AY20" s="463" t="n"/>
      <c r="AZ20" s="463" t="n"/>
      <c r="BA20" s="463" t="n"/>
      <c r="BB20" s="464" t="n"/>
    </row>
    <row r="21" ht="22.5" customHeight="1" s="337">
      <c r="A21" s="475" t="n"/>
      <c r="B21" s="463" t="n"/>
      <c r="C21" s="463" t="n"/>
      <c r="D21" s="464" t="n"/>
      <c r="E21" s="66" t="n"/>
      <c r="F21" s="463" t="n"/>
      <c r="G21" s="463" t="n"/>
      <c r="H21" s="463" t="n"/>
      <c r="I21" s="463" t="n"/>
      <c r="J21" s="463" t="n"/>
      <c r="K21" s="463" t="n"/>
      <c r="L21" s="464" t="n"/>
      <c r="M21" s="66" t="n"/>
      <c r="N21" s="463" t="n"/>
      <c r="O21" s="463" t="n"/>
      <c r="P21" s="463" t="n"/>
      <c r="Q21" s="463" t="n"/>
      <c r="R21" s="463" t="n"/>
      <c r="S21" s="463" t="n"/>
      <c r="T21" s="464" t="n"/>
      <c r="U21" s="66" t="n"/>
      <c r="V21" s="463" t="n"/>
      <c r="W21" s="464" t="n"/>
      <c r="X21" s="66" t="n"/>
      <c r="Y21" s="463" t="n"/>
      <c r="Z21" s="463" t="n"/>
      <c r="AA21" s="464" t="n"/>
      <c r="AB21" s="56" t="n"/>
      <c r="AC21" s="463" t="n"/>
      <c r="AD21" s="463" t="n"/>
      <c r="AE21" s="55" t="n"/>
      <c r="AF21" s="476" t="n"/>
      <c r="AG21" s="463" t="n"/>
      <c r="AH21" s="463" t="n"/>
      <c r="AI21" s="464" t="n"/>
      <c r="AJ21" s="476">
        <f>SUM(AF21*AB21)</f>
        <v/>
      </c>
      <c r="AK21" s="463" t="n"/>
      <c r="AL21" s="463" t="n"/>
      <c r="AM21" s="463" t="n"/>
      <c r="AN21" s="464" t="n"/>
      <c r="AO21" s="476" t="n"/>
      <c r="AP21" s="463" t="n"/>
      <c r="AQ21" s="463" t="n"/>
      <c r="AR21" s="464" t="n"/>
      <c r="AS21" s="476">
        <f>SUM(AO21*AB21)</f>
        <v/>
      </c>
      <c r="AT21" s="463" t="n"/>
      <c r="AU21" s="463" t="n"/>
      <c r="AV21" s="463" t="n"/>
      <c r="AW21" s="464" t="n"/>
      <c r="AX21" s="476" t="n"/>
      <c r="AY21" s="463" t="n"/>
      <c r="AZ21" s="463" t="n"/>
      <c r="BA21" s="463" t="n"/>
      <c r="BB21" s="464" t="n"/>
    </row>
    <row r="22" ht="22.5" customHeight="1" s="337">
      <c r="A22" s="475" t="n"/>
      <c r="B22" s="463" t="n"/>
      <c r="C22" s="463" t="n"/>
      <c r="D22" s="464" t="n"/>
      <c r="E22" s="66" t="n"/>
      <c r="F22" s="463" t="n"/>
      <c r="G22" s="463" t="n"/>
      <c r="H22" s="463" t="n"/>
      <c r="I22" s="463" t="n"/>
      <c r="J22" s="463" t="n"/>
      <c r="K22" s="463" t="n"/>
      <c r="L22" s="464" t="n"/>
      <c r="M22" s="66" t="n"/>
      <c r="N22" s="463" t="n"/>
      <c r="O22" s="463" t="n"/>
      <c r="P22" s="463" t="n"/>
      <c r="Q22" s="463" t="n"/>
      <c r="R22" s="463" t="n"/>
      <c r="S22" s="463" t="n"/>
      <c r="T22" s="464" t="n"/>
      <c r="U22" s="66" t="n"/>
      <c r="V22" s="463" t="n"/>
      <c r="W22" s="464" t="n"/>
      <c r="X22" s="66" t="n"/>
      <c r="Y22" s="463" t="n"/>
      <c r="Z22" s="463" t="n"/>
      <c r="AA22" s="464" t="n"/>
      <c r="AB22" s="56" t="n"/>
      <c r="AC22" s="463" t="n"/>
      <c r="AD22" s="463" t="n"/>
      <c r="AE22" s="55" t="n"/>
      <c r="AF22" s="476" t="n"/>
      <c r="AG22" s="463" t="n"/>
      <c r="AH22" s="463" t="n"/>
      <c r="AI22" s="464" t="n"/>
      <c r="AJ22" s="476">
        <f>SUM(AF22*AB22)</f>
        <v/>
      </c>
      <c r="AK22" s="463" t="n"/>
      <c r="AL22" s="463" t="n"/>
      <c r="AM22" s="463" t="n"/>
      <c r="AN22" s="464" t="n"/>
      <c r="AO22" s="476" t="n"/>
      <c r="AP22" s="463" t="n"/>
      <c r="AQ22" s="463" t="n"/>
      <c r="AR22" s="464" t="n"/>
      <c r="AS22" s="476">
        <f>SUM(AO22*AB22)</f>
        <v/>
      </c>
      <c r="AT22" s="463" t="n"/>
      <c r="AU22" s="463" t="n"/>
      <c r="AV22" s="463" t="n"/>
      <c r="AW22" s="464" t="n"/>
      <c r="AX22" s="476" t="n"/>
      <c r="AY22" s="463" t="n"/>
      <c r="AZ22" s="463" t="n"/>
      <c r="BA22" s="463" t="n"/>
      <c r="BB22" s="464" t="n"/>
    </row>
    <row r="23" ht="22.5" customHeight="1" s="337">
      <c r="A23" s="475" t="n"/>
      <c r="B23" s="463" t="n"/>
      <c r="C23" s="463" t="n"/>
      <c r="D23" s="464" t="n"/>
      <c r="E23" s="66" t="n"/>
      <c r="F23" s="463" t="n"/>
      <c r="G23" s="463" t="n"/>
      <c r="H23" s="463" t="n"/>
      <c r="I23" s="463" t="n"/>
      <c r="J23" s="463" t="n"/>
      <c r="K23" s="463" t="n"/>
      <c r="L23" s="464" t="n"/>
      <c r="M23" s="66" t="n"/>
      <c r="N23" s="463" t="n"/>
      <c r="O23" s="463" t="n"/>
      <c r="P23" s="463" t="n"/>
      <c r="Q23" s="463" t="n"/>
      <c r="R23" s="463" t="n"/>
      <c r="S23" s="463" t="n"/>
      <c r="T23" s="464" t="n"/>
      <c r="U23" s="66" t="n"/>
      <c r="V23" s="463" t="n"/>
      <c r="W23" s="464" t="n"/>
      <c r="X23" s="66" t="n"/>
      <c r="Y23" s="463" t="n"/>
      <c r="Z23" s="463" t="n"/>
      <c r="AA23" s="464" t="n"/>
      <c r="AB23" s="56" t="n"/>
      <c r="AC23" s="463" t="n"/>
      <c r="AD23" s="463" t="n"/>
      <c r="AE23" s="55" t="n"/>
      <c r="AF23" s="476" t="n"/>
      <c r="AG23" s="463" t="n"/>
      <c r="AH23" s="463" t="n"/>
      <c r="AI23" s="464" t="n"/>
      <c r="AJ23" s="476">
        <f>SUM(AF23*AB23)</f>
        <v/>
      </c>
      <c r="AK23" s="463" t="n"/>
      <c r="AL23" s="463" t="n"/>
      <c r="AM23" s="463" t="n"/>
      <c r="AN23" s="464" t="n"/>
      <c r="AO23" s="476" t="n"/>
      <c r="AP23" s="463" t="n"/>
      <c r="AQ23" s="463" t="n"/>
      <c r="AR23" s="464" t="n"/>
      <c r="AS23" s="476">
        <f>SUM(AO23*AB23)</f>
        <v/>
      </c>
      <c r="AT23" s="463" t="n"/>
      <c r="AU23" s="463" t="n"/>
      <c r="AV23" s="463" t="n"/>
      <c r="AW23" s="464" t="n"/>
      <c r="AX23" s="476" t="n"/>
      <c r="AY23" s="463" t="n"/>
      <c r="AZ23" s="463" t="n"/>
      <c r="BA23" s="463" t="n"/>
      <c r="BB23" s="464" t="n"/>
    </row>
    <row r="24" ht="22.5" customHeight="1" s="337">
      <c r="A24" s="475" t="n"/>
      <c r="B24" s="463" t="n"/>
      <c r="C24" s="463" t="n"/>
      <c r="D24" s="464" t="n"/>
      <c r="E24" s="66" t="n"/>
      <c r="F24" s="463" t="n"/>
      <c r="G24" s="463" t="n"/>
      <c r="H24" s="463" t="n"/>
      <c r="I24" s="463" t="n"/>
      <c r="J24" s="463" t="n"/>
      <c r="K24" s="463" t="n"/>
      <c r="L24" s="464" t="n"/>
      <c r="M24" s="66" t="n"/>
      <c r="N24" s="463" t="n"/>
      <c r="O24" s="463" t="n"/>
      <c r="P24" s="463" t="n"/>
      <c r="Q24" s="463" t="n"/>
      <c r="R24" s="463" t="n"/>
      <c r="S24" s="463" t="n"/>
      <c r="T24" s="464" t="n"/>
      <c r="U24" s="66" t="n"/>
      <c r="V24" s="463" t="n"/>
      <c r="W24" s="464" t="n"/>
      <c r="X24" s="66" t="n"/>
      <c r="Y24" s="463" t="n"/>
      <c r="Z24" s="463" t="n"/>
      <c r="AA24" s="464" t="n"/>
      <c r="AB24" s="56" t="n"/>
      <c r="AC24" s="463" t="n"/>
      <c r="AD24" s="463" t="n"/>
      <c r="AE24" s="55" t="n"/>
      <c r="AF24" s="476" t="n"/>
      <c r="AG24" s="463" t="n"/>
      <c r="AH24" s="463" t="n"/>
      <c r="AI24" s="464" t="n"/>
      <c r="AJ24" s="476">
        <f>SUM(AF24*AB24)</f>
        <v/>
      </c>
      <c r="AK24" s="463" t="n"/>
      <c r="AL24" s="463" t="n"/>
      <c r="AM24" s="463" t="n"/>
      <c r="AN24" s="464" t="n"/>
      <c r="AO24" s="476" t="n"/>
      <c r="AP24" s="463" t="n"/>
      <c r="AQ24" s="463" t="n"/>
      <c r="AR24" s="464" t="n"/>
      <c r="AS24" s="476">
        <f>SUM(AO24*AB24)</f>
        <v/>
      </c>
      <c r="AT24" s="463" t="n"/>
      <c r="AU24" s="463" t="n"/>
      <c r="AV24" s="463" t="n"/>
      <c r="AW24" s="464" t="n"/>
      <c r="AX24" s="476" t="n"/>
      <c r="AY24" s="463" t="n"/>
      <c r="AZ24" s="463" t="n"/>
      <c r="BA24" s="463" t="n"/>
      <c r="BB24" s="464" t="n"/>
    </row>
    <row r="25" ht="22.5" customHeight="1" s="337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66" t="inlineStr">
        <is>
          <t>持 出 者</t>
        </is>
      </c>
      <c r="V25" s="463" t="n"/>
      <c r="W25" s="463" t="n"/>
      <c r="X25" s="463" t="n"/>
      <c r="Y25" s="464" t="n"/>
      <c r="Z25" s="66" t="n"/>
      <c r="AA25" s="463" t="n"/>
      <c r="AB25" s="463" t="n"/>
      <c r="AC25" s="463" t="n"/>
      <c r="AD25" s="463" t="n"/>
      <c r="AE25" s="464" t="n"/>
      <c r="AF25" s="66" t="inlineStr">
        <is>
          <t>仕 入 合 計</t>
        </is>
      </c>
      <c r="AG25" s="463" t="n"/>
      <c r="AH25" s="463" t="n"/>
      <c r="AI25" s="464" t="n"/>
      <c r="AJ25" s="476" t="n"/>
      <c r="AK25" s="463" t="n"/>
      <c r="AL25" s="463" t="n"/>
      <c r="AM25" s="463" t="n"/>
      <c r="AN25" s="464" t="n"/>
      <c r="AO25" s="66" t="inlineStr">
        <is>
          <t>売 値 合 計</t>
        </is>
      </c>
      <c r="AP25" s="463" t="n"/>
      <c r="AQ25" s="463" t="n"/>
      <c r="AR25" s="464" t="n"/>
      <c r="AS25" s="476" t="n"/>
      <c r="AT25" s="463" t="n"/>
      <c r="AU25" s="463" t="n"/>
      <c r="AV25" s="463" t="n"/>
      <c r="AW25" s="464" t="n"/>
      <c r="AX25" s="476" t="n"/>
      <c r="AY25" s="463" t="n"/>
      <c r="AZ25" s="463" t="n"/>
      <c r="BA25" s="463" t="n"/>
      <c r="BB25" s="464" t="n"/>
    </row>
    <row r="26" ht="22.5" customHeight="1" s="337"/>
    <row r="27" ht="22.5" customHeight="1" s="337">
      <c r="D27" s="1" t="inlineStr">
        <is>
          <t>✓</t>
        </is>
      </c>
      <c r="H27" s="1" t="inlineStr">
        <is>
          <t>ﾓﾉﾀﾛｳ</t>
        </is>
      </c>
    </row>
    <row r="28" ht="22.5" customHeight="1" s="337">
      <c r="D28" s="1" t="inlineStr">
        <is>
          <t>在庫外</t>
        </is>
      </c>
      <c r="H28" s="1" t="inlineStr">
        <is>
          <t>ｱﾏｿﾞﾝ</t>
        </is>
      </c>
    </row>
    <row r="29" ht="22.5" customHeight="1" s="337">
      <c r="H29" s="1" t="inlineStr">
        <is>
          <t>ﾊｰﾄﾞｽﾄｯｸ</t>
        </is>
      </c>
    </row>
    <row r="30" ht="22.5" customHeight="1" s="337">
      <c r="H30" s="1" t="inlineStr">
        <is>
          <t>JRC</t>
        </is>
      </c>
    </row>
    <row r="31" ht="22.5" customHeight="1" s="337">
      <c r="H31" s="51" t="inlineStr">
        <is>
          <t>神田ｴﾚｸﾄﾛﾆｸｽ</t>
        </is>
      </c>
    </row>
    <row r="32" ht="22.5" customHeight="1" s="337">
      <c r="H32" s="51" t="inlineStr">
        <is>
          <t>大野電子</t>
        </is>
      </c>
    </row>
    <row r="33" ht="22.5" customHeight="1" s="337">
      <c r="H33" s="51" t="inlineStr">
        <is>
          <t>緑星社</t>
        </is>
      </c>
    </row>
    <row r="34" ht="22.5" customHeight="1" s="337">
      <c r="H34" s="51" t="inlineStr">
        <is>
          <t>三菱電機特機ｼｽﾃﾑ㈱</t>
        </is>
      </c>
    </row>
    <row r="35" ht="22.5" customHeight="1" s="337">
      <c r="H35" s="1" t="inlineStr">
        <is>
          <t>ｴﾝﾁｮｳ</t>
        </is>
      </c>
    </row>
    <row r="36" ht="22.5" customHeight="1" s="337">
      <c r="H36" s="1" t="inlineStr">
        <is>
          <t>RS</t>
        </is>
      </c>
    </row>
    <row r="37" ht="22.5" customHeight="1" s="337">
      <c r="H37" s="1" t="inlineStr">
        <is>
          <t>ﾏﾙﾂ</t>
        </is>
      </c>
    </row>
    <row r="38" ht="22.5" customHeight="1" s="337">
      <c r="H38" s="1" t="inlineStr">
        <is>
          <t>ｴﾃﾞｨｵﾝ</t>
        </is>
      </c>
    </row>
    <row r="39" ht="22.5" customHeight="1" s="337">
      <c r="H39" s="1" t="inlineStr">
        <is>
          <t>K'sﾃﾞﾝｷ</t>
        </is>
      </c>
    </row>
    <row r="40" ht="22.5" customHeight="1" s="337">
      <c r="H40" s="1" t="inlineStr">
        <is>
          <t>ｶｰﾏ</t>
        </is>
      </c>
    </row>
    <row r="41" ht="22.5" customHeight="1" s="337"/>
    <row r="42" ht="22.5" customHeight="1" s="337"/>
    <row r="43" ht="15" customHeight="1" s="337"/>
    <row r="44" ht="15" customHeight="1" s="337"/>
    <row r="45" ht="15" customHeight="1" s="337"/>
    <row r="46" ht="15" customHeight="1" s="337"/>
    <row r="47" ht="15" customHeight="1" s="337"/>
    <row r="48" ht="15" customHeight="1" s="337"/>
    <row r="49" ht="15" customHeight="1" s="337"/>
    <row r="50" ht="15" customHeight="1" s="337"/>
    <row r="51" ht="15" customHeight="1" s="337"/>
    <row r="52" ht="15" customHeight="1" s="337"/>
    <row r="53" ht="15" customHeight="1" s="337"/>
    <row r="54" ht="15" customHeight="1" s="337"/>
    <row r="55" ht="15" customHeight="1" s="337"/>
    <row r="56" ht="15" customHeight="1" s="337"/>
    <row r="57" ht="15" customHeight="1" s="337"/>
    <row r="58" ht="15" customHeight="1" s="337"/>
    <row r="59" ht="15" customHeight="1" s="337"/>
    <row r="60" ht="15" customHeight="1" s="337"/>
    <row r="61" ht="15" customHeight="1" s="337"/>
    <row r="62" ht="15" customHeight="1" s="337"/>
    <row r="63" ht="15" customHeight="1" s="337"/>
    <row r="64" ht="15" customHeight="1" s="337"/>
    <row r="65" ht="15" customHeight="1" s="337"/>
    <row r="66" ht="15" customHeight="1" s="337"/>
    <row r="67" ht="15" customHeight="1" s="337"/>
    <row r="68" ht="15" customHeight="1" s="337"/>
    <row r="69" ht="15" customHeight="1" s="337"/>
    <row r="70" ht="15" customHeight="1" s="337"/>
    <row r="71" ht="15" customHeight="1" s="337"/>
    <row r="72" ht="15" customHeight="1" s="337"/>
    <row r="73" ht="15" customHeight="1" s="337"/>
    <row r="74" ht="15" customHeight="1" s="337"/>
    <row r="75" ht="15" customHeight="1" s="337"/>
    <row r="76" ht="15" customHeight="1" s="337"/>
    <row r="77" ht="15" customHeight="1" s="337"/>
    <row r="78" ht="15" customHeight="1" s="337"/>
    <row r="79" ht="15" customHeight="1" s="337"/>
    <row r="80" ht="15" customHeight="1" s="337"/>
    <row r="81" ht="15" customHeight="1" s="337"/>
    <row r="82" ht="15" customHeight="1" s="337"/>
    <row r="83" ht="15" customHeight="1" s="337"/>
    <row r="84" ht="15" customHeight="1" s="337"/>
    <row r="85" ht="15" customHeight="1" s="337"/>
    <row r="86" ht="15" customHeight="1" s="337"/>
    <row r="87" ht="15" customHeight="1" s="337"/>
    <row r="88" ht="15" customHeight="1" s="337"/>
    <row r="89" ht="15" customHeight="1" s="337"/>
    <row r="90" ht="15" customHeight="1" s="337"/>
    <row r="91" ht="15" customHeight="1" s="337"/>
    <row r="92" ht="15" customHeight="1" s="337"/>
    <row r="93" ht="15" customHeight="1" s="337"/>
    <row r="94" ht="15" customHeight="1" s="337"/>
    <row r="95" ht="15" customHeight="1" s="337"/>
    <row r="96" ht="15" customHeight="1" s="337"/>
    <row r="97" ht="15" customHeight="1" s="337"/>
    <row r="98" ht="15" customHeight="1" s="337"/>
    <row r="99" ht="15" customHeight="1" s="337"/>
    <row r="100" ht="15" customHeight="1" s="337"/>
    <row r="101" ht="15" customHeight="1" s="337"/>
    <row r="102" ht="15" customHeight="1" s="337"/>
    <row r="103" ht="15" customHeight="1" s="337"/>
    <row r="104" ht="15" customHeight="1" s="337"/>
  </sheetData>
  <mergeCells count="242">
    <mergeCell ref="M2:R2"/>
    <mergeCell ref="E18:L18"/>
    <mergeCell ref="AE2:AJ2"/>
    <mergeCell ref="Y5:AD5"/>
    <mergeCell ref="AF23:AI23"/>
    <mergeCell ref="AU8:BB8"/>
    <mergeCell ref="G6:L6"/>
    <mergeCell ref="A20:D20"/>
    <mergeCell ref="AH1:AS1"/>
    <mergeCell ref="AX1:BB1"/>
    <mergeCell ref="AS20:AW20"/>
    <mergeCell ref="G3:L3"/>
    <mergeCell ref="U13:W13"/>
    <mergeCell ref="A3:F3"/>
    <mergeCell ref="AK8:AN8"/>
    <mergeCell ref="A13:D13"/>
    <mergeCell ref="M6:R6"/>
    <mergeCell ref="AS22:AW22"/>
    <mergeCell ref="AF22:AI22"/>
    <mergeCell ref="Y6:AD6"/>
    <mergeCell ref="AO5:AT5"/>
    <mergeCell ref="M20:T20"/>
    <mergeCell ref="G5:L5"/>
    <mergeCell ref="AF18:AI18"/>
    <mergeCell ref="A5:F5"/>
    <mergeCell ref="AU9:BB9"/>
    <mergeCell ref="M11:T11"/>
    <mergeCell ref="U18:W18"/>
    <mergeCell ref="AS12:AW12"/>
    <mergeCell ref="A15:D15"/>
    <mergeCell ref="A24:D24"/>
    <mergeCell ref="AK7:AN7"/>
    <mergeCell ref="AO4:AT4"/>
    <mergeCell ref="X11:AA11"/>
    <mergeCell ref="G4:L4"/>
    <mergeCell ref="M22:T22"/>
    <mergeCell ref="AJ18:AN18"/>
    <mergeCell ref="AO23:AR23"/>
    <mergeCell ref="AX17:BB17"/>
    <mergeCell ref="AE6:AJ6"/>
    <mergeCell ref="AO6:AT6"/>
    <mergeCell ref="AO13:AR13"/>
    <mergeCell ref="S1:AD1"/>
    <mergeCell ref="M15:T15"/>
    <mergeCell ref="E11:L11"/>
    <mergeCell ref="M4:R4"/>
    <mergeCell ref="A16:D16"/>
    <mergeCell ref="Y4:AD4"/>
    <mergeCell ref="AO15:AR15"/>
    <mergeCell ref="AB15:AD15"/>
    <mergeCell ref="AO24:AR24"/>
    <mergeCell ref="AB24:AD24"/>
    <mergeCell ref="AO18:AR18"/>
    <mergeCell ref="AE7:AJ7"/>
    <mergeCell ref="D1:O1"/>
    <mergeCell ref="AJ20:AN20"/>
    <mergeCell ref="AU7:BB7"/>
    <mergeCell ref="M14:T14"/>
    <mergeCell ref="AF15:AI15"/>
    <mergeCell ref="M23:T23"/>
    <mergeCell ref="AX20:BB20"/>
    <mergeCell ref="X15:AA15"/>
    <mergeCell ref="AS24:AW24"/>
    <mergeCell ref="AX14:BB14"/>
    <mergeCell ref="AS18:AW18"/>
    <mergeCell ref="AF12:AI12"/>
    <mergeCell ref="U17:W17"/>
    <mergeCell ref="G8:L8"/>
    <mergeCell ref="U11:W11"/>
    <mergeCell ref="A7:F7"/>
    <mergeCell ref="AJ22:AN22"/>
    <mergeCell ref="S2:X2"/>
    <mergeCell ref="A17:D17"/>
    <mergeCell ref="A22:D22"/>
    <mergeCell ref="AJ12:AN12"/>
    <mergeCell ref="AJ21:AN21"/>
    <mergeCell ref="E24:L24"/>
    <mergeCell ref="AE8:AJ8"/>
    <mergeCell ref="A19:D19"/>
    <mergeCell ref="AK6:AN6"/>
    <mergeCell ref="AJ14:AN14"/>
    <mergeCell ref="U12:W12"/>
    <mergeCell ref="AT1:AW1"/>
    <mergeCell ref="E17:L17"/>
    <mergeCell ref="AJ23:AN23"/>
    <mergeCell ref="U21:W21"/>
    <mergeCell ref="A2:F2"/>
    <mergeCell ref="S9:X9"/>
    <mergeCell ref="AB17:AD17"/>
    <mergeCell ref="M3:R3"/>
    <mergeCell ref="E19:L19"/>
    <mergeCell ref="AE9:AJ9"/>
    <mergeCell ref="A11:D11"/>
    <mergeCell ref="AF24:AI24"/>
    <mergeCell ref="AO9:AT9"/>
    <mergeCell ref="S5:X5"/>
    <mergeCell ref="AB19:AD19"/>
    <mergeCell ref="X17:AA17"/>
    <mergeCell ref="AX16:BB16"/>
    <mergeCell ref="AK4:AN4"/>
    <mergeCell ref="AE5:AJ5"/>
    <mergeCell ref="AX25:BB25"/>
    <mergeCell ref="A9:F9"/>
    <mergeCell ref="AO12:AR12"/>
    <mergeCell ref="S4:X4"/>
    <mergeCell ref="AS23:AW23"/>
    <mergeCell ref="X19:AA19"/>
    <mergeCell ref="AX18:BB18"/>
    <mergeCell ref="AF16:AI16"/>
    <mergeCell ref="AF25:AI25"/>
    <mergeCell ref="AE4:AJ4"/>
    <mergeCell ref="M17:T17"/>
    <mergeCell ref="AS13:AW13"/>
    <mergeCell ref="AB20:AD20"/>
    <mergeCell ref="AO14:AR14"/>
    <mergeCell ref="AB14:AD14"/>
    <mergeCell ref="AJ16:AN16"/>
    <mergeCell ref="AU3:BB3"/>
    <mergeCell ref="AJ25:AN25"/>
    <mergeCell ref="E22:L22"/>
    <mergeCell ref="M19:T19"/>
    <mergeCell ref="AS15:AW15"/>
    <mergeCell ref="AF20:AI20"/>
    <mergeCell ref="X20:AA20"/>
    <mergeCell ref="AF14:AI14"/>
    <mergeCell ref="G7:L7"/>
    <mergeCell ref="X14:AA14"/>
    <mergeCell ref="AF11:AI11"/>
    <mergeCell ref="E12:L12"/>
    <mergeCell ref="U16:W16"/>
    <mergeCell ref="E21:L21"/>
    <mergeCell ref="S7:X7"/>
    <mergeCell ref="AJ11:AN11"/>
    <mergeCell ref="E14:L14"/>
    <mergeCell ref="AO25:AR25"/>
    <mergeCell ref="M7:R7"/>
    <mergeCell ref="E23:L23"/>
    <mergeCell ref="AX22:BB22"/>
    <mergeCell ref="AK2:AN2"/>
    <mergeCell ref="Y7:AD7"/>
    <mergeCell ref="AF13:AI13"/>
    <mergeCell ref="AS25:AW25"/>
    <mergeCell ref="X21:AA21"/>
    <mergeCell ref="AX21:BB21"/>
    <mergeCell ref="A8:F8"/>
    <mergeCell ref="U25:Y25"/>
    <mergeCell ref="AO17:AR17"/>
    <mergeCell ref="AO11:AR11"/>
    <mergeCell ref="M8:R8"/>
    <mergeCell ref="AJ13:AN13"/>
    <mergeCell ref="X23:AA23"/>
    <mergeCell ref="U20:W20"/>
    <mergeCell ref="M13:T13"/>
    <mergeCell ref="U14:W14"/>
    <mergeCell ref="M16:T16"/>
    <mergeCell ref="U23:W23"/>
    <mergeCell ref="AS17:AW17"/>
    <mergeCell ref="X13:AA13"/>
    <mergeCell ref="AX13:BB13"/>
    <mergeCell ref="AS11:AW11"/>
    <mergeCell ref="AB18:AD18"/>
    <mergeCell ref="G9:L9"/>
    <mergeCell ref="X16:AA16"/>
    <mergeCell ref="AJ15:AN15"/>
    <mergeCell ref="AK9:AN9"/>
    <mergeCell ref="U22:W22"/>
    <mergeCell ref="AJ24:AN24"/>
    <mergeCell ref="M18:T18"/>
    <mergeCell ref="AO8:AT8"/>
    <mergeCell ref="AS19:AW19"/>
    <mergeCell ref="AO2:AT2"/>
    <mergeCell ref="Y3:AD3"/>
    <mergeCell ref="X18:AA18"/>
    <mergeCell ref="U15:W15"/>
    <mergeCell ref="A10:BB10"/>
    <mergeCell ref="M9:R9"/>
    <mergeCell ref="A12:D12"/>
    <mergeCell ref="M5:R5"/>
    <mergeCell ref="AX24:BB24"/>
    <mergeCell ref="A21:D21"/>
    <mergeCell ref="Y9:AD9"/>
    <mergeCell ref="AO20:AR20"/>
    <mergeCell ref="AU2:BB2"/>
    <mergeCell ref="AB11:AE11"/>
    <mergeCell ref="AE3:AJ3"/>
    <mergeCell ref="A14:D14"/>
    <mergeCell ref="AO3:AT3"/>
    <mergeCell ref="AS14:AW14"/>
    <mergeCell ref="Z25:AE25"/>
    <mergeCell ref="A23:D23"/>
    <mergeCell ref="Y2:AD2"/>
    <mergeCell ref="AO22:AR22"/>
    <mergeCell ref="AB22:AD22"/>
    <mergeCell ref="AF17:AI17"/>
    <mergeCell ref="AX19:BB19"/>
    <mergeCell ref="AU5:BB5"/>
    <mergeCell ref="AB12:AD12"/>
    <mergeCell ref="AO21:AR21"/>
    <mergeCell ref="AB21:AD21"/>
    <mergeCell ref="X22:AA22"/>
    <mergeCell ref="AF19:AI19"/>
    <mergeCell ref="AJ17:AN17"/>
    <mergeCell ref="E20:L20"/>
    <mergeCell ref="U24:W24"/>
    <mergeCell ref="AU4:BB4"/>
    <mergeCell ref="S6:X6"/>
    <mergeCell ref="AE1:AG1"/>
    <mergeCell ref="AS21:AW21"/>
    <mergeCell ref="X12:AA12"/>
    <mergeCell ref="AB23:AD23"/>
    <mergeCell ref="AX11:BB11"/>
    <mergeCell ref="E13:L13"/>
    <mergeCell ref="AJ19:AN19"/>
    <mergeCell ref="AU6:BB6"/>
    <mergeCell ref="A4:F4"/>
    <mergeCell ref="AB13:AD13"/>
    <mergeCell ref="AO16:AR16"/>
    <mergeCell ref="E15:L15"/>
    <mergeCell ref="U19:W19"/>
    <mergeCell ref="M12:T12"/>
    <mergeCell ref="M21:T21"/>
    <mergeCell ref="AK3:AN3"/>
    <mergeCell ref="AS16:AW16"/>
    <mergeCell ref="AX12:BB12"/>
    <mergeCell ref="Y8:AD8"/>
    <mergeCell ref="AO19:AR19"/>
    <mergeCell ref="A18:D18"/>
    <mergeCell ref="AK5:AN5"/>
    <mergeCell ref="AO7:AT7"/>
    <mergeCell ref="P1:R1"/>
    <mergeCell ref="G2:L2"/>
    <mergeCell ref="A1:C1"/>
    <mergeCell ref="M24:T24"/>
    <mergeCell ref="E16:L16"/>
    <mergeCell ref="AX15:BB15"/>
    <mergeCell ref="A6:F6"/>
    <mergeCell ref="AF21:AI21"/>
    <mergeCell ref="X24:AA24"/>
    <mergeCell ref="AX23:BB23"/>
    <mergeCell ref="S8:X8"/>
    <mergeCell ref="S3:X3"/>
    <mergeCell ref="AB16:AD16"/>
  </mergeCells>
  <dataValidations count="4">
    <dataValidation sqref="U12:W24" showDropDown="0" showInputMessage="1" showErrorMessage="1" allowBlank="1" type="list">
      <formula1>$D$27:$D$28</formula1>
    </dataValidation>
    <dataValidation sqref="X12:AA24" showDropDown="0" showInputMessage="1" showErrorMessage="1" allowBlank="1" type="list">
      <formula1>$H$27:$H$40</formula1>
    </dataValidation>
    <dataValidation sqref="X20:AA20" showDropDown="0" showInputMessage="1" showErrorMessage="1" allowBlank="1" type="list">
      <formula1>$H$28:$H$42</formula1>
    </dataValidation>
    <dataValidation sqref="U20:W20" showDropDown="0" showInputMessage="1" showErrorMessage="1" allowBlank="1" type="list">
      <formula1>$D$28:$D$29</formula1>
    </dataValidation>
  </dataValidations>
  <pageMargins left="0.3149606299212598" right="0.3149606299212598" top="0.6299212598425197" bottom="0.4724409448818898" header="0.3149606299212598" footer="0.3149606299212598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41"/>
  <sheetViews>
    <sheetView showZeros="0" zoomScaleNormal="100" workbookViewId="0">
      <selection activeCell="AB7" sqref="AB7:AD7"/>
    </sheetView>
  </sheetViews>
  <sheetFormatPr baseColWidth="8" defaultRowHeight="18.75"/>
  <cols>
    <col width="2.625" customWidth="1" style="1" min="1" max="100"/>
    <col width="9" customWidth="1" style="1" min="101" max="16384"/>
  </cols>
  <sheetData>
    <row r="1">
      <c r="A1" s="67" t="inlineStr">
        <is>
          <t>材　　　　料　　　　持　　　　出　　　　表</t>
        </is>
      </c>
      <c r="B1" s="427" t="n"/>
      <c r="C1" s="427" t="n"/>
      <c r="D1" s="427" t="n"/>
      <c r="E1" s="427" t="n"/>
      <c r="F1" s="427" t="n"/>
      <c r="G1" s="427" t="n"/>
      <c r="H1" s="427" t="n"/>
      <c r="I1" s="427" t="n"/>
      <c r="J1" s="427" t="n"/>
      <c r="K1" s="427" t="n"/>
      <c r="L1" s="427" t="n"/>
      <c r="M1" s="427" t="n"/>
      <c r="N1" s="427" t="n"/>
      <c r="O1" s="427" t="n"/>
      <c r="P1" s="427" t="n"/>
      <c r="Q1" s="427" t="n"/>
      <c r="R1" s="427" t="n"/>
      <c r="S1" s="427" t="n"/>
      <c r="T1" s="427" t="n"/>
      <c r="U1" s="427" t="n"/>
      <c r="V1" s="427" t="n"/>
      <c r="W1" s="427" t="n"/>
      <c r="X1" s="427" t="n"/>
      <c r="Y1" s="427" t="n"/>
      <c r="Z1" s="427" t="n"/>
      <c r="AA1" s="427" t="n"/>
      <c r="AB1" s="427" t="n"/>
      <c r="AC1" s="427" t="n"/>
      <c r="AD1" s="427" t="n"/>
      <c r="AE1" s="427" t="n"/>
      <c r="AF1" s="427" t="n"/>
      <c r="AG1" s="427" t="n"/>
      <c r="AH1" s="427" t="n"/>
      <c r="AI1" s="427" t="n"/>
      <c r="AJ1" s="427" t="n"/>
      <c r="AK1" s="427" t="n"/>
      <c r="AL1" s="427" t="n"/>
      <c r="AM1" s="427" t="n"/>
      <c r="AN1" s="427" t="n"/>
      <c r="AO1" s="427" t="n"/>
      <c r="AP1" s="427" t="n"/>
      <c r="AQ1" s="427" t="n"/>
      <c r="AR1" s="427" t="n"/>
      <c r="AS1" s="427" t="n"/>
      <c r="AT1" s="427" t="n"/>
      <c r="AU1" s="427" t="n"/>
      <c r="AV1" s="427" t="n"/>
      <c r="AW1" s="427" t="n"/>
      <c r="AX1" s="427" t="n"/>
      <c r="AY1" s="427" t="n"/>
      <c r="AZ1" s="427" t="n"/>
      <c r="BA1" s="427" t="n"/>
      <c r="BB1" s="428" t="n"/>
    </row>
    <row r="2">
      <c r="A2" s="62" t="inlineStr">
        <is>
          <t>月 / 日</t>
        </is>
      </c>
      <c r="B2" s="427" t="n"/>
      <c r="C2" s="427" t="n"/>
      <c r="D2" s="428" t="n"/>
      <c r="E2" s="62" t="inlineStr">
        <is>
          <t>品     名</t>
        </is>
      </c>
      <c r="F2" s="427" t="n"/>
      <c r="G2" s="427" t="n"/>
      <c r="H2" s="427" t="n"/>
      <c r="I2" s="427" t="n"/>
      <c r="J2" s="427" t="n"/>
      <c r="K2" s="427" t="n"/>
      <c r="L2" s="428" t="n"/>
      <c r="M2" s="62" t="inlineStr">
        <is>
          <t>型     式</t>
        </is>
      </c>
      <c r="N2" s="427" t="n"/>
      <c r="O2" s="427" t="n"/>
      <c r="P2" s="427" t="n"/>
      <c r="Q2" s="427" t="n"/>
      <c r="R2" s="427" t="n"/>
      <c r="S2" s="427" t="n"/>
      <c r="T2" s="428" t="n"/>
      <c r="U2" s="62" t="inlineStr">
        <is>
          <t>在  庫</t>
        </is>
      </c>
      <c r="V2" s="427" t="n"/>
      <c r="W2" s="428" t="n"/>
      <c r="X2" s="62" t="inlineStr">
        <is>
          <t>仕 入 先</t>
        </is>
      </c>
      <c r="Y2" s="427" t="n"/>
      <c r="Z2" s="427" t="n"/>
      <c r="AA2" s="428" t="n"/>
      <c r="AB2" s="62" t="inlineStr">
        <is>
          <t>数  量</t>
        </is>
      </c>
      <c r="AC2" s="427" t="n"/>
      <c r="AD2" s="427" t="n"/>
      <c r="AE2" s="428" t="n"/>
      <c r="AF2" s="62" t="inlineStr">
        <is>
          <t>仕 入 単 価</t>
        </is>
      </c>
      <c r="AG2" s="427" t="n"/>
      <c r="AH2" s="427" t="n"/>
      <c r="AI2" s="428" t="n"/>
      <c r="AJ2" s="62" t="inlineStr">
        <is>
          <t>仕 入 合 計</t>
        </is>
      </c>
      <c r="AK2" s="427" t="n"/>
      <c r="AL2" s="427" t="n"/>
      <c r="AM2" s="427" t="n"/>
      <c r="AN2" s="428" t="n"/>
      <c r="AO2" s="62" t="inlineStr">
        <is>
          <t>売 値 単 価</t>
        </is>
      </c>
      <c r="AP2" s="427" t="n"/>
      <c r="AQ2" s="427" t="n"/>
      <c r="AR2" s="428" t="n"/>
      <c r="AS2" s="62" t="inlineStr">
        <is>
          <t>売 値 合 計</t>
        </is>
      </c>
      <c r="AT2" s="427" t="n"/>
      <c r="AU2" s="427" t="n"/>
      <c r="AV2" s="427" t="n"/>
      <c r="AW2" s="428" t="n"/>
      <c r="AX2" s="62" t="inlineStr">
        <is>
          <t>送   料</t>
        </is>
      </c>
      <c r="AY2" s="427" t="n"/>
      <c r="AZ2" s="427" t="n"/>
      <c r="BA2" s="427" t="n"/>
      <c r="BB2" s="428" t="n"/>
    </row>
    <row r="3" ht="22.5" customHeight="1" s="337">
      <c r="A3" s="475" t="n"/>
      <c r="B3" s="463" t="n"/>
      <c r="C3" s="463" t="n"/>
      <c r="D3" s="464" t="n"/>
      <c r="E3" s="66" t="n"/>
      <c r="F3" s="463" t="n"/>
      <c r="G3" s="463" t="n"/>
      <c r="H3" s="463" t="n"/>
      <c r="I3" s="463" t="n"/>
      <c r="J3" s="463" t="n"/>
      <c r="K3" s="463" t="n"/>
      <c r="L3" s="464" t="n"/>
      <c r="M3" s="66" t="n"/>
      <c r="N3" s="463" t="n"/>
      <c r="O3" s="463" t="n"/>
      <c r="P3" s="463" t="n"/>
      <c r="Q3" s="463" t="n"/>
      <c r="R3" s="463" t="n"/>
      <c r="S3" s="463" t="n"/>
      <c r="T3" s="464" t="n"/>
      <c r="U3" s="66" t="n"/>
      <c r="V3" s="463" t="n"/>
      <c r="W3" s="464" t="n"/>
      <c r="X3" s="66" t="n"/>
      <c r="Y3" s="463" t="n"/>
      <c r="Z3" s="463" t="n"/>
      <c r="AA3" s="464" t="n"/>
      <c r="AB3" s="56" t="n"/>
      <c r="AC3" s="463" t="n"/>
      <c r="AD3" s="463" t="n"/>
      <c r="AE3" s="55" t="n"/>
      <c r="AF3" s="476" t="n"/>
      <c r="AG3" s="463" t="n"/>
      <c r="AH3" s="463" t="n"/>
      <c r="AI3" s="464" t="n"/>
      <c r="AJ3" s="476">
        <f>SUM(AF3*AB3)</f>
        <v/>
      </c>
      <c r="AK3" s="463" t="n"/>
      <c r="AL3" s="463" t="n"/>
      <c r="AM3" s="463" t="n"/>
      <c r="AN3" s="464" t="n"/>
      <c r="AO3" s="476" t="n"/>
      <c r="AP3" s="463" t="n"/>
      <c r="AQ3" s="463" t="n"/>
      <c r="AR3" s="464" t="n"/>
      <c r="AS3" s="476">
        <f>SUM(AO3*AB3)</f>
        <v/>
      </c>
      <c r="AT3" s="463" t="n"/>
      <c r="AU3" s="463" t="n"/>
      <c r="AV3" s="463" t="n"/>
      <c r="AW3" s="464" t="n"/>
      <c r="AX3" s="476" t="n"/>
      <c r="AY3" s="463" t="n"/>
      <c r="AZ3" s="463" t="n"/>
      <c r="BA3" s="463" t="n"/>
      <c r="BB3" s="464" t="n"/>
    </row>
    <row r="4" ht="22.5" customHeight="1" s="337">
      <c r="A4" s="477" t="n"/>
      <c r="B4" s="427" t="n"/>
      <c r="C4" s="427" t="n"/>
      <c r="D4" s="428" t="n"/>
      <c r="E4" s="62" t="n"/>
      <c r="F4" s="427" t="n"/>
      <c r="G4" s="427" t="n"/>
      <c r="H4" s="427" t="n"/>
      <c r="I4" s="427" t="n"/>
      <c r="J4" s="427" t="n"/>
      <c r="K4" s="427" t="n"/>
      <c r="L4" s="428" t="n"/>
      <c r="M4" s="62" t="n"/>
      <c r="N4" s="427" t="n"/>
      <c r="O4" s="427" t="n"/>
      <c r="P4" s="427" t="n"/>
      <c r="Q4" s="427" t="n"/>
      <c r="R4" s="427" t="n"/>
      <c r="S4" s="427" t="n"/>
      <c r="T4" s="428" t="n"/>
      <c r="U4" s="62" t="n"/>
      <c r="V4" s="427" t="n"/>
      <c r="W4" s="428" t="n"/>
      <c r="X4" s="62" t="n"/>
      <c r="Y4" s="427" t="n"/>
      <c r="Z4" s="427" t="n"/>
      <c r="AA4" s="428" t="n"/>
      <c r="AB4" s="56" t="n"/>
      <c r="AC4" s="463" t="n"/>
      <c r="AD4" s="463" t="n"/>
      <c r="AE4" s="55" t="n"/>
      <c r="AF4" s="476" t="n"/>
      <c r="AG4" s="463" t="n"/>
      <c r="AH4" s="463" t="n"/>
      <c r="AI4" s="464" t="n"/>
      <c r="AJ4" s="476">
        <f>SUM(AF4*AB4)</f>
        <v/>
      </c>
      <c r="AK4" s="463" t="n"/>
      <c r="AL4" s="463" t="n"/>
      <c r="AM4" s="463" t="n"/>
      <c r="AN4" s="464" t="n"/>
      <c r="AO4" s="476" t="n"/>
      <c r="AP4" s="463" t="n"/>
      <c r="AQ4" s="463" t="n"/>
      <c r="AR4" s="464" t="n"/>
      <c r="AS4" s="476">
        <f>SUM(AO4*AB4)</f>
        <v/>
      </c>
      <c r="AT4" s="463" t="n"/>
      <c r="AU4" s="463" t="n"/>
      <c r="AV4" s="463" t="n"/>
      <c r="AW4" s="464" t="n"/>
      <c r="AX4" s="476" t="n"/>
      <c r="AY4" s="463" t="n"/>
      <c r="AZ4" s="463" t="n"/>
      <c r="BA4" s="463" t="n"/>
      <c r="BB4" s="464" t="n"/>
    </row>
    <row r="5" ht="22.5" customHeight="1" s="337">
      <c r="A5" s="477" t="n"/>
      <c r="B5" s="427" t="n"/>
      <c r="C5" s="427" t="n"/>
      <c r="D5" s="428" t="n"/>
      <c r="E5" s="69" t="n"/>
      <c r="F5" s="427" t="n"/>
      <c r="G5" s="427" t="n"/>
      <c r="H5" s="427" t="n"/>
      <c r="I5" s="427" t="n"/>
      <c r="J5" s="427" t="n"/>
      <c r="K5" s="427" t="n"/>
      <c r="L5" s="428" t="n"/>
      <c r="M5" s="62" t="n"/>
      <c r="N5" s="427" t="n"/>
      <c r="O5" s="427" t="n"/>
      <c r="P5" s="427" t="n"/>
      <c r="Q5" s="427" t="n"/>
      <c r="R5" s="427" t="n"/>
      <c r="S5" s="427" t="n"/>
      <c r="T5" s="428" t="n"/>
      <c r="U5" s="62" t="n"/>
      <c r="V5" s="427" t="n"/>
      <c r="W5" s="428" t="n"/>
      <c r="X5" s="62" t="n"/>
      <c r="Y5" s="427" t="n"/>
      <c r="Z5" s="427" t="n"/>
      <c r="AA5" s="428" t="n"/>
      <c r="AB5" s="56" t="n"/>
      <c r="AC5" s="463" t="n"/>
      <c r="AD5" s="463" t="n"/>
      <c r="AE5" s="55" t="n"/>
      <c r="AF5" s="476" t="n"/>
      <c r="AG5" s="463" t="n"/>
      <c r="AH5" s="463" t="n"/>
      <c r="AI5" s="464" t="n"/>
      <c r="AJ5" s="476">
        <f>SUM(AF5*AB5)</f>
        <v/>
      </c>
      <c r="AK5" s="463" t="n"/>
      <c r="AL5" s="463" t="n"/>
      <c r="AM5" s="463" t="n"/>
      <c r="AN5" s="464" t="n"/>
      <c r="AO5" s="476" t="n"/>
      <c r="AP5" s="463" t="n"/>
      <c r="AQ5" s="463" t="n"/>
      <c r="AR5" s="464" t="n"/>
      <c r="AS5" s="476">
        <f>SUM(AO5*AB5)</f>
        <v/>
      </c>
      <c r="AT5" s="463" t="n"/>
      <c r="AU5" s="463" t="n"/>
      <c r="AV5" s="463" t="n"/>
      <c r="AW5" s="464" t="n"/>
      <c r="AX5" s="476" t="n"/>
      <c r="AY5" s="463" t="n"/>
      <c r="AZ5" s="463" t="n"/>
      <c r="BA5" s="463" t="n"/>
      <c r="BB5" s="464" t="n"/>
    </row>
    <row r="6" ht="22.5" customHeight="1" s="337">
      <c r="A6" s="477" t="n"/>
      <c r="B6" s="427" t="n"/>
      <c r="C6" s="427" t="n"/>
      <c r="D6" s="428" t="n"/>
      <c r="E6" s="62" t="n"/>
      <c r="F6" s="427" t="n"/>
      <c r="G6" s="427" t="n"/>
      <c r="H6" s="427" t="n"/>
      <c r="I6" s="427" t="n"/>
      <c r="J6" s="427" t="n"/>
      <c r="K6" s="427" t="n"/>
      <c r="L6" s="428" t="n"/>
      <c r="M6" s="62" t="n"/>
      <c r="N6" s="427" t="n"/>
      <c r="O6" s="427" t="n"/>
      <c r="P6" s="427" t="n"/>
      <c r="Q6" s="427" t="n"/>
      <c r="R6" s="427" t="n"/>
      <c r="S6" s="427" t="n"/>
      <c r="T6" s="428" t="n"/>
      <c r="U6" s="62" t="n"/>
      <c r="V6" s="427" t="n"/>
      <c r="W6" s="428" t="n"/>
      <c r="X6" s="62" t="n"/>
      <c r="Y6" s="427" t="n"/>
      <c r="Z6" s="427" t="n"/>
      <c r="AA6" s="428" t="n"/>
      <c r="AB6" s="56" t="n"/>
      <c r="AC6" s="463" t="n"/>
      <c r="AD6" s="463" t="n"/>
      <c r="AE6" s="55" t="n"/>
      <c r="AF6" s="476" t="n"/>
      <c r="AG6" s="463" t="n"/>
      <c r="AH6" s="463" t="n"/>
      <c r="AI6" s="464" t="n"/>
      <c r="AJ6" s="476">
        <f>SUM(AF6*AB6)</f>
        <v/>
      </c>
      <c r="AK6" s="463" t="n"/>
      <c r="AL6" s="463" t="n"/>
      <c r="AM6" s="463" t="n"/>
      <c r="AN6" s="464" t="n"/>
      <c r="AO6" s="476" t="n"/>
      <c r="AP6" s="463" t="n"/>
      <c r="AQ6" s="463" t="n"/>
      <c r="AR6" s="464" t="n"/>
      <c r="AS6" s="476">
        <f>SUM(AO6*AB6)</f>
        <v/>
      </c>
      <c r="AT6" s="463" t="n"/>
      <c r="AU6" s="463" t="n"/>
      <c r="AV6" s="463" t="n"/>
      <c r="AW6" s="464" t="n"/>
      <c r="AX6" s="476" t="n"/>
      <c r="AY6" s="463" t="n"/>
      <c r="AZ6" s="463" t="n"/>
      <c r="BA6" s="463" t="n"/>
      <c r="BB6" s="464" t="n"/>
    </row>
    <row r="7" ht="22.5" customHeight="1" s="337">
      <c r="A7" s="477" t="n"/>
      <c r="B7" s="427" t="n"/>
      <c r="C7" s="427" t="n"/>
      <c r="D7" s="428" t="n"/>
      <c r="E7" s="68" t="n"/>
      <c r="F7" s="427" t="n"/>
      <c r="G7" s="427" t="n"/>
      <c r="H7" s="427" t="n"/>
      <c r="I7" s="427" t="n"/>
      <c r="J7" s="427" t="n"/>
      <c r="K7" s="427" t="n"/>
      <c r="L7" s="428" t="n"/>
      <c r="M7" s="62" t="n"/>
      <c r="N7" s="427" t="n"/>
      <c r="O7" s="427" t="n"/>
      <c r="P7" s="427" t="n"/>
      <c r="Q7" s="427" t="n"/>
      <c r="R7" s="427" t="n"/>
      <c r="S7" s="427" t="n"/>
      <c r="T7" s="428" t="n"/>
      <c r="U7" s="62" t="n"/>
      <c r="V7" s="427" t="n"/>
      <c r="W7" s="428" t="n"/>
      <c r="X7" s="62" t="n"/>
      <c r="Y7" s="427" t="n"/>
      <c r="Z7" s="427" t="n"/>
      <c r="AA7" s="428" t="n"/>
      <c r="AB7" s="56" t="n"/>
      <c r="AC7" s="463" t="n"/>
      <c r="AD7" s="463" t="n"/>
      <c r="AE7" s="55" t="n"/>
      <c r="AF7" s="476" t="n"/>
      <c r="AG7" s="463" t="n"/>
      <c r="AH7" s="463" t="n"/>
      <c r="AI7" s="464" t="n"/>
      <c r="AJ7" s="476">
        <f>SUM(AF7*AB7)</f>
        <v/>
      </c>
      <c r="AK7" s="463" t="n"/>
      <c r="AL7" s="463" t="n"/>
      <c r="AM7" s="463" t="n"/>
      <c r="AN7" s="464" t="n"/>
      <c r="AO7" s="476" t="n"/>
      <c r="AP7" s="463" t="n"/>
      <c r="AQ7" s="463" t="n"/>
      <c r="AR7" s="464" t="n"/>
      <c r="AS7" s="476">
        <f>SUM(AO7*AB7)</f>
        <v/>
      </c>
      <c r="AT7" s="463" t="n"/>
      <c r="AU7" s="463" t="n"/>
      <c r="AV7" s="463" t="n"/>
      <c r="AW7" s="464" t="n"/>
      <c r="AX7" s="476" t="n"/>
      <c r="AY7" s="463" t="n"/>
      <c r="AZ7" s="463" t="n"/>
      <c r="BA7" s="463" t="n"/>
      <c r="BB7" s="464" t="n"/>
    </row>
    <row r="8" ht="22.5" customHeight="1" s="337">
      <c r="A8" s="477" t="n"/>
      <c r="B8" s="427" t="n"/>
      <c r="C8" s="427" t="n"/>
      <c r="D8" s="428" t="n"/>
      <c r="E8" s="62" t="n"/>
      <c r="F8" s="427" t="n"/>
      <c r="G8" s="427" t="n"/>
      <c r="H8" s="427" t="n"/>
      <c r="I8" s="427" t="n"/>
      <c r="J8" s="427" t="n"/>
      <c r="K8" s="427" t="n"/>
      <c r="L8" s="428" t="n"/>
      <c r="M8" s="69" t="n"/>
      <c r="N8" s="427" t="n"/>
      <c r="O8" s="427" t="n"/>
      <c r="P8" s="427" t="n"/>
      <c r="Q8" s="427" t="n"/>
      <c r="R8" s="427" t="n"/>
      <c r="S8" s="427" t="n"/>
      <c r="T8" s="428" t="n"/>
      <c r="U8" s="62" t="n"/>
      <c r="V8" s="427" t="n"/>
      <c r="W8" s="428" t="n"/>
      <c r="X8" s="62" t="n"/>
      <c r="Y8" s="427" t="n"/>
      <c r="Z8" s="427" t="n"/>
      <c r="AA8" s="428" t="n"/>
      <c r="AB8" s="56" t="n"/>
      <c r="AC8" s="463" t="n"/>
      <c r="AD8" s="463" t="n"/>
      <c r="AE8" s="55" t="n"/>
      <c r="AF8" s="476" t="n"/>
      <c r="AG8" s="463" t="n"/>
      <c r="AH8" s="463" t="n"/>
      <c r="AI8" s="464" t="n"/>
      <c r="AJ8" s="476">
        <f>SUM(AF8*AB8)</f>
        <v/>
      </c>
      <c r="AK8" s="463" t="n"/>
      <c r="AL8" s="463" t="n"/>
      <c r="AM8" s="463" t="n"/>
      <c r="AN8" s="464" t="n"/>
      <c r="AO8" s="476" t="n"/>
      <c r="AP8" s="463" t="n"/>
      <c r="AQ8" s="463" t="n"/>
      <c r="AR8" s="464" t="n"/>
      <c r="AS8" s="476">
        <f>SUM(AO8*AB8)</f>
        <v/>
      </c>
      <c r="AT8" s="463" t="n"/>
      <c r="AU8" s="463" t="n"/>
      <c r="AV8" s="463" t="n"/>
      <c r="AW8" s="464" t="n"/>
      <c r="AX8" s="476" t="n"/>
      <c r="AY8" s="463" t="n"/>
      <c r="AZ8" s="463" t="n"/>
      <c r="BA8" s="463" t="n"/>
      <c r="BB8" s="464" t="n"/>
    </row>
    <row r="9" ht="22.5" customHeight="1" s="337">
      <c r="A9" s="477" t="n"/>
      <c r="B9" s="427" t="n"/>
      <c r="C9" s="427" t="n"/>
      <c r="D9" s="428" t="n"/>
      <c r="E9" s="68" t="n"/>
      <c r="F9" s="427" t="n"/>
      <c r="G9" s="427" t="n"/>
      <c r="H9" s="427" t="n"/>
      <c r="I9" s="427" t="n"/>
      <c r="J9" s="427" t="n"/>
      <c r="K9" s="427" t="n"/>
      <c r="L9" s="428" t="n"/>
      <c r="M9" s="62" t="n"/>
      <c r="N9" s="427" t="n"/>
      <c r="O9" s="427" t="n"/>
      <c r="P9" s="427" t="n"/>
      <c r="Q9" s="427" t="n"/>
      <c r="R9" s="427" t="n"/>
      <c r="S9" s="427" t="n"/>
      <c r="T9" s="428" t="n"/>
      <c r="U9" s="62" t="n"/>
      <c r="V9" s="427" t="n"/>
      <c r="W9" s="428" t="n"/>
      <c r="X9" s="62" t="n"/>
      <c r="Y9" s="427" t="n"/>
      <c r="Z9" s="427" t="n"/>
      <c r="AA9" s="428" t="n"/>
      <c r="AB9" s="56" t="n"/>
      <c r="AC9" s="463" t="n"/>
      <c r="AD9" s="463" t="n"/>
      <c r="AE9" s="55" t="n"/>
      <c r="AF9" s="476" t="n"/>
      <c r="AG9" s="463" t="n"/>
      <c r="AH9" s="463" t="n"/>
      <c r="AI9" s="464" t="n"/>
      <c r="AJ9" s="476">
        <f>SUM(AF9*AB9)</f>
        <v/>
      </c>
      <c r="AK9" s="463" t="n"/>
      <c r="AL9" s="463" t="n"/>
      <c r="AM9" s="463" t="n"/>
      <c r="AN9" s="464" t="n"/>
      <c r="AO9" s="476" t="n"/>
      <c r="AP9" s="463" t="n"/>
      <c r="AQ9" s="463" t="n"/>
      <c r="AR9" s="464" t="n"/>
      <c r="AS9" s="476">
        <f>SUM(AO9*AB9)</f>
        <v/>
      </c>
      <c r="AT9" s="463" t="n"/>
      <c r="AU9" s="463" t="n"/>
      <c r="AV9" s="463" t="n"/>
      <c r="AW9" s="464" t="n"/>
      <c r="AX9" s="476" t="n"/>
      <c r="AY9" s="463" t="n"/>
      <c r="AZ9" s="463" t="n"/>
      <c r="BA9" s="463" t="n"/>
      <c r="BB9" s="464" t="n"/>
    </row>
    <row r="10" ht="22.5" customHeight="1" s="337">
      <c r="A10" s="477" t="n"/>
      <c r="B10" s="427" t="n"/>
      <c r="C10" s="427" t="n"/>
      <c r="D10" s="428" t="n"/>
      <c r="E10" s="62" t="n"/>
      <c r="F10" s="427" t="n"/>
      <c r="G10" s="427" t="n"/>
      <c r="H10" s="427" t="n"/>
      <c r="I10" s="427" t="n"/>
      <c r="J10" s="427" t="n"/>
      <c r="K10" s="427" t="n"/>
      <c r="L10" s="428" t="n"/>
      <c r="M10" s="62" t="n"/>
      <c r="N10" s="427" t="n"/>
      <c r="O10" s="427" t="n"/>
      <c r="P10" s="427" t="n"/>
      <c r="Q10" s="427" t="n"/>
      <c r="R10" s="427" t="n"/>
      <c r="S10" s="427" t="n"/>
      <c r="T10" s="428" t="n"/>
      <c r="U10" s="62" t="n"/>
      <c r="V10" s="427" t="n"/>
      <c r="W10" s="428" t="n"/>
      <c r="X10" s="62" t="n"/>
      <c r="Y10" s="427" t="n"/>
      <c r="Z10" s="427" t="n"/>
      <c r="AA10" s="428" t="n"/>
      <c r="AB10" s="56" t="n"/>
      <c r="AC10" s="463" t="n"/>
      <c r="AD10" s="463" t="n"/>
      <c r="AE10" s="55" t="n"/>
      <c r="AF10" s="476" t="n"/>
      <c r="AG10" s="463" t="n"/>
      <c r="AH10" s="463" t="n"/>
      <c r="AI10" s="464" t="n"/>
      <c r="AJ10" s="476">
        <f>SUM(AF10*AB10)</f>
        <v/>
      </c>
      <c r="AK10" s="463" t="n"/>
      <c r="AL10" s="463" t="n"/>
      <c r="AM10" s="463" t="n"/>
      <c r="AN10" s="464" t="n"/>
      <c r="AO10" s="476" t="n"/>
      <c r="AP10" s="463" t="n"/>
      <c r="AQ10" s="463" t="n"/>
      <c r="AR10" s="464" t="n"/>
      <c r="AS10" s="476">
        <f>SUM(AO10*AB10)</f>
        <v/>
      </c>
      <c r="AT10" s="463" t="n"/>
      <c r="AU10" s="463" t="n"/>
      <c r="AV10" s="463" t="n"/>
      <c r="AW10" s="464" t="n"/>
      <c r="AX10" s="476" t="n"/>
      <c r="AY10" s="463" t="n"/>
      <c r="AZ10" s="463" t="n"/>
      <c r="BA10" s="463" t="n"/>
      <c r="BB10" s="464" t="n"/>
    </row>
    <row r="11" ht="22.5" customHeight="1" s="337">
      <c r="A11" s="477" t="n"/>
      <c r="B11" s="427" t="n"/>
      <c r="C11" s="427" t="n"/>
      <c r="D11" s="428" t="n"/>
      <c r="E11" s="62" t="n"/>
      <c r="F11" s="427" t="n"/>
      <c r="G11" s="427" t="n"/>
      <c r="H11" s="427" t="n"/>
      <c r="I11" s="427" t="n"/>
      <c r="J11" s="427" t="n"/>
      <c r="K11" s="427" t="n"/>
      <c r="L11" s="428" t="n"/>
      <c r="M11" s="62" t="n"/>
      <c r="N11" s="427" t="n"/>
      <c r="O11" s="427" t="n"/>
      <c r="P11" s="427" t="n"/>
      <c r="Q11" s="427" t="n"/>
      <c r="R11" s="427" t="n"/>
      <c r="S11" s="427" t="n"/>
      <c r="T11" s="428" t="n"/>
      <c r="U11" s="62" t="n"/>
      <c r="V11" s="427" t="n"/>
      <c r="W11" s="428" t="n"/>
      <c r="X11" s="62" t="n"/>
      <c r="Y11" s="427" t="n"/>
      <c r="Z11" s="427" t="n"/>
      <c r="AA11" s="428" t="n"/>
      <c r="AB11" s="56" t="n"/>
      <c r="AC11" s="463" t="n"/>
      <c r="AD11" s="463" t="n"/>
      <c r="AE11" s="55" t="n"/>
      <c r="AF11" s="476" t="n"/>
      <c r="AG11" s="463" t="n"/>
      <c r="AH11" s="463" t="n"/>
      <c r="AI11" s="464" t="n"/>
      <c r="AJ11" s="476">
        <f>SUM(AF11*AB11)</f>
        <v/>
      </c>
      <c r="AK11" s="463" t="n"/>
      <c r="AL11" s="463" t="n"/>
      <c r="AM11" s="463" t="n"/>
      <c r="AN11" s="464" t="n"/>
      <c r="AO11" s="476" t="n"/>
      <c r="AP11" s="463" t="n"/>
      <c r="AQ11" s="463" t="n"/>
      <c r="AR11" s="464" t="n"/>
      <c r="AS11" s="476">
        <f>SUM(AO11*AB11)</f>
        <v/>
      </c>
      <c r="AT11" s="463" t="n"/>
      <c r="AU11" s="463" t="n"/>
      <c r="AV11" s="463" t="n"/>
      <c r="AW11" s="464" t="n"/>
      <c r="AX11" s="476" t="n"/>
      <c r="AY11" s="463" t="n"/>
      <c r="AZ11" s="463" t="n"/>
      <c r="BA11" s="463" t="n"/>
      <c r="BB11" s="464" t="n"/>
    </row>
    <row r="12" ht="22.5" customHeight="1" s="337">
      <c r="A12" s="477" t="n"/>
      <c r="B12" s="427" t="n"/>
      <c r="C12" s="427" t="n"/>
      <c r="D12" s="428" t="n"/>
      <c r="E12" s="62" t="n"/>
      <c r="F12" s="427" t="n"/>
      <c r="G12" s="427" t="n"/>
      <c r="H12" s="427" t="n"/>
      <c r="I12" s="427" t="n"/>
      <c r="J12" s="427" t="n"/>
      <c r="K12" s="427" t="n"/>
      <c r="L12" s="428" t="n"/>
      <c r="M12" s="62" t="n"/>
      <c r="N12" s="427" t="n"/>
      <c r="O12" s="427" t="n"/>
      <c r="P12" s="427" t="n"/>
      <c r="Q12" s="427" t="n"/>
      <c r="R12" s="427" t="n"/>
      <c r="S12" s="427" t="n"/>
      <c r="T12" s="428" t="n"/>
      <c r="U12" s="62" t="n"/>
      <c r="V12" s="427" t="n"/>
      <c r="W12" s="428" t="n"/>
      <c r="X12" s="62" t="n"/>
      <c r="Y12" s="427" t="n"/>
      <c r="Z12" s="427" t="n"/>
      <c r="AA12" s="428" t="n"/>
      <c r="AB12" s="56" t="n"/>
      <c r="AC12" s="463" t="n"/>
      <c r="AD12" s="463" t="n"/>
      <c r="AE12" s="55" t="n"/>
      <c r="AF12" s="476" t="n"/>
      <c r="AG12" s="463" t="n"/>
      <c r="AH12" s="463" t="n"/>
      <c r="AI12" s="464" t="n"/>
      <c r="AJ12" s="476">
        <f>SUM(AF12*AB12)</f>
        <v/>
      </c>
      <c r="AK12" s="463" t="n"/>
      <c r="AL12" s="463" t="n"/>
      <c r="AM12" s="463" t="n"/>
      <c r="AN12" s="464" t="n"/>
      <c r="AO12" s="476" t="n"/>
      <c r="AP12" s="463" t="n"/>
      <c r="AQ12" s="463" t="n"/>
      <c r="AR12" s="464" t="n"/>
      <c r="AS12" s="476">
        <f>SUM(AO12*AB12)</f>
        <v/>
      </c>
      <c r="AT12" s="463" t="n"/>
      <c r="AU12" s="463" t="n"/>
      <c r="AV12" s="463" t="n"/>
      <c r="AW12" s="464" t="n"/>
      <c r="AX12" s="476" t="n"/>
      <c r="AY12" s="463" t="n"/>
      <c r="AZ12" s="463" t="n"/>
      <c r="BA12" s="463" t="n"/>
      <c r="BB12" s="464" t="n"/>
    </row>
    <row r="13" ht="22.5" customHeight="1" s="337">
      <c r="A13" s="477" t="n"/>
      <c r="B13" s="427" t="n"/>
      <c r="C13" s="427" t="n"/>
      <c r="D13" s="428" t="n"/>
      <c r="E13" s="62" t="n"/>
      <c r="F13" s="427" t="n"/>
      <c r="G13" s="427" t="n"/>
      <c r="H13" s="427" t="n"/>
      <c r="I13" s="427" t="n"/>
      <c r="J13" s="427" t="n"/>
      <c r="K13" s="427" t="n"/>
      <c r="L13" s="428" t="n"/>
      <c r="M13" s="62" t="n"/>
      <c r="N13" s="427" t="n"/>
      <c r="O13" s="427" t="n"/>
      <c r="P13" s="427" t="n"/>
      <c r="Q13" s="427" t="n"/>
      <c r="R13" s="427" t="n"/>
      <c r="S13" s="427" t="n"/>
      <c r="T13" s="428" t="n"/>
      <c r="U13" s="62" t="n"/>
      <c r="V13" s="427" t="n"/>
      <c r="W13" s="428" t="n"/>
      <c r="X13" s="62" t="n"/>
      <c r="Y13" s="427" t="n"/>
      <c r="Z13" s="427" t="n"/>
      <c r="AA13" s="428" t="n"/>
      <c r="AB13" s="56" t="n"/>
      <c r="AC13" s="463" t="n"/>
      <c r="AD13" s="463" t="n"/>
      <c r="AE13" s="55" t="n"/>
      <c r="AF13" s="476" t="n"/>
      <c r="AG13" s="463" t="n"/>
      <c r="AH13" s="463" t="n"/>
      <c r="AI13" s="464" t="n"/>
      <c r="AJ13" s="476">
        <f>SUM(AF13*AB13)</f>
        <v/>
      </c>
      <c r="AK13" s="463" t="n"/>
      <c r="AL13" s="463" t="n"/>
      <c r="AM13" s="463" t="n"/>
      <c r="AN13" s="464" t="n"/>
      <c r="AO13" s="476" t="n"/>
      <c r="AP13" s="463" t="n"/>
      <c r="AQ13" s="463" t="n"/>
      <c r="AR13" s="464" t="n"/>
      <c r="AS13" s="476">
        <f>SUM(AO13*AB13)</f>
        <v/>
      </c>
      <c r="AT13" s="463" t="n"/>
      <c r="AU13" s="463" t="n"/>
      <c r="AV13" s="463" t="n"/>
      <c r="AW13" s="464" t="n"/>
      <c r="AX13" s="476" t="n"/>
      <c r="AY13" s="463" t="n"/>
      <c r="AZ13" s="463" t="n"/>
      <c r="BA13" s="463" t="n"/>
      <c r="BB13" s="464" t="n"/>
    </row>
    <row r="14" ht="22.5" customHeight="1" s="337">
      <c r="A14" s="477" t="n"/>
      <c r="B14" s="427" t="n"/>
      <c r="C14" s="427" t="n"/>
      <c r="D14" s="428" t="n"/>
      <c r="E14" s="62" t="n"/>
      <c r="F14" s="427" t="n"/>
      <c r="G14" s="427" t="n"/>
      <c r="H14" s="427" t="n"/>
      <c r="I14" s="427" t="n"/>
      <c r="J14" s="427" t="n"/>
      <c r="K14" s="427" t="n"/>
      <c r="L14" s="428" t="n"/>
      <c r="M14" s="62" t="n"/>
      <c r="N14" s="427" t="n"/>
      <c r="O14" s="427" t="n"/>
      <c r="P14" s="427" t="n"/>
      <c r="Q14" s="427" t="n"/>
      <c r="R14" s="427" t="n"/>
      <c r="S14" s="427" t="n"/>
      <c r="T14" s="428" t="n"/>
      <c r="U14" s="62" t="n"/>
      <c r="V14" s="427" t="n"/>
      <c r="W14" s="428" t="n"/>
      <c r="X14" s="62" t="n"/>
      <c r="Y14" s="427" t="n"/>
      <c r="Z14" s="427" t="n"/>
      <c r="AA14" s="428" t="n"/>
      <c r="AB14" s="56" t="n"/>
      <c r="AC14" s="463" t="n"/>
      <c r="AD14" s="463" t="n"/>
      <c r="AE14" s="55" t="n"/>
      <c r="AF14" s="476" t="n"/>
      <c r="AG14" s="463" t="n"/>
      <c r="AH14" s="463" t="n"/>
      <c r="AI14" s="464" t="n"/>
      <c r="AJ14" s="476">
        <f>SUM(AF14*AB14)</f>
        <v/>
      </c>
      <c r="AK14" s="463" t="n"/>
      <c r="AL14" s="463" t="n"/>
      <c r="AM14" s="463" t="n"/>
      <c r="AN14" s="464" t="n"/>
      <c r="AO14" s="476" t="n"/>
      <c r="AP14" s="463" t="n"/>
      <c r="AQ14" s="463" t="n"/>
      <c r="AR14" s="464" t="n"/>
      <c r="AS14" s="476">
        <f>SUM(AO14*AB14)</f>
        <v/>
      </c>
      <c r="AT14" s="463" t="n"/>
      <c r="AU14" s="463" t="n"/>
      <c r="AV14" s="463" t="n"/>
      <c r="AW14" s="464" t="n"/>
      <c r="AX14" s="476" t="n"/>
      <c r="AY14" s="463" t="n"/>
      <c r="AZ14" s="463" t="n"/>
      <c r="BA14" s="463" t="n"/>
      <c r="BB14" s="464" t="n"/>
    </row>
    <row r="15" ht="22.5" customHeight="1" s="337">
      <c r="A15" s="477" t="n"/>
      <c r="B15" s="427" t="n"/>
      <c r="C15" s="427" t="n"/>
      <c r="D15" s="428" t="n"/>
      <c r="E15" s="68" t="n"/>
      <c r="F15" s="427" t="n"/>
      <c r="G15" s="427" t="n"/>
      <c r="H15" s="427" t="n"/>
      <c r="I15" s="427" t="n"/>
      <c r="J15" s="427" t="n"/>
      <c r="K15" s="427" t="n"/>
      <c r="L15" s="428" t="n"/>
      <c r="M15" s="62" t="n"/>
      <c r="N15" s="427" t="n"/>
      <c r="O15" s="427" t="n"/>
      <c r="P15" s="427" t="n"/>
      <c r="Q15" s="427" t="n"/>
      <c r="R15" s="427" t="n"/>
      <c r="S15" s="427" t="n"/>
      <c r="T15" s="428" t="n"/>
      <c r="U15" s="62" t="n"/>
      <c r="V15" s="427" t="n"/>
      <c r="W15" s="428" t="n"/>
      <c r="X15" s="62" t="n"/>
      <c r="Y15" s="427" t="n"/>
      <c r="Z15" s="427" t="n"/>
      <c r="AA15" s="428" t="n"/>
      <c r="AB15" s="56" t="n"/>
      <c r="AC15" s="463" t="n"/>
      <c r="AD15" s="463" t="n"/>
      <c r="AE15" s="55" t="n"/>
      <c r="AF15" s="476" t="n"/>
      <c r="AG15" s="463" t="n"/>
      <c r="AH15" s="463" t="n"/>
      <c r="AI15" s="464" t="n"/>
      <c r="AJ15" s="476">
        <f>SUM(AF15*AB15)</f>
        <v/>
      </c>
      <c r="AK15" s="463" t="n"/>
      <c r="AL15" s="463" t="n"/>
      <c r="AM15" s="463" t="n"/>
      <c r="AN15" s="464" t="n"/>
      <c r="AO15" s="476" t="n"/>
      <c r="AP15" s="463" t="n"/>
      <c r="AQ15" s="463" t="n"/>
      <c r="AR15" s="464" t="n"/>
      <c r="AS15" s="476">
        <f>SUM(AO15*AB15)</f>
        <v/>
      </c>
      <c r="AT15" s="463" t="n"/>
      <c r="AU15" s="463" t="n"/>
      <c r="AV15" s="463" t="n"/>
      <c r="AW15" s="464" t="n"/>
      <c r="AX15" s="476" t="n"/>
      <c r="AY15" s="463" t="n"/>
      <c r="AZ15" s="463" t="n"/>
      <c r="BA15" s="463" t="n"/>
      <c r="BB15" s="464" t="n"/>
    </row>
    <row r="16" ht="22.5" customHeight="1" s="337">
      <c r="A16" s="477" t="n"/>
      <c r="B16" s="427" t="n"/>
      <c r="C16" s="427" t="n"/>
      <c r="D16" s="428" t="n"/>
      <c r="E16" s="62" t="n"/>
      <c r="F16" s="427" t="n"/>
      <c r="G16" s="427" t="n"/>
      <c r="H16" s="427" t="n"/>
      <c r="I16" s="427" t="n"/>
      <c r="J16" s="427" t="n"/>
      <c r="K16" s="427" t="n"/>
      <c r="L16" s="428" t="n"/>
      <c r="M16" s="62" t="n"/>
      <c r="N16" s="427" t="n"/>
      <c r="O16" s="427" t="n"/>
      <c r="P16" s="427" t="n"/>
      <c r="Q16" s="427" t="n"/>
      <c r="R16" s="427" t="n"/>
      <c r="S16" s="427" t="n"/>
      <c r="T16" s="428" t="n"/>
      <c r="U16" s="62" t="n"/>
      <c r="V16" s="427" t="n"/>
      <c r="W16" s="428" t="n"/>
      <c r="X16" s="62" t="n"/>
      <c r="Y16" s="427" t="n"/>
      <c r="Z16" s="427" t="n"/>
      <c r="AA16" s="428" t="n"/>
      <c r="AB16" s="56" t="n"/>
      <c r="AC16" s="463" t="n"/>
      <c r="AD16" s="463" t="n"/>
      <c r="AE16" s="55" t="n"/>
      <c r="AF16" s="476" t="n"/>
      <c r="AG16" s="463" t="n"/>
      <c r="AH16" s="463" t="n"/>
      <c r="AI16" s="464" t="n"/>
      <c r="AJ16" s="476">
        <f>SUM(AF16*AB16)</f>
        <v/>
      </c>
      <c r="AK16" s="463" t="n"/>
      <c r="AL16" s="463" t="n"/>
      <c r="AM16" s="463" t="n"/>
      <c r="AN16" s="464" t="n"/>
      <c r="AO16" s="476" t="n"/>
      <c r="AP16" s="463" t="n"/>
      <c r="AQ16" s="463" t="n"/>
      <c r="AR16" s="464" t="n"/>
      <c r="AS16" s="476">
        <f>SUM(AO16*AB16)</f>
        <v/>
      </c>
      <c r="AT16" s="463" t="n"/>
      <c r="AU16" s="463" t="n"/>
      <c r="AV16" s="463" t="n"/>
      <c r="AW16" s="464" t="n"/>
      <c r="AX16" s="476" t="n"/>
      <c r="AY16" s="463" t="n"/>
      <c r="AZ16" s="463" t="n"/>
      <c r="BA16" s="463" t="n"/>
      <c r="BB16" s="464" t="n"/>
    </row>
    <row r="17" ht="22.5" customHeight="1" s="337">
      <c r="A17" s="477" t="n"/>
      <c r="B17" s="427" t="n"/>
      <c r="C17" s="427" t="n"/>
      <c r="D17" s="428" t="n"/>
      <c r="E17" s="62" t="n"/>
      <c r="F17" s="427" t="n"/>
      <c r="G17" s="427" t="n"/>
      <c r="H17" s="427" t="n"/>
      <c r="I17" s="427" t="n"/>
      <c r="J17" s="427" t="n"/>
      <c r="K17" s="427" t="n"/>
      <c r="L17" s="428" t="n"/>
      <c r="M17" s="62" t="n"/>
      <c r="N17" s="427" t="n"/>
      <c r="O17" s="427" t="n"/>
      <c r="P17" s="427" t="n"/>
      <c r="Q17" s="427" t="n"/>
      <c r="R17" s="427" t="n"/>
      <c r="S17" s="427" t="n"/>
      <c r="T17" s="428" t="n"/>
      <c r="U17" s="62" t="n"/>
      <c r="V17" s="427" t="n"/>
      <c r="W17" s="428" t="n"/>
      <c r="X17" s="62" t="n"/>
      <c r="Y17" s="427" t="n"/>
      <c r="Z17" s="427" t="n"/>
      <c r="AA17" s="428" t="n"/>
      <c r="AB17" s="56" t="n"/>
      <c r="AC17" s="463" t="n"/>
      <c r="AD17" s="463" t="n"/>
      <c r="AE17" s="55" t="n"/>
      <c r="AF17" s="476" t="n"/>
      <c r="AG17" s="463" t="n"/>
      <c r="AH17" s="463" t="n"/>
      <c r="AI17" s="464" t="n"/>
      <c r="AJ17" s="476">
        <f>SUM(AF17*AB17)</f>
        <v/>
      </c>
      <c r="AK17" s="463" t="n"/>
      <c r="AL17" s="463" t="n"/>
      <c r="AM17" s="463" t="n"/>
      <c r="AN17" s="464" t="n"/>
      <c r="AO17" s="476" t="n"/>
      <c r="AP17" s="463" t="n"/>
      <c r="AQ17" s="463" t="n"/>
      <c r="AR17" s="464" t="n"/>
      <c r="AS17" s="476">
        <f>SUM(AO17*AB17)</f>
        <v/>
      </c>
      <c r="AT17" s="463" t="n"/>
      <c r="AU17" s="463" t="n"/>
      <c r="AV17" s="463" t="n"/>
      <c r="AW17" s="464" t="n"/>
      <c r="AX17" s="476" t="n"/>
      <c r="AY17" s="463" t="n"/>
      <c r="AZ17" s="463" t="n"/>
      <c r="BA17" s="463" t="n"/>
      <c r="BB17" s="464" t="n"/>
    </row>
    <row r="18" ht="22.5" customHeight="1" s="337">
      <c r="A18" s="477" t="n"/>
      <c r="B18" s="427" t="n"/>
      <c r="C18" s="427" t="n"/>
      <c r="D18" s="428" t="n"/>
      <c r="E18" s="62" t="n"/>
      <c r="F18" s="427" t="n"/>
      <c r="G18" s="427" t="n"/>
      <c r="H18" s="427" t="n"/>
      <c r="I18" s="427" t="n"/>
      <c r="J18" s="427" t="n"/>
      <c r="K18" s="427" t="n"/>
      <c r="L18" s="428" t="n"/>
      <c r="M18" s="62" t="n"/>
      <c r="N18" s="427" t="n"/>
      <c r="O18" s="427" t="n"/>
      <c r="P18" s="427" t="n"/>
      <c r="Q18" s="427" t="n"/>
      <c r="R18" s="427" t="n"/>
      <c r="S18" s="427" t="n"/>
      <c r="T18" s="428" t="n"/>
      <c r="U18" s="62" t="n"/>
      <c r="V18" s="427" t="n"/>
      <c r="W18" s="428" t="n"/>
      <c r="X18" s="62" t="n"/>
      <c r="Y18" s="427" t="n"/>
      <c r="Z18" s="427" t="n"/>
      <c r="AA18" s="428" t="n"/>
      <c r="AB18" s="56" t="n"/>
      <c r="AC18" s="463" t="n"/>
      <c r="AD18" s="463" t="n"/>
      <c r="AE18" s="55" t="n"/>
      <c r="AF18" s="476" t="n"/>
      <c r="AG18" s="463" t="n"/>
      <c r="AH18" s="463" t="n"/>
      <c r="AI18" s="464" t="n"/>
      <c r="AJ18" s="476">
        <f>SUM(AF18*AB18)</f>
        <v/>
      </c>
      <c r="AK18" s="463" t="n"/>
      <c r="AL18" s="463" t="n"/>
      <c r="AM18" s="463" t="n"/>
      <c r="AN18" s="464" t="n"/>
      <c r="AO18" s="476" t="n"/>
      <c r="AP18" s="463" t="n"/>
      <c r="AQ18" s="463" t="n"/>
      <c r="AR18" s="464" t="n"/>
      <c r="AS18" s="476">
        <f>SUM(AO18*AB18)</f>
        <v/>
      </c>
      <c r="AT18" s="463" t="n"/>
      <c r="AU18" s="463" t="n"/>
      <c r="AV18" s="463" t="n"/>
      <c r="AW18" s="464" t="n"/>
      <c r="AX18" s="476" t="n"/>
      <c r="AY18" s="463" t="n"/>
      <c r="AZ18" s="463" t="n"/>
      <c r="BA18" s="463" t="n"/>
      <c r="BB18" s="464" t="n"/>
    </row>
    <row r="19" ht="22.5" customHeight="1" s="337">
      <c r="A19" s="477" t="n"/>
      <c r="B19" s="427" t="n"/>
      <c r="C19" s="427" t="n"/>
      <c r="D19" s="428" t="n"/>
      <c r="E19" s="62" t="n"/>
      <c r="F19" s="427" t="n"/>
      <c r="G19" s="427" t="n"/>
      <c r="H19" s="427" t="n"/>
      <c r="I19" s="427" t="n"/>
      <c r="J19" s="427" t="n"/>
      <c r="K19" s="427" t="n"/>
      <c r="L19" s="428" t="n"/>
      <c r="M19" s="69" t="n"/>
      <c r="N19" s="427" t="n"/>
      <c r="O19" s="427" t="n"/>
      <c r="P19" s="427" t="n"/>
      <c r="Q19" s="427" t="n"/>
      <c r="R19" s="427" t="n"/>
      <c r="S19" s="427" t="n"/>
      <c r="T19" s="428" t="n"/>
      <c r="U19" s="62" t="n"/>
      <c r="V19" s="427" t="n"/>
      <c r="W19" s="428" t="n"/>
      <c r="X19" s="62" t="n"/>
      <c r="Y19" s="427" t="n"/>
      <c r="Z19" s="427" t="n"/>
      <c r="AA19" s="428" t="n"/>
      <c r="AB19" s="56" t="n"/>
      <c r="AC19" s="463" t="n"/>
      <c r="AD19" s="463" t="n"/>
      <c r="AE19" s="55" t="n"/>
      <c r="AF19" s="476" t="n"/>
      <c r="AG19" s="463" t="n"/>
      <c r="AH19" s="463" t="n"/>
      <c r="AI19" s="464" t="n"/>
      <c r="AJ19" s="476">
        <f>SUM(AF19*AB19)</f>
        <v/>
      </c>
      <c r="AK19" s="463" t="n"/>
      <c r="AL19" s="463" t="n"/>
      <c r="AM19" s="463" t="n"/>
      <c r="AN19" s="464" t="n"/>
      <c r="AO19" s="476" t="n"/>
      <c r="AP19" s="463" t="n"/>
      <c r="AQ19" s="463" t="n"/>
      <c r="AR19" s="464" t="n"/>
      <c r="AS19" s="476">
        <f>SUM(AO19*AB19)</f>
        <v/>
      </c>
      <c r="AT19" s="463" t="n"/>
      <c r="AU19" s="463" t="n"/>
      <c r="AV19" s="463" t="n"/>
      <c r="AW19" s="464" t="n"/>
      <c r="AX19" s="476" t="n"/>
      <c r="AY19" s="463" t="n"/>
      <c r="AZ19" s="463" t="n"/>
      <c r="BA19" s="463" t="n"/>
      <c r="BB19" s="464" t="n"/>
    </row>
    <row r="20" ht="22.5" customHeight="1" s="337">
      <c r="A20" s="477" t="n"/>
      <c r="B20" s="427" t="n"/>
      <c r="C20" s="427" t="n"/>
      <c r="D20" s="428" t="n"/>
      <c r="E20" s="62" t="n"/>
      <c r="F20" s="427" t="n"/>
      <c r="G20" s="427" t="n"/>
      <c r="H20" s="427" t="n"/>
      <c r="I20" s="427" t="n"/>
      <c r="J20" s="427" t="n"/>
      <c r="K20" s="427" t="n"/>
      <c r="L20" s="428" t="n"/>
      <c r="M20" s="62" t="n"/>
      <c r="N20" s="427" t="n"/>
      <c r="O20" s="427" t="n"/>
      <c r="P20" s="427" t="n"/>
      <c r="Q20" s="427" t="n"/>
      <c r="R20" s="427" t="n"/>
      <c r="S20" s="427" t="n"/>
      <c r="T20" s="428" t="n"/>
      <c r="U20" s="62" t="n"/>
      <c r="V20" s="427" t="n"/>
      <c r="W20" s="428" t="n"/>
      <c r="X20" s="62" t="n"/>
      <c r="Y20" s="427" t="n"/>
      <c r="Z20" s="427" t="n"/>
      <c r="AA20" s="428" t="n"/>
      <c r="AB20" s="56" t="n"/>
      <c r="AC20" s="463" t="n"/>
      <c r="AD20" s="463" t="n"/>
      <c r="AE20" s="55" t="n"/>
      <c r="AF20" s="476" t="n"/>
      <c r="AG20" s="463" t="n"/>
      <c r="AH20" s="463" t="n"/>
      <c r="AI20" s="464" t="n"/>
      <c r="AJ20" s="476">
        <f>SUM(AF20*AB20)</f>
        <v/>
      </c>
      <c r="AK20" s="463" t="n"/>
      <c r="AL20" s="463" t="n"/>
      <c r="AM20" s="463" t="n"/>
      <c r="AN20" s="464" t="n"/>
      <c r="AO20" s="476" t="n"/>
      <c r="AP20" s="463" t="n"/>
      <c r="AQ20" s="463" t="n"/>
      <c r="AR20" s="464" t="n"/>
      <c r="AS20" s="476">
        <f>SUM(AO20*AB20)</f>
        <v/>
      </c>
      <c r="AT20" s="463" t="n"/>
      <c r="AU20" s="463" t="n"/>
      <c r="AV20" s="463" t="n"/>
      <c r="AW20" s="464" t="n"/>
      <c r="AX20" s="476" t="n"/>
      <c r="AY20" s="463" t="n"/>
      <c r="AZ20" s="463" t="n"/>
      <c r="BA20" s="463" t="n"/>
      <c r="BB20" s="464" t="n"/>
    </row>
    <row r="21" ht="22.5" customHeight="1" s="337">
      <c r="A21" s="477" t="n"/>
      <c r="B21" s="427" t="n"/>
      <c r="C21" s="427" t="n"/>
      <c r="D21" s="428" t="n"/>
      <c r="E21" s="62" t="n"/>
      <c r="F21" s="427" t="n"/>
      <c r="G21" s="427" t="n"/>
      <c r="H21" s="427" t="n"/>
      <c r="I21" s="427" t="n"/>
      <c r="J21" s="427" t="n"/>
      <c r="K21" s="427" t="n"/>
      <c r="L21" s="428" t="n"/>
      <c r="M21" s="62" t="n"/>
      <c r="N21" s="427" t="n"/>
      <c r="O21" s="427" t="n"/>
      <c r="P21" s="427" t="n"/>
      <c r="Q21" s="427" t="n"/>
      <c r="R21" s="427" t="n"/>
      <c r="S21" s="427" t="n"/>
      <c r="T21" s="428" t="n"/>
      <c r="U21" s="62" t="n"/>
      <c r="V21" s="427" t="n"/>
      <c r="W21" s="428" t="n"/>
      <c r="X21" s="62" t="n"/>
      <c r="Y21" s="427" t="n"/>
      <c r="Z21" s="427" t="n"/>
      <c r="AA21" s="428" t="n"/>
      <c r="AB21" s="56" t="n"/>
      <c r="AC21" s="463" t="n"/>
      <c r="AD21" s="463" t="n"/>
      <c r="AE21" s="55" t="n"/>
      <c r="AF21" s="476" t="n"/>
      <c r="AG21" s="463" t="n"/>
      <c r="AH21" s="463" t="n"/>
      <c r="AI21" s="464" t="n"/>
      <c r="AJ21" s="476">
        <f>SUM(AF21*AB21)</f>
        <v/>
      </c>
      <c r="AK21" s="463" t="n"/>
      <c r="AL21" s="463" t="n"/>
      <c r="AM21" s="463" t="n"/>
      <c r="AN21" s="464" t="n"/>
      <c r="AO21" s="476" t="n"/>
      <c r="AP21" s="463" t="n"/>
      <c r="AQ21" s="463" t="n"/>
      <c r="AR21" s="464" t="n"/>
      <c r="AS21" s="476">
        <f>SUM(AO21*AB21)</f>
        <v/>
      </c>
      <c r="AT21" s="463" t="n"/>
      <c r="AU21" s="463" t="n"/>
      <c r="AV21" s="463" t="n"/>
      <c r="AW21" s="464" t="n"/>
      <c r="AX21" s="476" t="n"/>
      <c r="AY21" s="463" t="n"/>
      <c r="AZ21" s="463" t="n"/>
      <c r="BA21" s="463" t="n"/>
      <c r="BB21" s="464" t="n"/>
    </row>
    <row r="22" ht="22.5" customHeight="1" s="337">
      <c r="A22" s="477" t="n"/>
      <c r="B22" s="427" t="n"/>
      <c r="C22" s="427" t="n"/>
      <c r="D22" s="428" t="n"/>
      <c r="E22" s="62" t="n"/>
      <c r="F22" s="427" t="n"/>
      <c r="G22" s="427" t="n"/>
      <c r="H22" s="427" t="n"/>
      <c r="I22" s="427" t="n"/>
      <c r="J22" s="427" t="n"/>
      <c r="K22" s="427" t="n"/>
      <c r="L22" s="428" t="n"/>
      <c r="M22" s="62" t="n"/>
      <c r="N22" s="427" t="n"/>
      <c r="O22" s="427" t="n"/>
      <c r="P22" s="427" t="n"/>
      <c r="Q22" s="427" t="n"/>
      <c r="R22" s="427" t="n"/>
      <c r="S22" s="427" t="n"/>
      <c r="T22" s="428" t="n"/>
      <c r="U22" s="62" t="n"/>
      <c r="V22" s="427" t="n"/>
      <c r="W22" s="428" t="n"/>
      <c r="X22" s="62" t="n"/>
      <c r="Y22" s="427" t="n"/>
      <c r="Z22" s="427" t="n"/>
      <c r="AA22" s="428" t="n"/>
      <c r="AB22" s="56" t="n"/>
      <c r="AC22" s="463" t="n"/>
      <c r="AD22" s="463" t="n"/>
      <c r="AE22" s="55" t="n"/>
      <c r="AF22" s="476" t="n"/>
      <c r="AG22" s="463" t="n"/>
      <c r="AH22" s="463" t="n"/>
      <c r="AI22" s="464" t="n"/>
      <c r="AJ22" s="476">
        <f>SUM(AF22*AB22)</f>
        <v/>
      </c>
      <c r="AK22" s="463" t="n"/>
      <c r="AL22" s="463" t="n"/>
      <c r="AM22" s="463" t="n"/>
      <c r="AN22" s="464" t="n"/>
      <c r="AO22" s="476" t="n"/>
      <c r="AP22" s="463" t="n"/>
      <c r="AQ22" s="463" t="n"/>
      <c r="AR22" s="464" t="n"/>
      <c r="AS22" s="476">
        <f>SUM(AO22*AB22)</f>
        <v/>
      </c>
      <c r="AT22" s="463" t="n"/>
      <c r="AU22" s="463" t="n"/>
      <c r="AV22" s="463" t="n"/>
      <c r="AW22" s="464" t="n"/>
      <c r="AX22" s="476" t="n"/>
      <c r="AY22" s="463" t="n"/>
      <c r="AZ22" s="463" t="n"/>
      <c r="BA22" s="463" t="n"/>
      <c r="BB22" s="464" t="n"/>
    </row>
    <row r="23" ht="22.5" customHeight="1" s="337">
      <c r="A23" s="477" t="n"/>
      <c r="B23" s="427" t="n"/>
      <c r="C23" s="427" t="n"/>
      <c r="D23" s="428" t="n"/>
      <c r="E23" s="62" t="n"/>
      <c r="F23" s="427" t="n"/>
      <c r="G23" s="427" t="n"/>
      <c r="H23" s="427" t="n"/>
      <c r="I23" s="427" t="n"/>
      <c r="J23" s="427" t="n"/>
      <c r="K23" s="427" t="n"/>
      <c r="L23" s="428" t="n"/>
      <c r="M23" s="62" t="n"/>
      <c r="N23" s="427" t="n"/>
      <c r="O23" s="427" t="n"/>
      <c r="P23" s="427" t="n"/>
      <c r="Q23" s="427" t="n"/>
      <c r="R23" s="427" t="n"/>
      <c r="S23" s="427" t="n"/>
      <c r="T23" s="428" t="n"/>
      <c r="U23" s="62" t="n"/>
      <c r="V23" s="427" t="n"/>
      <c r="W23" s="428" t="n"/>
      <c r="X23" s="62" t="n"/>
      <c r="Y23" s="427" t="n"/>
      <c r="Z23" s="427" t="n"/>
      <c r="AA23" s="428" t="n"/>
      <c r="AB23" s="56" t="n"/>
      <c r="AC23" s="463" t="n"/>
      <c r="AD23" s="463" t="n"/>
      <c r="AE23" s="55" t="n"/>
      <c r="AF23" s="476" t="n"/>
      <c r="AG23" s="463" t="n"/>
      <c r="AH23" s="463" t="n"/>
      <c r="AI23" s="464" t="n"/>
      <c r="AJ23" s="476">
        <f>SUM(AF23*AB23)</f>
        <v/>
      </c>
      <c r="AK23" s="463" t="n"/>
      <c r="AL23" s="463" t="n"/>
      <c r="AM23" s="463" t="n"/>
      <c r="AN23" s="464" t="n"/>
      <c r="AO23" s="476" t="n"/>
      <c r="AP23" s="463" t="n"/>
      <c r="AQ23" s="463" t="n"/>
      <c r="AR23" s="464" t="n"/>
      <c r="AS23" s="476">
        <f>SUM(AO23*AB23)</f>
        <v/>
      </c>
      <c r="AT23" s="463" t="n"/>
      <c r="AU23" s="463" t="n"/>
      <c r="AV23" s="463" t="n"/>
      <c r="AW23" s="464" t="n"/>
      <c r="AX23" s="476" t="n"/>
      <c r="AY23" s="463" t="n"/>
      <c r="AZ23" s="463" t="n"/>
      <c r="BA23" s="463" t="n"/>
      <c r="BB23" s="464" t="n"/>
    </row>
    <row r="24" ht="22.5" customHeight="1" s="337">
      <c r="A24" s="477" t="n"/>
      <c r="B24" s="427" t="n"/>
      <c r="C24" s="427" t="n"/>
      <c r="D24" s="428" t="n"/>
      <c r="E24" s="62" t="n"/>
      <c r="F24" s="427" t="n"/>
      <c r="G24" s="427" t="n"/>
      <c r="H24" s="427" t="n"/>
      <c r="I24" s="427" t="n"/>
      <c r="J24" s="427" t="n"/>
      <c r="K24" s="427" t="n"/>
      <c r="L24" s="428" t="n"/>
      <c r="M24" s="62" t="n"/>
      <c r="N24" s="427" t="n"/>
      <c r="O24" s="427" t="n"/>
      <c r="P24" s="427" t="n"/>
      <c r="Q24" s="427" t="n"/>
      <c r="R24" s="427" t="n"/>
      <c r="S24" s="427" t="n"/>
      <c r="T24" s="428" t="n"/>
      <c r="U24" s="62" t="n"/>
      <c r="V24" s="427" t="n"/>
      <c r="W24" s="428" t="n"/>
      <c r="X24" s="62" t="n"/>
      <c r="Y24" s="427" t="n"/>
      <c r="Z24" s="427" t="n"/>
      <c r="AA24" s="428" t="n"/>
      <c r="AB24" s="56" t="n"/>
      <c r="AC24" s="463" t="n"/>
      <c r="AD24" s="463" t="n"/>
      <c r="AE24" s="55" t="n"/>
      <c r="AF24" s="476" t="n"/>
      <c r="AG24" s="463" t="n"/>
      <c r="AH24" s="463" t="n"/>
      <c r="AI24" s="464" t="n"/>
      <c r="AJ24" s="476">
        <f>SUM(AF24*AB24)</f>
        <v/>
      </c>
      <c r="AK24" s="463" t="n"/>
      <c r="AL24" s="463" t="n"/>
      <c r="AM24" s="463" t="n"/>
      <c r="AN24" s="464" t="n"/>
      <c r="AO24" s="476" t="n"/>
      <c r="AP24" s="463" t="n"/>
      <c r="AQ24" s="463" t="n"/>
      <c r="AR24" s="464" t="n"/>
      <c r="AS24" s="476">
        <f>SUM(AO24*AB24)</f>
        <v/>
      </c>
      <c r="AT24" s="463" t="n"/>
      <c r="AU24" s="463" t="n"/>
      <c r="AV24" s="463" t="n"/>
      <c r="AW24" s="464" t="n"/>
      <c r="AX24" s="476" t="n"/>
      <c r="AY24" s="463" t="n"/>
      <c r="AZ24" s="463" t="n"/>
      <c r="BA24" s="463" t="n"/>
      <c r="BB24" s="464" t="n"/>
    </row>
    <row r="25" ht="22.5" customHeight="1" s="337">
      <c r="A25" s="477" t="n"/>
      <c r="B25" s="427" t="n"/>
      <c r="C25" s="427" t="n"/>
      <c r="D25" s="428" t="n"/>
      <c r="E25" s="62" t="n"/>
      <c r="F25" s="427" t="n"/>
      <c r="G25" s="427" t="n"/>
      <c r="H25" s="427" t="n"/>
      <c r="I25" s="427" t="n"/>
      <c r="J25" s="427" t="n"/>
      <c r="K25" s="427" t="n"/>
      <c r="L25" s="428" t="n"/>
      <c r="M25" s="62" t="n"/>
      <c r="N25" s="427" t="n"/>
      <c r="O25" s="427" t="n"/>
      <c r="P25" s="427" t="n"/>
      <c r="Q25" s="427" t="n"/>
      <c r="R25" s="427" t="n"/>
      <c r="S25" s="427" t="n"/>
      <c r="T25" s="428" t="n"/>
      <c r="U25" s="62" t="n"/>
      <c r="V25" s="427" t="n"/>
      <c r="W25" s="428" t="n"/>
      <c r="X25" s="62" t="n"/>
      <c r="Y25" s="427" t="n"/>
      <c r="Z25" s="427" t="n"/>
      <c r="AA25" s="428" t="n"/>
      <c r="AB25" s="56" t="n"/>
      <c r="AC25" s="463" t="n"/>
      <c r="AD25" s="463" t="n"/>
      <c r="AE25" s="55" t="n"/>
      <c r="AF25" s="476" t="n"/>
      <c r="AG25" s="463" t="n"/>
      <c r="AH25" s="463" t="n"/>
      <c r="AI25" s="464" t="n"/>
      <c r="AJ25" s="476">
        <f>SUM(AF25*AB25)</f>
        <v/>
      </c>
      <c r="AK25" s="463" t="n"/>
      <c r="AL25" s="463" t="n"/>
      <c r="AM25" s="463" t="n"/>
      <c r="AN25" s="464" t="n"/>
      <c r="AO25" s="476" t="n"/>
      <c r="AP25" s="463" t="n"/>
      <c r="AQ25" s="463" t="n"/>
      <c r="AR25" s="464" t="n"/>
      <c r="AS25" s="476">
        <f>SUM(AO25*AB25)</f>
        <v/>
      </c>
      <c r="AT25" s="463" t="n"/>
      <c r="AU25" s="463" t="n"/>
      <c r="AV25" s="463" t="n"/>
      <c r="AW25" s="464" t="n"/>
      <c r="AX25" s="476" t="n"/>
      <c r="AY25" s="463" t="n"/>
      <c r="AZ25" s="463" t="n"/>
      <c r="BA25" s="463" t="n"/>
      <c r="BB25" s="464" t="n"/>
    </row>
    <row r="26" ht="22.5" customHeight="1" s="337">
      <c r="U26" s="62" t="inlineStr">
        <is>
          <t>持 出 者</t>
        </is>
      </c>
      <c r="V26" s="427" t="n"/>
      <c r="W26" s="427" t="n"/>
      <c r="X26" s="427" t="n"/>
      <c r="Y26" s="428" t="n"/>
      <c r="Z26" s="62" t="n"/>
      <c r="AA26" s="427" t="n"/>
      <c r="AB26" s="427" t="n"/>
      <c r="AC26" s="427" t="n"/>
      <c r="AD26" s="427" t="n"/>
      <c r="AE26" s="428" t="n"/>
      <c r="AF26" s="62" t="inlineStr">
        <is>
          <t>仕 入 合 計</t>
        </is>
      </c>
      <c r="AG26" s="427" t="n"/>
      <c r="AH26" s="427" t="n"/>
      <c r="AI26" s="428" t="n"/>
      <c r="AJ26" s="478" t="n"/>
      <c r="AK26" s="427" t="n"/>
      <c r="AL26" s="427" t="n"/>
      <c r="AM26" s="427" t="n"/>
      <c r="AN26" s="428" t="n"/>
      <c r="AO26" s="62" t="inlineStr">
        <is>
          <t>売 値 合 計</t>
        </is>
      </c>
      <c r="AP26" s="427" t="n"/>
      <c r="AQ26" s="427" t="n"/>
      <c r="AR26" s="428" t="n"/>
      <c r="AS26" s="478" t="n"/>
      <c r="AT26" s="427" t="n"/>
      <c r="AU26" s="427" t="n"/>
      <c r="AV26" s="427" t="n"/>
      <c r="AW26" s="428" t="n"/>
      <c r="AX26" s="478" t="n"/>
      <c r="AY26" s="427" t="n"/>
      <c r="AZ26" s="427" t="n"/>
      <c r="BA26" s="427" t="n"/>
      <c r="BB26" s="428" t="n"/>
    </row>
    <row r="27"/>
    <row r="28">
      <c r="D28" s="1" t="inlineStr">
        <is>
          <t>✓</t>
        </is>
      </c>
      <c r="H28" s="1" t="inlineStr">
        <is>
          <t>ﾓﾉﾀﾛｳ</t>
        </is>
      </c>
    </row>
    <row r="29">
      <c r="D29" s="1" t="inlineStr">
        <is>
          <t>在庫外</t>
        </is>
      </c>
      <c r="H29" s="1" t="inlineStr">
        <is>
          <t>ｱﾏｿﾞﾝ</t>
        </is>
      </c>
    </row>
    <row r="30">
      <c r="H30" s="1" t="inlineStr">
        <is>
          <t>ﾊｰﾄﾞｽﾄｯｸ</t>
        </is>
      </c>
    </row>
    <row r="31">
      <c r="H31" s="1" t="inlineStr">
        <is>
          <t>JRC</t>
        </is>
      </c>
    </row>
    <row r="32">
      <c r="H32" s="51" t="inlineStr">
        <is>
          <t>神田ｴﾚｸﾄﾛﾆｸｽ</t>
        </is>
      </c>
    </row>
    <row r="33">
      <c r="H33" s="51" t="inlineStr">
        <is>
          <t>大野電子</t>
        </is>
      </c>
    </row>
    <row r="34">
      <c r="H34" s="51" t="inlineStr">
        <is>
          <t>緑星社</t>
        </is>
      </c>
    </row>
    <row r="35">
      <c r="H35" s="51" t="inlineStr">
        <is>
          <t>三菱電機特機ｼｽﾃﾑ㈱</t>
        </is>
      </c>
    </row>
    <row r="36">
      <c r="H36" s="1" t="inlineStr">
        <is>
          <t>ｴﾝﾁｮｳ</t>
        </is>
      </c>
    </row>
    <row r="37">
      <c r="H37" s="1" t="inlineStr">
        <is>
          <t>RS</t>
        </is>
      </c>
    </row>
    <row r="38">
      <c r="H38" s="1" t="inlineStr">
        <is>
          <t>ﾏﾙﾂ</t>
        </is>
      </c>
    </row>
    <row r="39">
      <c r="H39" s="1" t="inlineStr">
        <is>
          <t>ｴﾃﾞｨｵﾝ</t>
        </is>
      </c>
    </row>
    <row r="40">
      <c r="H40" s="1" t="inlineStr">
        <is>
          <t>K'sﾃﾞﾝｷ</t>
        </is>
      </c>
    </row>
    <row r="41">
      <c r="H41" s="1" t="inlineStr">
        <is>
          <t>ｶｰﾏ</t>
        </is>
      </c>
    </row>
  </sheetData>
  <mergeCells count="272">
    <mergeCell ref="AB25:AD25"/>
    <mergeCell ref="E18:L18"/>
    <mergeCell ref="A5:D5"/>
    <mergeCell ref="AF23:AI23"/>
    <mergeCell ref="AO4:AR4"/>
    <mergeCell ref="A20:D20"/>
    <mergeCell ref="AB9:AD9"/>
    <mergeCell ref="AS20:AW20"/>
    <mergeCell ref="AX10:BB10"/>
    <mergeCell ref="X10:AA10"/>
    <mergeCell ref="AF7:AI7"/>
    <mergeCell ref="U13:W13"/>
    <mergeCell ref="X25:AA25"/>
    <mergeCell ref="U7:W7"/>
    <mergeCell ref="M9:T9"/>
    <mergeCell ref="AO6:AR6"/>
    <mergeCell ref="A13:D13"/>
    <mergeCell ref="AS4:AW4"/>
    <mergeCell ref="AB11:AD11"/>
    <mergeCell ref="AS22:AW22"/>
    <mergeCell ref="AJ8:AN8"/>
    <mergeCell ref="AF22:AI22"/>
    <mergeCell ref="X9:AA9"/>
    <mergeCell ref="M20:T20"/>
    <mergeCell ref="AF18:AI18"/>
    <mergeCell ref="M2:T2"/>
    <mergeCell ref="M11:T11"/>
    <mergeCell ref="U18:W18"/>
    <mergeCell ref="A15:D15"/>
    <mergeCell ref="AS6:AW6"/>
    <mergeCell ref="AS12:AW12"/>
    <mergeCell ref="X2:AA2"/>
    <mergeCell ref="A24:D24"/>
    <mergeCell ref="X11:AA11"/>
    <mergeCell ref="AJ10:AN10"/>
    <mergeCell ref="U8:W8"/>
    <mergeCell ref="M22:T22"/>
    <mergeCell ref="AJ18:AN18"/>
    <mergeCell ref="AO23:AR23"/>
    <mergeCell ref="AX17:BB17"/>
    <mergeCell ref="AO13:AR13"/>
    <mergeCell ref="M6:T6"/>
    <mergeCell ref="E6:L6"/>
    <mergeCell ref="M15:T15"/>
    <mergeCell ref="U10:W10"/>
    <mergeCell ref="E11:L11"/>
    <mergeCell ref="A7:D7"/>
    <mergeCell ref="AS7:AW7"/>
    <mergeCell ref="A16:D16"/>
    <mergeCell ref="AB6:AD6"/>
    <mergeCell ref="AO15:AR15"/>
    <mergeCell ref="AB15:AD15"/>
    <mergeCell ref="AX3:BB3"/>
    <mergeCell ref="AO24:AR24"/>
    <mergeCell ref="AB24:AD24"/>
    <mergeCell ref="AO18:AR18"/>
    <mergeCell ref="AJ20:AN20"/>
    <mergeCell ref="M14:T14"/>
    <mergeCell ref="X6:AA6"/>
    <mergeCell ref="M23:T23"/>
    <mergeCell ref="AF15:AI15"/>
    <mergeCell ref="AS24:AW24"/>
    <mergeCell ref="AX20:BB20"/>
    <mergeCell ref="X15:AA15"/>
    <mergeCell ref="AX14:BB14"/>
    <mergeCell ref="AS18:AW18"/>
    <mergeCell ref="AX5:BB5"/>
    <mergeCell ref="U17:W17"/>
    <mergeCell ref="A2:D2"/>
    <mergeCell ref="U11:W11"/>
    <mergeCell ref="M4:T4"/>
    <mergeCell ref="AJ22:AN22"/>
    <mergeCell ref="AO10:AR10"/>
    <mergeCell ref="A17:D17"/>
    <mergeCell ref="AX4:BB4"/>
    <mergeCell ref="A22:D22"/>
    <mergeCell ref="AS26:AW26"/>
    <mergeCell ref="AJ12:AN12"/>
    <mergeCell ref="AF26:AI26"/>
    <mergeCell ref="AJ21:AN21"/>
    <mergeCell ref="E24:L24"/>
    <mergeCell ref="AO9:AR9"/>
    <mergeCell ref="AS10:AW10"/>
    <mergeCell ref="A19:D19"/>
    <mergeCell ref="AX6:BB6"/>
    <mergeCell ref="U3:W3"/>
    <mergeCell ref="E8:L8"/>
    <mergeCell ref="AJ14:AN14"/>
    <mergeCell ref="U12:W12"/>
    <mergeCell ref="E17:L17"/>
    <mergeCell ref="AJ23:AN23"/>
    <mergeCell ref="U21:W21"/>
    <mergeCell ref="A9:D9"/>
    <mergeCell ref="AS9:AW9"/>
    <mergeCell ref="AJ7:AN7"/>
    <mergeCell ref="AB17:AD17"/>
    <mergeCell ref="E10:L10"/>
    <mergeCell ref="E19:L19"/>
    <mergeCell ref="A11:D11"/>
    <mergeCell ref="AF24:AI24"/>
    <mergeCell ref="E9:L9"/>
    <mergeCell ref="X8:AA8"/>
    <mergeCell ref="M25:T25"/>
    <mergeCell ref="AB19:AD19"/>
    <mergeCell ref="X17:AA17"/>
    <mergeCell ref="AX16:BB16"/>
    <mergeCell ref="AX25:BB25"/>
    <mergeCell ref="AB3:AD3"/>
    <mergeCell ref="E2:L2"/>
    <mergeCell ref="AO12:AR12"/>
    <mergeCell ref="AS23:AW23"/>
    <mergeCell ref="X19:AA19"/>
    <mergeCell ref="AX18:BB18"/>
    <mergeCell ref="AF16:AI16"/>
    <mergeCell ref="AF25:AI25"/>
    <mergeCell ref="M3:T3"/>
    <mergeCell ref="M17:T17"/>
    <mergeCell ref="AJ26:AN26"/>
    <mergeCell ref="AS13:AW13"/>
    <mergeCell ref="AB20:AD20"/>
    <mergeCell ref="AO14:AR14"/>
    <mergeCell ref="AX8:BB8"/>
    <mergeCell ref="AB5:AD5"/>
    <mergeCell ref="X3:AA3"/>
    <mergeCell ref="AB14:AD14"/>
    <mergeCell ref="AF9:AI9"/>
    <mergeCell ref="AJ16:AN16"/>
    <mergeCell ref="AJ25:AN25"/>
    <mergeCell ref="E22:L22"/>
    <mergeCell ref="M19:T19"/>
    <mergeCell ref="AB4:AD4"/>
    <mergeCell ref="AS15:AW15"/>
    <mergeCell ref="AF20:AI20"/>
    <mergeCell ref="X5:AA5"/>
    <mergeCell ref="X20:AA20"/>
    <mergeCell ref="AF14:AI14"/>
    <mergeCell ref="U26:Y26"/>
    <mergeCell ref="X14:AA14"/>
    <mergeCell ref="AF11:AI11"/>
    <mergeCell ref="AJ9:AN9"/>
    <mergeCell ref="U2:W2"/>
    <mergeCell ref="U16:W16"/>
    <mergeCell ref="AF2:AI2"/>
    <mergeCell ref="A8:D8"/>
    <mergeCell ref="E21:L21"/>
    <mergeCell ref="AO26:AR26"/>
    <mergeCell ref="U25:W25"/>
    <mergeCell ref="E12:L12"/>
    <mergeCell ref="X4:AA4"/>
    <mergeCell ref="AJ11:AN11"/>
    <mergeCell ref="E14:L14"/>
    <mergeCell ref="AO25:AR25"/>
    <mergeCell ref="A10:D10"/>
    <mergeCell ref="E23:L23"/>
    <mergeCell ref="AX22:BB22"/>
    <mergeCell ref="E4:L4"/>
    <mergeCell ref="AF13:AI13"/>
    <mergeCell ref="AS25:AW25"/>
    <mergeCell ref="AX21:BB21"/>
    <mergeCell ref="X21:AA21"/>
    <mergeCell ref="AO8:AR8"/>
    <mergeCell ref="AF12:AI12"/>
    <mergeCell ref="AB8:AD8"/>
    <mergeCell ref="AO2:AR2"/>
    <mergeCell ref="AO17:AR17"/>
    <mergeCell ref="M10:T10"/>
    <mergeCell ref="AO11:AR11"/>
    <mergeCell ref="AJ13:AN13"/>
    <mergeCell ref="X23:AA23"/>
    <mergeCell ref="U20:W20"/>
    <mergeCell ref="M13:T13"/>
    <mergeCell ref="M7:T7"/>
    <mergeCell ref="U14:W14"/>
    <mergeCell ref="M16:T16"/>
    <mergeCell ref="U23:W23"/>
    <mergeCell ref="AS17:AW17"/>
    <mergeCell ref="AB10:AD10"/>
    <mergeCell ref="AX13:BB13"/>
    <mergeCell ref="AS11:AW11"/>
    <mergeCell ref="AB18:AD18"/>
    <mergeCell ref="AX7:BB7"/>
    <mergeCell ref="AJ6:AN6"/>
    <mergeCell ref="X16:AA16"/>
    <mergeCell ref="AJ15:AN15"/>
    <mergeCell ref="U4:W4"/>
    <mergeCell ref="AJ24:AN24"/>
    <mergeCell ref="U22:W22"/>
    <mergeCell ref="AO3:AR3"/>
    <mergeCell ref="M18:T18"/>
    <mergeCell ref="AF10:AI10"/>
    <mergeCell ref="AS19:AW19"/>
    <mergeCell ref="U6:W6"/>
    <mergeCell ref="X18:AA18"/>
    <mergeCell ref="U15:W15"/>
    <mergeCell ref="M8:T8"/>
    <mergeCell ref="AF6:AI6"/>
    <mergeCell ref="AS3:AW3"/>
    <mergeCell ref="A12:D12"/>
    <mergeCell ref="E25:L25"/>
    <mergeCell ref="AX24:BB24"/>
    <mergeCell ref="A21:D21"/>
    <mergeCell ref="Z26:AE26"/>
    <mergeCell ref="AO20:AR20"/>
    <mergeCell ref="AB2:AE2"/>
    <mergeCell ref="AS5:AW5"/>
    <mergeCell ref="A14:D14"/>
    <mergeCell ref="AF5:AI5"/>
    <mergeCell ref="AX26:BB26"/>
    <mergeCell ref="AS14:AW14"/>
    <mergeCell ref="A23:D23"/>
    <mergeCell ref="E3:L3"/>
    <mergeCell ref="AO22:AR22"/>
    <mergeCell ref="AF8:AI8"/>
    <mergeCell ref="AB22:AD22"/>
    <mergeCell ref="A4:D4"/>
    <mergeCell ref="AF17:AI17"/>
    <mergeCell ref="AX19:BB19"/>
    <mergeCell ref="A1:BB1"/>
    <mergeCell ref="M5:T5"/>
    <mergeCell ref="AJ2:AN2"/>
    <mergeCell ref="AB12:AD12"/>
    <mergeCell ref="E5:L5"/>
    <mergeCell ref="AO21:AR21"/>
    <mergeCell ref="AB21:AD21"/>
    <mergeCell ref="AX9:BB9"/>
    <mergeCell ref="X22:AA22"/>
    <mergeCell ref="AF19:AI19"/>
    <mergeCell ref="AJ17:AN17"/>
    <mergeCell ref="E20:L20"/>
    <mergeCell ref="U24:W24"/>
    <mergeCell ref="AX2:BB2"/>
    <mergeCell ref="AS21:AW21"/>
    <mergeCell ref="AF3:AI3"/>
    <mergeCell ref="AB23:AD23"/>
    <mergeCell ref="AX11:BB11"/>
    <mergeCell ref="X12:AA12"/>
    <mergeCell ref="E13:L13"/>
    <mergeCell ref="AJ19:AN19"/>
    <mergeCell ref="AB13:AD13"/>
    <mergeCell ref="AO7:AR7"/>
    <mergeCell ref="AB7:AD7"/>
    <mergeCell ref="AO16:AR16"/>
    <mergeCell ref="AJ3:AN3"/>
    <mergeCell ref="U5:W5"/>
    <mergeCell ref="A6:D6"/>
    <mergeCell ref="E15:L15"/>
    <mergeCell ref="U19:W19"/>
    <mergeCell ref="M12:T12"/>
    <mergeCell ref="AS8:AW8"/>
    <mergeCell ref="M21:T21"/>
    <mergeCell ref="AS2:AW2"/>
    <mergeCell ref="AS16:AW16"/>
    <mergeCell ref="A25:D25"/>
    <mergeCell ref="X7:AA7"/>
    <mergeCell ref="AF4:AI4"/>
    <mergeCell ref="AJ5:AN5"/>
    <mergeCell ref="U9:W9"/>
    <mergeCell ref="AX12:BB12"/>
    <mergeCell ref="AO19:AR19"/>
    <mergeCell ref="A18:D18"/>
    <mergeCell ref="AJ4:AN4"/>
    <mergeCell ref="M24:T24"/>
    <mergeCell ref="E7:L7"/>
    <mergeCell ref="A3:D3"/>
    <mergeCell ref="E16:L16"/>
    <mergeCell ref="AX15:BB15"/>
    <mergeCell ref="X24:AA24"/>
    <mergeCell ref="AF21:AI21"/>
    <mergeCell ref="AX23:BB23"/>
    <mergeCell ref="X13:AA13"/>
    <mergeCell ref="AO5:AR5"/>
    <mergeCell ref="AB16:AD16"/>
  </mergeCells>
  <dataValidations count="4">
    <dataValidation sqref="U4:W25" showDropDown="0" showInputMessage="1" showErrorMessage="1" allowBlank="1" type="list">
      <formula1>$D$28:$D$29</formula1>
    </dataValidation>
    <dataValidation sqref="X4:AA25" showDropDown="0" showInputMessage="1" showErrorMessage="1" allowBlank="1" type="list">
      <formula1>$H$28:$H$42</formula1>
    </dataValidation>
    <dataValidation sqref="X3:AA3" showDropDown="0" showInputMessage="1" showErrorMessage="1" allowBlank="1" type="list">
      <formula1>$H$27:$H$40</formula1>
    </dataValidation>
    <dataValidation sqref="U3:W3" showDropDown="0" showInputMessage="1" showErrorMessage="1" allowBlank="1" type="list">
      <formula1>$D$27:$D$28</formula1>
    </dataValidation>
  </dataValidations>
  <pageMargins left="0.43" right="0.23" top="0.39" bottom="0.32" header="0.3149606299212598" footer="0.3149606299212598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41"/>
  <sheetViews>
    <sheetView showZeros="0" zoomScaleNormal="100" workbookViewId="0">
      <selection activeCell="E3" sqref="E3:L3"/>
    </sheetView>
  </sheetViews>
  <sheetFormatPr baseColWidth="8" defaultRowHeight="18.75"/>
  <cols>
    <col width="2.625" customWidth="1" style="1" min="1" max="100"/>
    <col width="9" customWidth="1" style="1" min="101" max="16384"/>
  </cols>
  <sheetData>
    <row r="1">
      <c r="A1" s="67" t="inlineStr">
        <is>
          <t>材　　　　料　　　　持　　　　出　　　　表</t>
        </is>
      </c>
      <c r="B1" s="427" t="n"/>
      <c r="C1" s="427" t="n"/>
      <c r="D1" s="427" t="n"/>
      <c r="E1" s="427" t="n"/>
      <c r="F1" s="427" t="n"/>
      <c r="G1" s="427" t="n"/>
      <c r="H1" s="427" t="n"/>
      <c r="I1" s="427" t="n"/>
      <c r="J1" s="427" t="n"/>
      <c r="K1" s="427" t="n"/>
      <c r="L1" s="427" t="n"/>
      <c r="M1" s="427" t="n"/>
      <c r="N1" s="427" t="n"/>
      <c r="O1" s="427" t="n"/>
      <c r="P1" s="427" t="n"/>
      <c r="Q1" s="427" t="n"/>
      <c r="R1" s="427" t="n"/>
      <c r="S1" s="427" t="n"/>
      <c r="T1" s="427" t="n"/>
      <c r="U1" s="427" t="n"/>
      <c r="V1" s="427" t="n"/>
      <c r="W1" s="427" t="n"/>
      <c r="X1" s="427" t="n"/>
      <c r="Y1" s="427" t="n"/>
      <c r="Z1" s="427" t="n"/>
      <c r="AA1" s="427" t="n"/>
      <c r="AB1" s="427" t="n"/>
      <c r="AC1" s="427" t="n"/>
      <c r="AD1" s="427" t="n"/>
      <c r="AE1" s="427" t="n"/>
      <c r="AF1" s="427" t="n"/>
      <c r="AG1" s="427" t="n"/>
      <c r="AH1" s="427" t="n"/>
      <c r="AI1" s="427" t="n"/>
      <c r="AJ1" s="427" t="n"/>
      <c r="AK1" s="427" t="n"/>
      <c r="AL1" s="427" t="n"/>
      <c r="AM1" s="427" t="n"/>
      <c r="AN1" s="427" t="n"/>
      <c r="AO1" s="427" t="n"/>
      <c r="AP1" s="427" t="n"/>
      <c r="AQ1" s="427" t="n"/>
      <c r="AR1" s="427" t="n"/>
      <c r="AS1" s="427" t="n"/>
      <c r="AT1" s="427" t="n"/>
      <c r="AU1" s="427" t="n"/>
      <c r="AV1" s="427" t="n"/>
      <c r="AW1" s="427" t="n"/>
      <c r="AX1" s="427" t="n"/>
      <c r="AY1" s="427" t="n"/>
      <c r="AZ1" s="427" t="n"/>
      <c r="BA1" s="427" t="n"/>
      <c r="BB1" s="428" t="n"/>
    </row>
    <row r="2">
      <c r="A2" s="62" t="inlineStr">
        <is>
          <t>月 / 日</t>
        </is>
      </c>
      <c r="B2" s="427" t="n"/>
      <c r="C2" s="427" t="n"/>
      <c r="D2" s="428" t="n"/>
      <c r="E2" s="62" t="inlineStr">
        <is>
          <t>品     名</t>
        </is>
      </c>
      <c r="F2" s="427" t="n"/>
      <c r="G2" s="427" t="n"/>
      <c r="H2" s="427" t="n"/>
      <c r="I2" s="427" t="n"/>
      <c r="J2" s="427" t="n"/>
      <c r="K2" s="427" t="n"/>
      <c r="L2" s="428" t="n"/>
      <c r="M2" s="62" t="inlineStr">
        <is>
          <t>型     式</t>
        </is>
      </c>
      <c r="N2" s="427" t="n"/>
      <c r="O2" s="427" t="n"/>
      <c r="P2" s="427" t="n"/>
      <c r="Q2" s="427" t="n"/>
      <c r="R2" s="427" t="n"/>
      <c r="S2" s="427" t="n"/>
      <c r="T2" s="428" t="n"/>
      <c r="U2" s="62" t="inlineStr">
        <is>
          <t>在  庫</t>
        </is>
      </c>
      <c r="V2" s="427" t="n"/>
      <c r="W2" s="428" t="n"/>
      <c r="X2" s="62" t="inlineStr">
        <is>
          <t>仕 入 先</t>
        </is>
      </c>
      <c r="Y2" s="427" t="n"/>
      <c r="Z2" s="427" t="n"/>
      <c r="AA2" s="428" t="n"/>
      <c r="AB2" s="62" t="inlineStr">
        <is>
          <t>数  量</t>
        </is>
      </c>
      <c r="AC2" s="427" t="n"/>
      <c r="AD2" s="427" t="n"/>
      <c r="AE2" s="428" t="n"/>
      <c r="AF2" s="62" t="inlineStr">
        <is>
          <t>仕 入 単 価</t>
        </is>
      </c>
      <c r="AG2" s="427" t="n"/>
      <c r="AH2" s="427" t="n"/>
      <c r="AI2" s="428" t="n"/>
      <c r="AJ2" s="62" t="inlineStr">
        <is>
          <t>仕 入 合 計</t>
        </is>
      </c>
      <c r="AK2" s="427" t="n"/>
      <c r="AL2" s="427" t="n"/>
      <c r="AM2" s="427" t="n"/>
      <c r="AN2" s="428" t="n"/>
      <c r="AO2" s="62" t="inlineStr">
        <is>
          <t>売 値 単 価</t>
        </is>
      </c>
      <c r="AP2" s="427" t="n"/>
      <c r="AQ2" s="427" t="n"/>
      <c r="AR2" s="428" t="n"/>
      <c r="AS2" s="62" t="inlineStr">
        <is>
          <t>売 値 合 計</t>
        </is>
      </c>
      <c r="AT2" s="427" t="n"/>
      <c r="AU2" s="427" t="n"/>
      <c r="AV2" s="427" t="n"/>
      <c r="AW2" s="428" t="n"/>
      <c r="AX2" s="62" t="inlineStr">
        <is>
          <t>送   料</t>
        </is>
      </c>
      <c r="AY2" s="427" t="n"/>
      <c r="AZ2" s="427" t="n"/>
      <c r="BA2" s="427" t="n"/>
      <c r="BB2" s="428" t="n"/>
    </row>
    <row r="3" ht="22.5" customHeight="1" s="337">
      <c r="A3" s="477" t="n"/>
      <c r="B3" s="427" t="n"/>
      <c r="C3" s="427" t="n"/>
      <c r="D3" s="428" t="n"/>
      <c r="E3" s="62" t="n"/>
      <c r="F3" s="427" t="n"/>
      <c r="G3" s="427" t="n"/>
      <c r="H3" s="427" t="n"/>
      <c r="I3" s="427" t="n"/>
      <c r="J3" s="427" t="n"/>
      <c r="K3" s="427" t="n"/>
      <c r="L3" s="428" t="n"/>
      <c r="M3" s="62" t="n"/>
      <c r="N3" s="427" t="n"/>
      <c r="O3" s="427" t="n"/>
      <c r="P3" s="427" t="n"/>
      <c r="Q3" s="427" t="n"/>
      <c r="R3" s="427" t="n"/>
      <c r="S3" s="427" t="n"/>
      <c r="T3" s="428" t="n"/>
      <c r="U3" s="62" t="n"/>
      <c r="V3" s="427" t="n"/>
      <c r="W3" s="428" t="n"/>
      <c r="X3" s="62" t="n"/>
      <c r="Y3" s="427" t="n"/>
      <c r="Z3" s="427" t="n"/>
      <c r="AA3" s="428" t="n"/>
      <c r="AB3" s="56" t="n"/>
      <c r="AC3" s="463" t="n"/>
      <c r="AD3" s="463" t="n"/>
      <c r="AE3" s="55" t="n"/>
      <c r="AF3" s="476" t="n"/>
      <c r="AG3" s="463" t="n"/>
      <c r="AH3" s="463" t="n"/>
      <c r="AI3" s="464" t="n"/>
      <c r="AJ3" s="476">
        <f>SUM(AF3*AB3)</f>
        <v/>
      </c>
      <c r="AK3" s="463" t="n"/>
      <c r="AL3" s="463" t="n"/>
      <c r="AM3" s="463" t="n"/>
      <c r="AN3" s="464" t="n"/>
      <c r="AO3" s="476" t="n"/>
      <c r="AP3" s="463" t="n"/>
      <c r="AQ3" s="463" t="n"/>
      <c r="AR3" s="464" t="n"/>
      <c r="AS3" s="476">
        <f>SUM(AO3*AB3)</f>
        <v/>
      </c>
      <c r="AT3" s="463" t="n"/>
      <c r="AU3" s="463" t="n"/>
      <c r="AV3" s="463" t="n"/>
      <c r="AW3" s="464" t="n"/>
      <c r="AX3" s="476" t="n"/>
      <c r="AY3" s="463" t="n"/>
      <c r="AZ3" s="463" t="n"/>
      <c r="BA3" s="463" t="n"/>
      <c r="BB3" s="464" t="n"/>
    </row>
    <row r="4" ht="22.5" customHeight="1" s="337">
      <c r="A4" s="477" t="n"/>
      <c r="B4" s="427" t="n"/>
      <c r="C4" s="427" t="n"/>
      <c r="D4" s="428" t="n"/>
      <c r="E4" s="69" t="n"/>
      <c r="F4" s="427" t="n"/>
      <c r="G4" s="427" t="n"/>
      <c r="H4" s="427" t="n"/>
      <c r="I4" s="427" t="n"/>
      <c r="J4" s="427" t="n"/>
      <c r="K4" s="427" t="n"/>
      <c r="L4" s="428" t="n"/>
      <c r="M4" s="62" t="n"/>
      <c r="N4" s="427" t="n"/>
      <c r="O4" s="427" t="n"/>
      <c r="P4" s="427" t="n"/>
      <c r="Q4" s="427" t="n"/>
      <c r="R4" s="427" t="n"/>
      <c r="S4" s="427" t="n"/>
      <c r="T4" s="428" t="n"/>
      <c r="U4" s="62" t="n"/>
      <c r="V4" s="427" t="n"/>
      <c r="W4" s="428" t="n"/>
      <c r="X4" s="62" t="n"/>
      <c r="Y4" s="427" t="n"/>
      <c r="Z4" s="427" t="n"/>
      <c r="AA4" s="428" t="n"/>
      <c r="AB4" s="56" t="n"/>
      <c r="AC4" s="463" t="n"/>
      <c r="AD4" s="463" t="n"/>
      <c r="AE4" s="55" t="n"/>
      <c r="AF4" s="476" t="n"/>
      <c r="AG4" s="463" t="n"/>
      <c r="AH4" s="463" t="n"/>
      <c r="AI4" s="464" t="n"/>
      <c r="AJ4" s="476">
        <f>SUM(AF4*AB4)</f>
        <v/>
      </c>
      <c r="AK4" s="463" t="n"/>
      <c r="AL4" s="463" t="n"/>
      <c r="AM4" s="463" t="n"/>
      <c r="AN4" s="464" t="n"/>
      <c r="AO4" s="476" t="n"/>
      <c r="AP4" s="463" t="n"/>
      <c r="AQ4" s="463" t="n"/>
      <c r="AR4" s="464" t="n"/>
      <c r="AS4" s="476">
        <f>SUM(AO4*AB4)</f>
        <v/>
      </c>
      <c r="AT4" s="463" t="n"/>
      <c r="AU4" s="463" t="n"/>
      <c r="AV4" s="463" t="n"/>
      <c r="AW4" s="464" t="n"/>
      <c r="AX4" s="476" t="n"/>
      <c r="AY4" s="463" t="n"/>
      <c r="AZ4" s="463" t="n"/>
      <c r="BA4" s="463" t="n"/>
      <c r="BB4" s="464" t="n"/>
    </row>
    <row r="5" ht="22.5" customHeight="1" s="337">
      <c r="A5" s="477" t="n"/>
      <c r="B5" s="427" t="n"/>
      <c r="C5" s="427" t="n"/>
      <c r="D5" s="428" t="n"/>
      <c r="E5" s="69" t="n"/>
      <c r="F5" s="427" t="n"/>
      <c r="G5" s="427" t="n"/>
      <c r="H5" s="427" t="n"/>
      <c r="I5" s="427" t="n"/>
      <c r="J5" s="427" t="n"/>
      <c r="K5" s="427" t="n"/>
      <c r="L5" s="428" t="n"/>
      <c r="M5" s="62" t="n"/>
      <c r="N5" s="427" t="n"/>
      <c r="O5" s="427" t="n"/>
      <c r="P5" s="427" t="n"/>
      <c r="Q5" s="427" t="n"/>
      <c r="R5" s="427" t="n"/>
      <c r="S5" s="427" t="n"/>
      <c r="T5" s="428" t="n"/>
      <c r="U5" s="62" t="n"/>
      <c r="V5" s="427" t="n"/>
      <c r="W5" s="428" t="n"/>
      <c r="X5" s="62" t="n"/>
      <c r="Y5" s="427" t="n"/>
      <c r="Z5" s="427" t="n"/>
      <c r="AA5" s="428" t="n"/>
      <c r="AB5" s="56" t="n"/>
      <c r="AC5" s="463" t="n"/>
      <c r="AD5" s="463" t="n"/>
      <c r="AE5" s="55" t="n"/>
      <c r="AF5" s="476" t="n"/>
      <c r="AG5" s="463" t="n"/>
      <c r="AH5" s="463" t="n"/>
      <c r="AI5" s="464" t="n"/>
      <c r="AJ5" s="476">
        <f>SUM(AF5*AB5)</f>
        <v/>
      </c>
      <c r="AK5" s="463" t="n"/>
      <c r="AL5" s="463" t="n"/>
      <c r="AM5" s="463" t="n"/>
      <c r="AN5" s="464" t="n"/>
      <c r="AO5" s="476" t="n"/>
      <c r="AP5" s="463" t="n"/>
      <c r="AQ5" s="463" t="n"/>
      <c r="AR5" s="464" t="n"/>
      <c r="AS5" s="476">
        <f>SUM(AO5*AB5)</f>
        <v/>
      </c>
      <c r="AT5" s="463" t="n"/>
      <c r="AU5" s="463" t="n"/>
      <c r="AV5" s="463" t="n"/>
      <c r="AW5" s="464" t="n"/>
      <c r="AX5" s="476" t="n"/>
      <c r="AY5" s="463" t="n"/>
      <c r="AZ5" s="463" t="n"/>
      <c r="BA5" s="463" t="n"/>
      <c r="BB5" s="464" t="n"/>
    </row>
    <row r="6" ht="22.5" customHeight="1" s="337">
      <c r="A6" s="477" t="n"/>
      <c r="B6" s="427" t="n"/>
      <c r="C6" s="427" t="n"/>
      <c r="D6" s="428" t="n"/>
      <c r="E6" s="62" t="n"/>
      <c r="F6" s="427" t="n"/>
      <c r="G6" s="427" t="n"/>
      <c r="H6" s="427" t="n"/>
      <c r="I6" s="427" t="n"/>
      <c r="J6" s="427" t="n"/>
      <c r="K6" s="427" t="n"/>
      <c r="L6" s="428" t="n"/>
      <c r="M6" s="62" t="n"/>
      <c r="N6" s="427" t="n"/>
      <c r="O6" s="427" t="n"/>
      <c r="P6" s="427" t="n"/>
      <c r="Q6" s="427" t="n"/>
      <c r="R6" s="427" t="n"/>
      <c r="S6" s="427" t="n"/>
      <c r="T6" s="428" t="n"/>
      <c r="U6" s="62" t="n"/>
      <c r="V6" s="427" t="n"/>
      <c r="W6" s="428" t="n"/>
      <c r="X6" s="62" t="n"/>
      <c r="Y6" s="427" t="n"/>
      <c r="Z6" s="427" t="n"/>
      <c r="AA6" s="428" t="n"/>
      <c r="AB6" s="56" t="n"/>
      <c r="AC6" s="463" t="n"/>
      <c r="AD6" s="463" t="n"/>
      <c r="AE6" s="55" t="n"/>
      <c r="AF6" s="476" t="n"/>
      <c r="AG6" s="463" t="n"/>
      <c r="AH6" s="463" t="n"/>
      <c r="AI6" s="464" t="n"/>
      <c r="AJ6" s="476">
        <f>SUM(AF6*AB6)</f>
        <v/>
      </c>
      <c r="AK6" s="463" t="n"/>
      <c r="AL6" s="463" t="n"/>
      <c r="AM6" s="463" t="n"/>
      <c r="AN6" s="464" t="n"/>
      <c r="AO6" s="476" t="n"/>
      <c r="AP6" s="463" t="n"/>
      <c r="AQ6" s="463" t="n"/>
      <c r="AR6" s="464" t="n"/>
      <c r="AS6" s="476">
        <f>SUM(AO6*AB6)</f>
        <v/>
      </c>
      <c r="AT6" s="463" t="n"/>
      <c r="AU6" s="463" t="n"/>
      <c r="AV6" s="463" t="n"/>
      <c r="AW6" s="464" t="n"/>
      <c r="AX6" s="476" t="n"/>
      <c r="AY6" s="463" t="n"/>
      <c r="AZ6" s="463" t="n"/>
      <c r="BA6" s="463" t="n"/>
      <c r="BB6" s="464" t="n"/>
    </row>
    <row r="7" ht="22.5" customHeight="1" s="337">
      <c r="A7" s="477" t="n"/>
      <c r="B7" s="427" t="n"/>
      <c r="C7" s="427" t="n"/>
      <c r="D7" s="428" t="n"/>
      <c r="E7" s="68" t="n"/>
      <c r="F7" s="427" t="n"/>
      <c r="G7" s="427" t="n"/>
      <c r="H7" s="427" t="n"/>
      <c r="I7" s="427" t="n"/>
      <c r="J7" s="427" t="n"/>
      <c r="K7" s="427" t="n"/>
      <c r="L7" s="428" t="n"/>
      <c r="M7" s="62" t="n"/>
      <c r="N7" s="427" t="n"/>
      <c r="O7" s="427" t="n"/>
      <c r="P7" s="427" t="n"/>
      <c r="Q7" s="427" t="n"/>
      <c r="R7" s="427" t="n"/>
      <c r="S7" s="427" t="n"/>
      <c r="T7" s="428" t="n"/>
      <c r="U7" s="62" t="n"/>
      <c r="V7" s="427" t="n"/>
      <c r="W7" s="428" t="n"/>
      <c r="X7" s="62" t="n"/>
      <c r="Y7" s="427" t="n"/>
      <c r="Z7" s="427" t="n"/>
      <c r="AA7" s="428" t="n"/>
      <c r="AB7" s="56" t="n"/>
      <c r="AC7" s="463" t="n"/>
      <c r="AD7" s="463" t="n"/>
      <c r="AE7" s="55" t="n"/>
      <c r="AF7" s="476" t="n"/>
      <c r="AG7" s="463" t="n"/>
      <c r="AH7" s="463" t="n"/>
      <c r="AI7" s="464" t="n"/>
      <c r="AJ7" s="476">
        <f>SUM(AF7*AB7)</f>
        <v/>
      </c>
      <c r="AK7" s="463" t="n"/>
      <c r="AL7" s="463" t="n"/>
      <c r="AM7" s="463" t="n"/>
      <c r="AN7" s="464" t="n"/>
      <c r="AO7" s="476" t="n"/>
      <c r="AP7" s="463" t="n"/>
      <c r="AQ7" s="463" t="n"/>
      <c r="AR7" s="464" t="n"/>
      <c r="AS7" s="476">
        <f>SUM(AO7*AB7)</f>
        <v/>
      </c>
      <c r="AT7" s="463" t="n"/>
      <c r="AU7" s="463" t="n"/>
      <c r="AV7" s="463" t="n"/>
      <c r="AW7" s="464" t="n"/>
      <c r="AX7" s="476" t="n"/>
      <c r="AY7" s="463" t="n"/>
      <c r="AZ7" s="463" t="n"/>
      <c r="BA7" s="463" t="n"/>
      <c r="BB7" s="464" t="n"/>
    </row>
    <row r="8" ht="22.5" customHeight="1" s="337">
      <c r="A8" s="477" t="n"/>
      <c r="B8" s="427" t="n"/>
      <c r="C8" s="427" t="n"/>
      <c r="D8" s="428" t="n"/>
      <c r="E8" s="62" t="n"/>
      <c r="F8" s="427" t="n"/>
      <c r="G8" s="427" t="n"/>
      <c r="H8" s="427" t="n"/>
      <c r="I8" s="427" t="n"/>
      <c r="J8" s="427" t="n"/>
      <c r="K8" s="427" t="n"/>
      <c r="L8" s="428" t="n"/>
      <c r="M8" s="69" t="n"/>
      <c r="N8" s="427" t="n"/>
      <c r="O8" s="427" t="n"/>
      <c r="P8" s="427" t="n"/>
      <c r="Q8" s="427" t="n"/>
      <c r="R8" s="427" t="n"/>
      <c r="S8" s="427" t="n"/>
      <c r="T8" s="428" t="n"/>
      <c r="U8" s="62" t="n"/>
      <c r="V8" s="427" t="n"/>
      <c r="W8" s="428" t="n"/>
      <c r="X8" s="62" t="n"/>
      <c r="Y8" s="427" t="n"/>
      <c r="Z8" s="427" t="n"/>
      <c r="AA8" s="428" t="n"/>
      <c r="AB8" s="56" t="n"/>
      <c r="AC8" s="463" t="n"/>
      <c r="AD8" s="463" t="n"/>
      <c r="AE8" s="55" t="n"/>
      <c r="AF8" s="476" t="n"/>
      <c r="AG8" s="463" t="n"/>
      <c r="AH8" s="463" t="n"/>
      <c r="AI8" s="464" t="n"/>
      <c r="AJ8" s="476">
        <f>SUM(AF8*AB8)</f>
        <v/>
      </c>
      <c r="AK8" s="463" t="n"/>
      <c r="AL8" s="463" t="n"/>
      <c r="AM8" s="463" t="n"/>
      <c r="AN8" s="464" t="n"/>
      <c r="AO8" s="476" t="n"/>
      <c r="AP8" s="463" t="n"/>
      <c r="AQ8" s="463" t="n"/>
      <c r="AR8" s="464" t="n"/>
      <c r="AS8" s="476">
        <f>SUM(AO8*AB8)</f>
        <v/>
      </c>
      <c r="AT8" s="463" t="n"/>
      <c r="AU8" s="463" t="n"/>
      <c r="AV8" s="463" t="n"/>
      <c r="AW8" s="464" t="n"/>
      <c r="AX8" s="476" t="n"/>
      <c r="AY8" s="463" t="n"/>
      <c r="AZ8" s="463" t="n"/>
      <c r="BA8" s="463" t="n"/>
      <c r="BB8" s="464" t="n"/>
    </row>
    <row r="9" ht="22.5" customHeight="1" s="337">
      <c r="A9" s="477" t="n"/>
      <c r="B9" s="427" t="n"/>
      <c r="C9" s="427" t="n"/>
      <c r="D9" s="428" t="n"/>
      <c r="E9" s="68" t="n"/>
      <c r="F9" s="427" t="n"/>
      <c r="G9" s="427" t="n"/>
      <c r="H9" s="427" t="n"/>
      <c r="I9" s="427" t="n"/>
      <c r="J9" s="427" t="n"/>
      <c r="K9" s="427" t="n"/>
      <c r="L9" s="428" t="n"/>
      <c r="M9" s="62" t="n"/>
      <c r="N9" s="427" t="n"/>
      <c r="O9" s="427" t="n"/>
      <c r="P9" s="427" t="n"/>
      <c r="Q9" s="427" t="n"/>
      <c r="R9" s="427" t="n"/>
      <c r="S9" s="427" t="n"/>
      <c r="T9" s="428" t="n"/>
      <c r="U9" s="62" t="n"/>
      <c r="V9" s="427" t="n"/>
      <c r="W9" s="428" t="n"/>
      <c r="X9" s="62" t="n"/>
      <c r="Y9" s="427" t="n"/>
      <c r="Z9" s="427" t="n"/>
      <c r="AA9" s="428" t="n"/>
      <c r="AB9" s="56" t="n"/>
      <c r="AC9" s="463" t="n"/>
      <c r="AD9" s="463" t="n"/>
      <c r="AE9" s="55" t="n"/>
      <c r="AF9" s="476" t="n"/>
      <c r="AG9" s="463" t="n"/>
      <c r="AH9" s="463" t="n"/>
      <c r="AI9" s="464" t="n"/>
      <c r="AJ9" s="476">
        <f>SUM(AF9*AB9)</f>
        <v/>
      </c>
      <c r="AK9" s="463" t="n"/>
      <c r="AL9" s="463" t="n"/>
      <c r="AM9" s="463" t="n"/>
      <c r="AN9" s="464" t="n"/>
      <c r="AO9" s="476" t="n"/>
      <c r="AP9" s="463" t="n"/>
      <c r="AQ9" s="463" t="n"/>
      <c r="AR9" s="464" t="n"/>
      <c r="AS9" s="476">
        <f>SUM(AO9*AB9)</f>
        <v/>
      </c>
      <c r="AT9" s="463" t="n"/>
      <c r="AU9" s="463" t="n"/>
      <c r="AV9" s="463" t="n"/>
      <c r="AW9" s="464" t="n"/>
      <c r="AX9" s="476" t="n"/>
      <c r="AY9" s="463" t="n"/>
      <c r="AZ9" s="463" t="n"/>
      <c r="BA9" s="463" t="n"/>
      <c r="BB9" s="464" t="n"/>
    </row>
    <row r="10" ht="22.5" customHeight="1" s="337">
      <c r="A10" s="477" t="n"/>
      <c r="B10" s="427" t="n"/>
      <c r="C10" s="427" t="n"/>
      <c r="D10" s="428" t="n"/>
      <c r="E10" s="62" t="n"/>
      <c r="F10" s="427" t="n"/>
      <c r="G10" s="427" t="n"/>
      <c r="H10" s="427" t="n"/>
      <c r="I10" s="427" t="n"/>
      <c r="J10" s="427" t="n"/>
      <c r="K10" s="427" t="n"/>
      <c r="L10" s="428" t="n"/>
      <c r="M10" s="62" t="n"/>
      <c r="N10" s="427" t="n"/>
      <c r="O10" s="427" t="n"/>
      <c r="P10" s="427" t="n"/>
      <c r="Q10" s="427" t="n"/>
      <c r="R10" s="427" t="n"/>
      <c r="S10" s="427" t="n"/>
      <c r="T10" s="428" t="n"/>
      <c r="U10" s="62" t="n"/>
      <c r="V10" s="427" t="n"/>
      <c r="W10" s="428" t="n"/>
      <c r="X10" s="62" t="n"/>
      <c r="Y10" s="427" t="n"/>
      <c r="Z10" s="427" t="n"/>
      <c r="AA10" s="428" t="n"/>
      <c r="AB10" s="56" t="n"/>
      <c r="AC10" s="463" t="n"/>
      <c r="AD10" s="463" t="n"/>
      <c r="AE10" s="55" t="n"/>
      <c r="AF10" s="476" t="n"/>
      <c r="AG10" s="463" t="n"/>
      <c r="AH10" s="463" t="n"/>
      <c r="AI10" s="464" t="n"/>
      <c r="AJ10" s="476">
        <f>SUM(AF10*AB10)</f>
        <v/>
      </c>
      <c r="AK10" s="463" t="n"/>
      <c r="AL10" s="463" t="n"/>
      <c r="AM10" s="463" t="n"/>
      <c r="AN10" s="464" t="n"/>
      <c r="AO10" s="476" t="n"/>
      <c r="AP10" s="463" t="n"/>
      <c r="AQ10" s="463" t="n"/>
      <c r="AR10" s="464" t="n"/>
      <c r="AS10" s="476">
        <f>SUM(AO10*AB10)</f>
        <v/>
      </c>
      <c r="AT10" s="463" t="n"/>
      <c r="AU10" s="463" t="n"/>
      <c r="AV10" s="463" t="n"/>
      <c r="AW10" s="464" t="n"/>
      <c r="AX10" s="476" t="n"/>
      <c r="AY10" s="463" t="n"/>
      <c r="AZ10" s="463" t="n"/>
      <c r="BA10" s="463" t="n"/>
      <c r="BB10" s="464" t="n"/>
    </row>
    <row r="11" ht="22.5" customHeight="1" s="337">
      <c r="A11" s="477" t="n"/>
      <c r="B11" s="427" t="n"/>
      <c r="C11" s="427" t="n"/>
      <c r="D11" s="428" t="n"/>
      <c r="E11" s="62" t="n"/>
      <c r="F11" s="427" t="n"/>
      <c r="G11" s="427" t="n"/>
      <c r="H11" s="427" t="n"/>
      <c r="I11" s="427" t="n"/>
      <c r="J11" s="427" t="n"/>
      <c r="K11" s="427" t="n"/>
      <c r="L11" s="428" t="n"/>
      <c r="M11" s="62" t="n"/>
      <c r="N11" s="427" t="n"/>
      <c r="O11" s="427" t="n"/>
      <c r="P11" s="427" t="n"/>
      <c r="Q11" s="427" t="n"/>
      <c r="R11" s="427" t="n"/>
      <c r="S11" s="427" t="n"/>
      <c r="T11" s="428" t="n"/>
      <c r="U11" s="62" t="n"/>
      <c r="V11" s="427" t="n"/>
      <c r="W11" s="428" t="n"/>
      <c r="X11" s="62" t="n"/>
      <c r="Y11" s="427" t="n"/>
      <c r="Z11" s="427" t="n"/>
      <c r="AA11" s="428" t="n"/>
      <c r="AB11" s="56" t="n"/>
      <c r="AC11" s="463" t="n"/>
      <c r="AD11" s="463" t="n"/>
      <c r="AE11" s="55" t="n"/>
      <c r="AF11" s="476" t="n"/>
      <c r="AG11" s="463" t="n"/>
      <c r="AH11" s="463" t="n"/>
      <c r="AI11" s="464" t="n"/>
      <c r="AJ11" s="476">
        <f>SUM(AF11*AB11)</f>
        <v/>
      </c>
      <c r="AK11" s="463" t="n"/>
      <c r="AL11" s="463" t="n"/>
      <c r="AM11" s="463" t="n"/>
      <c r="AN11" s="464" t="n"/>
      <c r="AO11" s="476" t="n"/>
      <c r="AP11" s="463" t="n"/>
      <c r="AQ11" s="463" t="n"/>
      <c r="AR11" s="464" t="n"/>
      <c r="AS11" s="476">
        <f>SUM(AO11*AB11)</f>
        <v/>
      </c>
      <c r="AT11" s="463" t="n"/>
      <c r="AU11" s="463" t="n"/>
      <c r="AV11" s="463" t="n"/>
      <c r="AW11" s="464" t="n"/>
      <c r="AX11" s="476" t="n"/>
      <c r="AY11" s="463" t="n"/>
      <c r="AZ11" s="463" t="n"/>
      <c r="BA11" s="463" t="n"/>
      <c r="BB11" s="464" t="n"/>
    </row>
    <row r="12" ht="22.5" customHeight="1" s="337">
      <c r="A12" s="477" t="n"/>
      <c r="B12" s="427" t="n"/>
      <c r="C12" s="427" t="n"/>
      <c r="D12" s="428" t="n"/>
      <c r="E12" s="62" t="n"/>
      <c r="F12" s="427" t="n"/>
      <c r="G12" s="427" t="n"/>
      <c r="H12" s="427" t="n"/>
      <c r="I12" s="427" t="n"/>
      <c r="J12" s="427" t="n"/>
      <c r="K12" s="427" t="n"/>
      <c r="L12" s="428" t="n"/>
      <c r="M12" s="62" t="n"/>
      <c r="N12" s="427" t="n"/>
      <c r="O12" s="427" t="n"/>
      <c r="P12" s="427" t="n"/>
      <c r="Q12" s="427" t="n"/>
      <c r="R12" s="427" t="n"/>
      <c r="S12" s="427" t="n"/>
      <c r="T12" s="428" t="n"/>
      <c r="U12" s="62" t="n"/>
      <c r="V12" s="427" t="n"/>
      <c r="W12" s="428" t="n"/>
      <c r="X12" s="62" t="n"/>
      <c r="Y12" s="427" t="n"/>
      <c r="Z12" s="427" t="n"/>
      <c r="AA12" s="428" t="n"/>
      <c r="AB12" s="56" t="n"/>
      <c r="AC12" s="463" t="n"/>
      <c r="AD12" s="463" t="n"/>
      <c r="AE12" s="55" t="n"/>
      <c r="AF12" s="476" t="n"/>
      <c r="AG12" s="463" t="n"/>
      <c r="AH12" s="463" t="n"/>
      <c r="AI12" s="464" t="n"/>
      <c r="AJ12" s="476">
        <f>SUM(AF12*AB12)</f>
        <v/>
      </c>
      <c r="AK12" s="463" t="n"/>
      <c r="AL12" s="463" t="n"/>
      <c r="AM12" s="463" t="n"/>
      <c r="AN12" s="464" t="n"/>
      <c r="AO12" s="476" t="n"/>
      <c r="AP12" s="463" t="n"/>
      <c r="AQ12" s="463" t="n"/>
      <c r="AR12" s="464" t="n"/>
      <c r="AS12" s="476">
        <f>SUM(AO12*AB12)</f>
        <v/>
      </c>
      <c r="AT12" s="463" t="n"/>
      <c r="AU12" s="463" t="n"/>
      <c r="AV12" s="463" t="n"/>
      <c r="AW12" s="464" t="n"/>
      <c r="AX12" s="476" t="n"/>
      <c r="AY12" s="463" t="n"/>
      <c r="AZ12" s="463" t="n"/>
      <c r="BA12" s="463" t="n"/>
      <c r="BB12" s="464" t="n"/>
    </row>
    <row r="13" ht="22.5" customHeight="1" s="337">
      <c r="A13" s="477" t="n"/>
      <c r="B13" s="427" t="n"/>
      <c r="C13" s="427" t="n"/>
      <c r="D13" s="428" t="n"/>
      <c r="E13" s="62" t="n"/>
      <c r="F13" s="427" t="n"/>
      <c r="G13" s="427" t="n"/>
      <c r="H13" s="427" t="n"/>
      <c r="I13" s="427" t="n"/>
      <c r="J13" s="427" t="n"/>
      <c r="K13" s="427" t="n"/>
      <c r="L13" s="428" t="n"/>
      <c r="M13" s="62" t="n"/>
      <c r="N13" s="427" t="n"/>
      <c r="O13" s="427" t="n"/>
      <c r="P13" s="427" t="n"/>
      <c r="Q13" s="427" t="n"/>
      <c r="R13" s="427" t="n"/>
      <c r="S13" s="427" t="n"/>
      <c r="T13" s="428" t="n"/>
      <c r="U13" s="62" t="n"/>
      <c r="V13" s="427" t="n"/>
      <c r="W13" s="428" t="n"/>
      <c r="X13" s="62" t="n"/>
      <c r="Y13" s="427" t="n"/>
      <c r="Z13" s="427" t="n"/>
      <c r="AA13" s="428" t="n"/>
      <c r="AB13" s="56" t="n"/>
      <c r="AC13" s="463" t="n"/>
      <c r="AD13" s="463" t="n"/>
      <c r="AE13" s="55" t="n"/>
      <c r="AF13" s="476" t="n"/>
      <c r="AG13" s="463" t="n"/>
      <c r="AH13" s="463" t="n"/>
      <c r="AI13" s="464" t="n"/>
      <c r="AJ13" s="476">
        <f>SUM(AF13*AB13)</f>
        <v/>
      </c>
      <c r="AK13" s="463" t="n"/>
      <c r="AL13" s="463" t="n"/>
      <c r="AM13" s="463" t="n"/>
      <c r="AN13" s="464" t="n"/>
      <c r="AO13" s="476" t="n"/>
      <c r="AP13" s="463" t="n"/>
      <c r="AQ13" s="463" t="n"/>
      <c r="AR13" s="464" t="n"/>
      <c r="AS13" s="476">
        <f>SUM(AO13*AB13)</f>
        <v/>
      </c>
      <c r="AT13" s="463" t="n"/>
      <c r="AU13" s="463" t="n"/>
      <c r="AV13" s="463" t="n"/>
      <c r="AW13" s="464" t="n"/>
      <c r="AX13" s="476" t="n"/>
      <c r="AY13" s="463" t="n"/>
      <c r="AZ13" s="463" t="n"/>
      <c r="BA13" s="463" t="n"/>
      <c r="BB13" s="464" t="n"/>
    </row>
    <row r="14" ht="22.5" customHeight="1" s="337">
      <c r="A14" s="477" t="n"/>
      <c r="B14" s="427" t="n"/>
      <c r="C14" s="427" t="n"/>
      <c r="D14" s="428" t="n"/>
      <c r="E14" s="62" t="n"/>
      <c r="F14" s="427" t="n"/>
      <c r="G14" s="427" t="n"/>
      <c r="H14" s="427" t="n"/>
      <c r="I14" s="427" t="n"/>
      <c r="J14" s="427" t="n"/>
      <c r="K14" s="427" t="n"/>
      <c r="L14" s="428" t="n"/>
      <c r="M14" s="62" t="n"/>
      <c r="N14" s="427" t="n"/>
      <c r="O14" s="427" t="n"/>
      <c r="P14" s="427" t="n"/>
      <c r="Q14" s="427" t="n"/>
      <c r="R14" s="427" t="n"/>
      <c r="S14" s="427" t="n"/>
      <c r="T14" s="428" t="n"/>
      <c r="U14" s="62" t="n"/>
      <c r="V14" s="427" t="n"/>
      <c r="W14" s="428" t="n"/>
      <c r="X14" s="62" t="n"/>
      <c r="Y14" s="427" t="n"/>
      <c r="Z14" s="427" t="n"/>
      <c r="AA14" s="428" t="n"/>
      <c r="AB14" s="56" t="n"/>
      <c r="AC14" s="463" t="n"/>
      <c r="AD14" s="463" t="n"/>
      <c r="AE14" s="55" t="n"/>
      <c r="AF14" s="476" t="n"/>
      <c r="AG14" s="463" t="n"/>
      <c r="AH14" s="463" t="n"/>
      <c r="AI14" s="464" t="n"/>
      <c r="AJ14" s="476">
        <f>SUM(AF14*AB14)</f>
        <v/>
      </c>
      <c r="AK14" s="463" t="n"/>
      <c r="AL14" s="463" t="n"/>
      <c r="AM14" s="463" t="n"/>
      <c r="AN14" s="464" t="n"/>
      <c r="AO14" s="476" t="n"/>
      <c r="AP14" s="463" t="n"/>
      <c r="AQ14" s="463" t="n"/>
      <c r="AR14" s="464" t="n"/>
      <c r="AS14" s="476">
        <f>SUM(AO14*AB14)</f>
        <v/>
      </c>
      <c r="AT14" s="463" t="n"/>
      <c r="AU14" s="463" t="n"/>
      <c r="AV14" s="463" t="n"/>
      <c r="AW14" s="464" t="n"/>
      <c r="AX14" s="476" t="n"/>
      <c r="AY14" s="463" t="n"/>
      <c r="AZ14" s="463" t="n"/>
      <c r="BA14" s="463" t="n"/>
      <c r="BB14" s="464" t="n"/>
    </row>
    <row r="15" ht="22.5" customHeight="1" s="337">
      <c r="A15" s="477" t="n"/>
      <c r="B15" s="427" t="n"/>
      <c r="C15" s="427" t="n"/>
      <c r="D15" s="428" t="n"/>
      <c r="E15" s="68" t="n"/>
      <c r="F15" s="427" t="n"/>
      <c r="G15" s="427" t="n"/>
      <c r="H15" s="427" t="n"/>
      <c r="I15" s="427" t="n"/>
      <c r="J15" s="427" t="n"/>
      <c r="K15" s="427" t="n"/>
      <c r="L15" s="428" t="n"/>
      <c r="M15" s="62" t="n"/>
      <c r="N15" s="427" t="n"/>
      <c r="O15" s="427" t="n"/>
      <c r="P15" s="427" t="n"/>
      <c r="Q15" s="427" t="n"/>
      <c r="R15" s="427" t="n"/>
      <c r="S15" s="427" t="n"/>
      <c r="T15" s="428" t="n"/>
      <c r="U15" s="62" t="n"/>
      <c r="V15" s="427" t="n"/>
      <c r="W15" s="428" t="n"/>
      <c r="X15" s="62" t="n"/>
      <c r="Y15" s="427" t="n"/>
      <c r="Z15" s="427" t="n"/>
      <c r="AA15" s="428" t="n"/>
      <c r="AB15" s="56" t="n"/>
      <c r="AC15" s="463" t="n"/>
      <c r="AD15" s="463" t="n"/>
      <c r="AE15" s="55" t="n"/>
      <c r="AF15" s="476" t="n"/>
      <c r="AG15" s="463" t="n"/>
      <c r="AH15" s="463" t="n"/>
      <c r="AI15" s="464" t="n"/>
      <c r="AJ15" s="476">
        <f>SUM(AF15*AB15)</f>
        <v/>
      </c>
      <c r="AK15" s="463" t="n"/>
      <c r="AL15" s="463" t="n"/>
      <c r="AM15" s="463" t="n"/>
      <c r="AN15" s="464" t="n"/>
      <c r="AO15" s="476" t="n"/>
      <c r="AP15" s="463" t="n"/>
      <c r="AQ15" s="463" t="n"/>
      <c r="AR15" s="464" t="n"/>
      <c r="AS15" s="476">
        <f>SUM(AO15*AB15)</f>
        <v/>
      </c>
      <c r="AT15" s="463" t="n"/>
      <c r="AU15" s="463" t="n"/>
      <c r="AV15" s="463" t="n"/>
      <c r="AW15" s="464" t="n"/>
      <c r="AX15" s="476" t="n"/>
      <c r="AY15" s="463" t="n"/>
      <c r="AZ15" s="463" t="n"/>
      <c r="BA15" s="463" t="n"/>
      <c r="BB15" s="464" t="n"/>
    </row>
    <row r="16" ht="22.5" customHeight="1" s="337">
      <c r="A16" s="477" t="n"/>
      <c r="B16" s="427" t="n"/>
      <c r="C16" s="427" t="n"/>
      <c r="D16" s="428" t="n"/>
      <c r="E16" s="62" t="n"/>
      <c r="F16" s="427" t="n"/>
      <c r="G16" s="427" t="n"/>
      <c r="H16" s="427" t="n"/>
      <c r="I16" s="427" t="n"/>
      <c r="J16" s="427" t="n"/>
      <c r="K16" s="427" t="n"/>
      <c r="L16" s="428" t="n"/>
      <c r="M16" s="62" t="n"/>
      <c r="N16" s="427" t="n"/>
      <c r="O16" s="427" t="n"/>
      <c r="P16" s="427" t="n"/>
      <c r="Q16" s="427" t="n"/>
      <c r="R16" s="427" t="n"/>
      <c r="S16" s="427" t="n"/>
      <c r="T16" s="428" t="n"/>
      <c r="U16" s="62" t="n"/>
      <c r="V16" s="427" t="n"/>
      <c r="W16" s="428" t="n"/>
      <c r="X16" s="62" t="n"/>
      <c r="Y16" s="427" t="n"/>
      <c r="Z16" s="427" t="n"/>
      <c r="AA16" s="428" t="n"/>
      <c r="AB16" s="56" t="n"/>
      <c r="AC16" s="463" t="n"/>
      <c r="AD16" s="463" t="n"/>
      <c r="AE16" s="55" t="n"/>
      <c r="AF16" s="476" t="n"/>
      <c r="AG16" s="463" t="n"/>
      <c r="AH16" s="463" t="n"/>
      <c r="AI16" s="464" t="n"/>
      <c r="AJ16" s="476">
        <f>SUM(AF16*AB16)</f>
        <v/>
      </c>
      <c r="AK16" s="463" t="n"/>
      <c r="AL16" s="463" t="n"/>
      <c r="AM16" s="463" t="n"/>
      <c r="AN16" s="464" t="n"/>
      <c r="AO16" s="476" t="n"/>
      <c r="AP16" s="463" t="n"/>
      <c r="AQ16" s="463" t="n"/>
      <c r="AR16" s="464" t="n"/>
      <c r="AS16" s="476">
        <f>SUM(AO16*AB16)</f>
        <v/>
      </c>
      <c r="AT16" s="463" t="n"/>
      <c r="AU16" s="463" t="n"/>
      <c r="AV16" s="463" t="n"/>
      <c r="AW16" s="464" t="n"/>
      <c r="AX16" s="476" t="n"/>
      <c r="AY16" s="463" t="n"/>
      <c r="AZ16" s="463" t="n"/>
      <c r="BA16" s="463" t="n"/>
      <c r="BB16" s="464" t="n"/>
    </row>
    <row r="17" ht="22.5" customHeight="1" s="337">
      <c r="A17" s="477" t="n"/>
      <c r="B17" s="427" t="n"/>
      <c r="C17" s="427" t="n"/>
      <c r="D17" s="428" t="n"/>
      <c r="E17" s="62" t="n"/>
      <c r="F17" s="427" t="n"/>
      <c r="G17" s="427" t="n"/>
      <c r="H17" s="427" t="n"/>
      <c r="I17" s="427" t="n"/>
      <c r="J17" s="427" t="n"/>
      <c r="K17" s="427" t="n"/>
      <c r="L17" s="428" t="n"/>
      <c r="M17" s="62" t="n"/>
      <c r="N17" s="427" t="n"/>
      <c r="O17" s="427" t="n"/>
      <c r="P17" s="427" t="n"/>
      <c r="Q17" s="427" t="n"/>
      <c r="R17" s="427" t="n"/>
      <c r="S17" s="427" t="n"/>
      <c r="T17" s="428" t="n"/>
      <c r="U17" s="62" t="n"/>
      <c r="V17" s="427" t="n"/>
      <c r="W17" s="428" t="n"/>
      <c r="X17" s="62" t="n"/>
      <c r="Y17" s="427" t="n"/>
      <c r="Z17" s="427" t="n"/>
      <c r="AA17" s="428" t="n"/>
      <c r="AB17" s="56" t="n"/>
      <c r="AC17" s="463" t="n"/>
      <c r="AD17" s="463" t="n"/>
      <c r="AE17" s="55" t="n"/>
      <c r="AF17" s="476" t="n"/>
      <c r="AG17" s="463" t="n"/>
      <c r="AH17" s="463" t="n"/>
      <c r="AI17" s="464" t="n"/>
      <c r="AJ17" s="476">
        <f>SUM(AF17*AB17)</f>
        <v/>
      </c>
      <c r="AK17" s="463" t="n"/>
      <c r="AL17" s="463" t="n"/>
      <c r="AM17" s="463" t="n"/>
      <c r="AN17" s="464" t="n"/>
      <c r="AO17" s="476" t="n"/>
      <c r="AP17" s="463" t="n"/>
      <c r="AQ17" s="463" t="n"/>
      <c r="AR17" s="464" t="n"/>
      <c r="AS17" s="476">
        <f>SUM(AO17*AB17)</f>
        <v/>
      </c>
      <c r="AT17" s="463" t="n"/>
      <c r="AU17" s="463" t="n"/>
      <c r="AV17" s="463" t="n"/>
      <c r="AW17" s="464" t="n"/>
      <c r="AX17" s="476" t="n"/>
      <c r="AY17" s="463" t="n"/>
      <c r="AZ17" s="463" t="n"/>
      <c r="BA17" s="463" t="n"/>
      <c r="BB17" s="464" t="n"/>
    </row>
    <row r="18" ht="22.5" customHeight="1" s="337">
      <c r="A18" s="477" t="n"/>
      <c r="B18" s="427" t="n"/>
      <c r="C18" s="427" t="n"/>
      <c r="D18" s="428" t="n"/>
      <c r="E18" s="62" t="n"/>
      <c r="F18" s="427" t="n"/>
      <c r="G18" s="427" t="n"/>
      <c r="H18" s="427" t="n"/>
      <c r="I18" s="427" t="n"/>
      <c r="J18" s="427" t="n"/>
      <c r="K18" s="427" t="n"/>
      <c r="L18" s="428" t="n"/>
      <c r="M18" s="62" t="n"/>
      <c r="N18" s="427" t="n"/>
      <c r="O18" s="427" t="n"/>
      <c r="P18" s="427" t="n"/>
      <c r="Q18" s="427" t="n"/>
      <c r="R18" s="427" t="n"/>
      <c r="S18" s="427" t="n"/>
      <c r="T18" s="428" t="n"/>
      <c r="U18" s="62" t="n"/>
      <c r="V18" s="427" t="n"/>
      <c r="W18" s="428" t="n"/>
      <c r="X18" s="62" t="n"/>
      <c r="Y18" s="427" t="n"/>
      <c r="Z18" s="427" t="n"/>
      <c r="AA18" s="428" t="n"/>
      <c r="AB18" s="56" t="n"/>
      <c r="AC18" s="463" t="n"/>
      <c r="AD18" s="463" t="n"/>
      <c r="AE18" s="55" t="n"/>
      <c r="AF18" s="476" t="n"/>
      <c r="AG18" s="463" t="n"/>
      <c r="AH18" s="463" t="n"/>
      <c r="AI18" s="464" t="n"/>
      <c r="AJ18" s="476">
        <f>SUM(AF18*AB18)</f>
        <v/>
      </c>
      <c r="AK18" s="463" t="n"/>
      <c r="AL18" s="463" t="n"/>
      <c r="AM18" s="463" t="n"/>
      <c r="AN18" s="464" t="n"/>
      <c r="AO18" s="476" t="n"/>
      <c r="AP18" s="463" t="n"/>
      <c r="AQ18" s="463" t="n"/>
      <c r="AR18" s="464" t="n"/>
      <c r="AS18" s="476">
        <f>SUM(AO18*AB18)</f>
        <v/>
      </c>
      <c r="AT18" s="463" t="n"/>
      <c r="AU18" s="463" t="n"/>
      <c r="AV18" s="463" t="n"/>
      <c r="AW18" s="464" t="n"/>
      <c r="AX18" s="476" t="n"/>
      <c r="AY18" s="463" t="n"/>
      <c r="AZ18" s="463" t="n"/>
      <c r="BA18" s="463" t="n"/>
      <c r="BB18" s="464" t="n"/>
    </row>
    <row r="19" ht="22.5" customHeight="1" s="337">
      <c r="A19" s="477" t="n"/>
      <c r="B19" s="427" t="n"/>
      <c r="C19" s="427" t="n"/>
      <c r="D19" s="428" t="n"/>
      <c r="E19" s="62" t="n"/>
      <c r="F19" s="427" t="n"/>
      <c r="G19" s="427" t="n"/>
      <c r="H19" s="427" t="n"/>
      <c r="I19" s="427" t="n"/>
      <c r="J19" s="427" t="n"/>
      <c r="K19" s="427" t="n"/>
      <c r="L19" s="428" t="n"/>
      <c r="M19" s="69" t="n"/>
      <c r="N19" s="427" t="n"/>
      <c r="O19" s="427" t="n"/>
      <c r="P19" s="427" t="n"/>
      <c r="Q19" s="427" t="n"/>
      <c r="R19" s="427" t="n"/>
      <c r="S19" s="427" t="n"/>
      <c r="T19" s="428" t="n"/>
      <c r="U19" s="62" t="n"/>
      <c r="V19" s="427" t="n"/>
      <c r="W19" s="428" t="n"/>
      <c r="X19" s="62" t="n"/>
      <c r="Y19" s="427" t="n"/>
      <c r="Z19" s="427" t="n"/>
      <c r="AA19" s="428" t="n"/>
      <c r="AB19" s="56" t="n"/>
      <c r="AC19" s="463" t="n"/>
      <c r="AD19" s="463" t="n"/>
      <c r="AE19" s="55" t="n"/>
      <c r="AF19" s="476" t="n"/>
      <c r="AG19" s="463" t="n"/>
      <c r="AH19" s="463" t="n"/>
      <c r="AI19" s="464" t="n"/>
      <c r="AJ19" s="476">
        <f>SUM(AF19*AB19)</f>
        <v/>
      </c>
      <c r="AK19" s="463" t="n"/>
      <c r="AL19" s="463" t="n"/>
      <c r="AM19" s="463" t="n"/>
      <c r="AN19" s="464" t="n"/>
      <c r="AO19" s="476" t="n"/>
      <c r="AP19" s="463" t="n"/>
      <c r="AQ19" s="463" t="n"/>
      <c r="AR19" s="464" t="n"/>
      <c r="AS19" s="476">
        <f>SUM(AO19*AB19)</f>
        <v/>
      </c>
      <c r="AT19" s="463" t="n"/>
      <c r="AU19" s="463" t="n"/>
      <c r="AV19" s="463" t="n"/>
      <c r="AW19" s="464" t="n"/>
      <c r="AX19" s="476" t="n"/>
      <c r="AY19" s="463" t="n"/>
      <c r="AZ19" s="463" t="n"/>
      <c r="BA19" s="463" t="n"/>
      <c r="BB19" s="464" t="n"/>
    </row>
    <row r="20" ht="22.5" customHeight="1" s="337">
      <c r="A20" s="477" t="n"/>
      <c r="B20" s="427" t="n"/>
      <c r="C20" s="427" t="n"/>
      <c r="D20" s="428" t="n"/>
      <c r="E20" s="62" t="n"/>
      <c r="F20" s="427" t="n"/>
      <c r="G20" s="427" t="n"/>
      <c r="H20" s="427" t="n"/>
      <c r="I20" s="427" t="n"/>
      <c r="J20" s="427" t="n"/>
      <c r="K20" s="427" t="n"/>
      <c r="L20" s="428" t="n"/>
      <c r="M20" s="62" t="n"/>
      <c r="N20" s="427" t="n"/>
      <c r="O20" s="427" t="n"/>
      <c r="P20" s="427" t="n"/>
      <c r="Q20" s="427" t="n"/>
      <c r="R20" s="427" t="n"/>
      <c r="S20" s="427" t="n"/>
      <c r="T20" s="428" t="n"/>
      <c r="U20" s="62" t="n"/>
      <c r="V20" s="427" t="n"/>
      <c r="W20" s="428" t="n"/>
      <c r="X20" s="62" t="n"/>
      <c r="Y20" s="427" t="n"/>
      <c r="Z20" s="427" t="n"/>
      <c r="AA20" s="428" t="n"/>
      <c r="AB20" s="56" t="n"/>
      <c r="AC20" s="463" t="n"/>
      <c r="AD20" s="463" t="n"/>
      <c r="AE20" s="55" t="n"/>
      <c r="AF20" s="476" t="n"/>
      <c r="AG20" s="463" t="n"/>
      <c r="AH20" s="463" t="n"/>
      <c r="AI20" s="464" t="n"/>
      <c r="AJ20" s="476">
        <f>SUM(AF20*AB20)</f>
        <v/>
      </c>
      <c r="AK20" s="463" t="n"/>
      <c r="AL20" s="463" t="n"/>
      <c r="AM20" s="463" t="n"/>
      <c r="AN20" s="464" t="n"/>
      <c r="AO20" s="476" t="n"/>
      <c r="AP20" s="463" t="n"/>
      <c r="AQ20" s="463" t="n"/>
      <c r="AR20" s="464" t="n"/>
      <c r="AS20" s="476">
        <f>SUM(AO20*AB20)</f>
        <v/>
      </c>
      <c r="AT20" s="463" t="n"/>
      <c r="AU20" s="463" t="n"/>
      <c r="AV20" s="463" t="n"/>
      <c r="AW20" s="464" t="n"/>
      <c r="AX20" s="476" t="n"/>
      <c r="AY20" s="463" t="n"/>
      <c r="AZ20" s="463" t="n"/>
      <c r="BA20" s="463" t="n"/>
      <c r="BB20" s="464" t="n"/>
    </row>
    <row r="21" ht="22.5" customHeight="1" s="337">
      <c r="A21" s="477" t="n"/>
      <c r="B21" s="427" t="n"/>
      <c r="C21" s="427" t="n"/>
      <c r="D21" s="428" t="n"/>
      <c r="E21" s="62" t="n"/>
      <c r="F21" s="427" t="n"/>
      <c r="G21" s="427" t="n"/>
      <c r="H21" s="427" t="n"/>
      <c r="I21" s="427" t="n"/>
      <c r="J21" s="427" t="n"/>
      <c r="K21" s="427" t="n"/>
      <c r="L21" s="428" t="n"/>
      <c r="M21" s="62" t="n"/>
      <c r="N21" s="427" t="n"/>
      <c r="O21" s="427" t="n"/>
      <c r="P21" s="427" t="n"/>
      <c r="Q21" s="427" t="n"/>
      <c r="R21" s="427" t="n"/>
      <c r="S21" s="427" t="n"/>
      <c r="T21" s="428" t="n"/>
      <c r="U21" s="62" t="n"/>
      <c r="V21" s="427" t="n"/>
      <c r="W21" s="428" t="n"/>
      <c r="X21" s="62" t="n"/>
      <c r="Y21" s="427" t="n"/>
      <c r="Z21" s="427" t="n"/>
      <c r="AA21" s="428" t="n"/>
      <c r="AB21" s="56" t="n"/>
      <c r="AC21" s="463" t="n"/>
      <c r="AD21" s="463" t="n"/>
      <c r="AE21" s="55" t="n"/>
      <c r="AF21" s="476" t="n"/>
      <c r="AG21" s="463" t="n"/>
      <c r="AH21" s="463" t="n"/>
      <c r="AI21" s="464" t="n"/>
      <c r="AJ21" s="476">
        <f>SUM(AF21*AB21)</f>
        <v/>
      </c>
      <c r="AK21" s="463" t="n"/>
      <c r="AL21" s="463" t="n"/>
      <c r="AM21" s="463" t="n"/>
      <c r="AN21" s="464" t="n"/>
      <c r="AO21" s="476" t="n"/>
      <c r="AP21" s="463" t="n"/>
      <c r="AQ21" s="463" t="n"/>
      <c r="AR21" s="464" t="n"/>
      <c r="AS21" s="476">
        <f>SUM(AO21*AB21)</f>
        <v/>
      </c>
      <c r="AT21" s="463" t="n"/>
      <c r="AU21" s="463" t="n"/>
      <c r="AV21" s="463" t="n"/>
      <c r="AW21" s="464" t="n"/>
      <c r="AX21" s="476" t="n"/>
      <c r="AY21" s="463" t="n"/>
      <c r="AZ21" s="463" t="n"/>
      <c r="BA21" s="463" t="n"/>
      <c r="BB21" s="464" t="n"/>
    </row>
    <row r="22" ht="22.5" customHeight="1" s="337">
      <c r="A22" s="477" t="n"/>
      <c r="B22" s="427" t="n"/>
      <c r="C22" s="427" t="n"/>
      <c r="D22" s="428" t="n"/>
      <c r="E22" s="62" t="n"/>
      <c r="F22" s="427" t="n"/>
      <c r="G22" s="427" t="n"/>
      <c r="H22" s="427" t="n"/>
      <c r="I22" s="427" t="n"/>
      <c r="J22" s="427" t="n"/>
      <c r="K22" s="427" t="n"/>
      <c r="L22" s="428" t="n"/>
      <c r="M22" s="62" t="n"/>
      <c r="N22" s="427" t="n"/>
      <c r="O22" s="427" t="n"/>
      <c r="P22" s="427" t="n"/>
      <c r="Q22" s="427" t="n"/>
      <c r="R22" s="427" t="n"/>
      <c r="S22" s="427" t="n"/>
      <c r="T22" s="428" t="n"/>
      <c r="U22" s="62" t="n"/>
      <c r="V22" s="427" t="n"/>
      <c r="W22" s="428" t="n"/>
      <c r="X22" s="62" t="n"/>
      <c r="Y22" s="427" t="n"/>
      <c r="Z22" s="427" t="n"/>
      <c r="AA22" s="428" t="n"/>
      <c r="AB22" s="56" t="n"/>
      <c r="AC22" s="463" t="n"/>
      <c r="AD22" s="463" t="n"/>
      <c r="AE22" s="55" t="n"/>
      <c r="AF22" s="476" t="n"/>
      <c r="AG22" s="463" t="n"/>
      <c r="AH22" s="463" t="n"/>
      <c r="AI22" s="464" t="n"/>
      <c r="AJ22" s="476">
        <f>SUM(AF22*AB22)</f>
        <v/>
      </c>
      <c r="AK22" s="463" t="n"/>
      <c r="AL22" s="463" t="n"/>
      <c r="AM22" s="463" t="n"/>
      <c r="AN22" s="464" t="n"/>
      <c r="AO22" s="476" t="n"/>
      <c r="AP22" s="463" t="n"/>
      <c r="AQ22" s="463" t="n"/>
      <c r="AR22" s="464" t="n"/>
      <c r="AS22" s="476">
        <f>SUM(AO22*AB22)</f>
        <v/>
      </c>
      <c r="AT22" s="463" t="n"/>
      <c r="AU22" s="463" t="n"/>
      <c r="AV22" s="463" t="n"/>
      <c r="AW22" s="464" t="n"/>
      <c r="AX22" s="476" t="n"/>
      <c r="AY22" s="463" t="n"/>
      <c r="AZ22" s="463" t="n"/>
      <c r="BA22" s="463" t="n"/>
      <c r="BB22" s="464" t="n"/>
    </row>
    <row r="23" ht="22.5" customHeight="1" s="337">
      <c r="A23" s="477" t="n"/>
      <c r="B23" s="427" t="n"/>
      <c r="C23" s="427" t="n"/>
      <c r="D23" s="428" t="n"/>
      <c r="E23" s="62" t="n"/>
      <c r="F23" s="427" t="n"/>
      <c r="G23" s="427" t="n"/>
      <c r="H23" s="427" t="n"/>
      <c r="I23" s="427" t="n"/>
      <c r="J23" s="427" t="n"/>
      <c r="K23" s="427" t="n"/>
      <c r="L23" s="428" t="n"/>
      <c r="M23" s="62" t="n"/>
      <c r="N23" s="427" t="n"/>
      <c r="O23" s="427" t="n"/>
      <c r="P23" s="427" t="n"/>
      <c r="Q23" s="427" t="n"/>
      <c r="R23" s="427" t="n"/>
      <c r="S23" s="427" t="n"/>
      <c r="T23" s="428" t="n"/>
      <c r="U23" s="62" t="n"/>
      <c r="V23" s="427" t="n"/>
      <c r="W23" s="428" t="n"/>
      <c r="X23" s="62" t="n"/>
      <c r="Y23" s="427" t="n"/>
      <c r="Z23" s="427" t="n"/>
      <c r="AA23" s="428" t="n"/>
      <c r="AB23" s="56" t="n"/>
      <c r="AC23" s="463" t="n"/>
      <c r="AD23" s="463" t="n"/>
      <c r="AE23" s="55" t="n"/>
      <c r="AF23" s="476" t="n"/>
      <c r="AG23" s="463" t="n"/>
      <c r="AH23" s="463" t="n"/>
      <c r="AI23" s="464" t="n"/>
      <c r="AJ23" s="476">
        <f>SUM(AF23*AB23)</f>
        <v/>
      </c>
      <c r="AK23" s="463" t="n"/>
      <c r="AL23" s="463" t="n"/>
      <c r="AM23" s="463" t="n"/>
      <c r="AN23" s="464" t="n"/>
      <c r="AO23" s="476" t="n"/>
      <c r="AP23" s="463" t="n"/>
      <c r="AQ23" s="463" t="n"/>
      <c r="AR23" s="464" t="n"/>
      <c r="AS23" s="476">
        <f>SUM(AO23*AB23)</f>
        <v/>
      </c>
      <c r="AT23" s="463" t="n"/>
      <c r="AU23" s="463" t="n"/>
      <c r="AV23" s="463" t="n"/>
      <c r="AW23" s="464" t="n"/>
      <c r="AX23" s="476" t="n"/>
      <c r="AY23" s="463" t="n"/>
      <c r="AZ23" s="463" t="n"/>
      <c r="BA23" s="463" t="n"/>
      <c r="BB23" s="464" t="n"/>
    </row>
    <row r="24" ht="22.5" customHeight="1" s="337">
      <c r="A24" s="477" t="n"/>
      <c r="B24" s="427" t="n"/>
      <c r="C24" s="427" t="n"/>
      <c r="D24" s="428" t="n"/>
      <c r="E24" s="62" t="n"/>
      <c r="F24" s="427" t="n"/>
      <c r="G24" s="427" t="n"/>
      <c r="H24" s="427" t="n"/>
      <c r="I24" s="427" t="n"/>
      <c r="J24" s="427" t="n"/>
      <c r="K24" s="427" t="n"/>
      <c r="L24" s="428" t="n"/>
      <c r="M24" s="62" t="n"/>
      <c r="N24" s="427" t="n"/>
      <c r="O24" s="427" t="n"/>
      <c r="P24" s="427" t="n"/>
      <c r="Q24" s="427" t="n"/>
      <c r="R24" s="427" t="n"/>
      <c r="S24" s="427" t="n"/>
      <c r="T24" s="428" t="n"/>
      <c r="U24" s="62" t="n"/>
      <c r="V24" s="427" t="n"/>
      <c r="W24" s="428" t="n"/>
      <c r="X24" s="62" t="n"/>
      <c r="Y24" s="427" t="n"/>
      <c r="Z24" s="427" t="n"/>
      <c r="AA24" s="428" t="n"/>
      <c r="AB24" s="56" t="n"/>
      <c r="AC24" s="463" t="n"/>
      <c r="AD24" s="463" t="n"/>
      <c r="AE24" s="55" t="n"/>
      <c r="AF24" s="476" t="n"/>
      <c r="AG24" s="463" t="n"/>
      <c r="AH24" s="463" t="n"/>
      <c r="AI24" s="464" t="n"/>
      <c r="AJ24" s="476">
        <f>SUM(AF24*AB24)</f>
        <v/>
      </c>
      <c r="AK24" s="463" t="n"/>
      <c r="AL24" s="463" t="n"/>
      <c r="AM24" s="463" t="n"/>
      <c r="AN24" s="464" t="n"/>
      <c r="AO24" s="476" t="n"/>
      <c r="AP24" s="463" t="n"/>
      <c r="AQ24" s="463" t="n"/>
      <c r="AR24" s="464" t="n"/>
      <c r="AS24" s="476">
        <f>SUM(AO24*AB24)</f>
        <v/>
      </c>
      <c r="AT24" s="463" t="n"/>
      <c r="AU24" s="463" t="n"/>
      <c r="AV24" s="463" t="n"/>
      <c r="AW24" s="464" t="n"/>
      <c r="AX24" s="476" t="n"/>
      <c r="AY24" s="463" t="n"/>
      <c r="AZ24" s="463" t="n"/>
      <c r="BA24" s="463" t="n"/>
      <c r="BB24" s="464" t="n"/>
    </row>
    <row r="25" ht="22.5" customHeight="1" s="337">
      <c r="A25" s="477" t="n"/>
      <c r="B25" s="427" t="n"/>
      <c r="C25" s="427" t="n"/>
      <c r="D25" s="428" t="n"/>
      <c r="E25" s="62" t="n"/>
      <c r="F25" s="427" t="n"/>
      <c r="G25" s="427" t="n"/>
      <c r="H25" s="427" t="n"/>
      <c r="I25" s="427" t="n"/>
      <c r="J25" s="427" t="n"/>
      <c r="K25" s="427" t="n"/>
      <c r="L25" s="428" t="n"/>
      <c r="M25" s="62" t="n"/>
      <c r="N25" s="427" t="n"/>
      <c r="O25" s="427" t="n"/>
      <c r="P25" s="427" t="n"/>
      <c r="Q25" s="427" t="n"/>
      <c r="R25" s="427" t="n"/>
      <c r="S25" s="427" t="n"/>
      <c r="T25" s="428" t="n"/>
      <c r="U25" s="62" t="n"/>
      <c r="V25" s="427" t="n"/>
      <c r="W25" s="428" t="n"/>
      <c r="X25" s="62" t="n"/>
      <c r="Y25" s="427" t="n"/>
      <c r="Z25" s="427" t="n"/>
      <c r="AA25" s="428" t="n"/>
      <c r="AB25" s="56" t="n"/>
      <c r="AC25" s="463" t="n"/>
      <c r="AD25" s="463" t="n"/>
      <c r="AE25" s="55" t="n"/>
      <c r="AF25" s="476" t="n"/>
      <c r="AG25" s="463" t="n"/>
      <c r="AH25" s="463" t="n"/>
      <c r="AI25" s="464" t="n"/>
      <c r="AJ25" s="476">
        <f>SUM(AF25*AB25)</f>
        <v/>
      </c>
      <c r="AK25" s="463" t="n"/>
      <c r="AL25" s="463" t="n"/>
      <c r="AM25" s="463" t="n"/>
      <c r="AN25" s="464" t="n"/>
      <c r="AO25" s="476" t="n"/>
      <c r="AP25" s="463" t="n"/>
      <c r="AQ25" s="463" t="n"/>
      <c r="AR25" s="464" t="n"/>
      <c r="AS25" s="476">
        <f>SUM(AO25*AB25)</f>
        <v/>
      </c>
      <c r="AT25" s="463" t="n"/>
      <c r="AU25" s="463" t="n"/>
      <c r="AV25" s="463" t="n"/>
      <c r="AW25" s="464" t="n"/>
      <c r="AX25" s="476" t="n"/>
      <c r="AY25" s="463" t="n"/>
      <c r="AZ25" s="463" t="n"/>
      <c r="BA25" s="463" t="n"/>
      <c r="BB25" s="464" t="n"/>
    </row>
    <row r="26" ht="22.5" customHeight="1" s="337">
      <c r="U26" s="62" t="inlineStr">
        <is>
          <t>持 出 者</t>
        </is>
      </c>
      <c r="V26" s="427" t="n"/>
      <c r="W26" s="427" t="n"/>
      <c r="X26" s="427" t="n"/>
      <c r="Y26" s="428" t="n"/>
      <c r="Z26" s="62" t="n"/>
      <c r="AA26" s="427" t="n"/>
      <c r="AB26" s="427" t="n"/>
      <c r="AC26" s="427" t="n"/>
      <c r="AD26" s="427" t="n"/>
      <c r="AE26" s="428" t="n"/>
      <c r="AF26" s="62" t="inlineStr">
        <is>
          <t>仕 入 合 計</t>
        </is>
      </c>
      <c r="AG26" s="427" t="n"/>
      <c r="AH26" s="427" t="n"/>
      <c r="AI26" s="428" t="n"/>
      <c r="AJ26" s="478" t="n"/>
      <c r="AK26" s="427" t="n"/>
      <c r="AL26" s="427" t="n"/>
      <c r="AM26" s="427" t="n"/>
      <c r="AN26" s="428" t="n"/>
      <c r="AO26" s="62" t="inlineStr">
        <is>
          <t>売 値 合 計</t>
        </is>
      </c>
      <c r="AP26" s="427" t="n"/>
      <c r="AQ26" s="427" t="n"/>
      <c r="AR26" s="428" t="n"/>
      <c r="AS26" s="478" t="n"/>
      <c r="AT26" s="427" t="n"/>
      <c r="AU26" s="427" t="n"/>
      <c r="AV26" s="427" t="n"/>
      <c r="AW26" s="428" t="n"/>
      <c r="AX26" s="478" t="n"/>
      <c r="AY26" s="427" t="n"/>
      <c r="AZ26" s="427" t="n"/>
      <c r="BA26" s="427" t="n"/>
      <c r="BB26" s="428" t="n"/>
    </row>
    <row r="27"/>
    <row r="28">
      <c r="D28" s="1" t="inlineStr">
        <is>
          <t>✓</t>
        </is>
      </c>
      <c r="H28" s="1" t="inlineStr">
        <is>
          <t>ﾓﾉﾀﾛｳ</t>
        </is>
      </c>
    </row>
    <row r="29">
      <c r="H29" s="1" t="inlineStr">
        <is>
          <t>ｱﾏｿﾞﾝ</t>
        </is>
      </c>
    </row>
    <row r="30">
      <c r="H30" s="1" t="inlineStr">
        <is>
          <t>ﾊｰﾄﾞｽﾄｯｸ</t>
        </is>
      </c>
    </row>
    <row r="31">
      <c r="H31" s="1" t="inlineStr">
        <is>
          <t>JRC</t>
        </is>
      </c>
    </row>
    <row r="32">
      <c r="H32" s="51" t="inlineStr">
        <is>
          <t>神田ｴﾚｸﾄﾛﾆｸｽ</t>
        </is>
      </c>
    </row>
    <row r="33">
      <c r="H33" s="51" t="inlineStr">
        <is>
          <t>大野電子</t>
        </is>
      </c>
    </row>
    <row r="34">
      <c r="H34" s="51" t="inlineStr">
        <is>
          <t>緑星社</t>
        </is>
      </c>
    </row>
    <row r="35">
      <c r="H35" s="51" t="inlineStr">
        <is>
          <t>三菱電機特機ｼｽﾃﾑ㈱</t>
        </is>
      </c>
    </row>
    <row r="36">
      <c r="H36" s="1" t="inlineStr">
        <is>
          <t>ｴﾝﾁｮｳ</t>
        </is>
      </c>
    </row>
    <row r="37">
      <c r="H37" s="1" t="inlineStr">
        <is>
          <t>RS</t>
        </is>
      </c>
    </row>
    <row r="38">
      <c r="H38" s="1" t="inlineStr">
        <is>
          <t>ﾏﾙﾂ</t>
        </is>
      </c>
    </row>
    <row r="39">
      <c r="H39" s="1" t="inlineStr">
        <is>
          <t>ｴﾃﾞｨｵﾝ</t>
        </is>
      </c>
    </row>
    <row r="40">
      <c r="H40" s="1" t="inlineStr">
        <is>
          <t>K'sﾃﾞﾝｷ</t>
        </is>
      </c>
    </row>
    <row r="41">
      <c r="H41" s="1" t="inlineStr">
        <is>
          <t>ｶｰﾏ</t>
        </is>
      </c>
    </row>
  </sheetData>
  <mergeCells count="272">
    <mergeCell ref="A5:D5"/>
    <mergeCell ref="E18:L18"/>
    <mergeCell ref="AB25:AD25"/>
    <mergeCell ref="AF23:AI23"/>
    <mergeCell ref="AO4:AR4"/>
    <mergeCell ref="A20:D20"/>
    <mergeCell ref="AB9:AD9"/>
    <mergeCell ref="AS20:AW20"/>
    <mergeCell ref="AF7:AI7"/>
    <mergeCell ref="X10:AA10"/>
    <mergeCell ref="AX10:BB10"/>
    <mergeCell ref="U13:W13"/>
    <mergeCell ref="U7:W7"/>
    <mergeCell ref="X25:AA25"/>
    <mergeCell ref="M9:T9"/>
    <mergeCell ref="AO6:AR6"/>
    <mergeCell ref="A13:D13"/>
    <mergeCell ref="AS4:AW4"/>
    <mergeCell ref="AB11:AD11"/>
    <mergeCell ref="X9:AA9"/>
    <mergeCell ref="AJ8:AN8"/>
    <mergeCell ref="AF22:AI22"/>
    <mergeCell ref="AS22:AW22"/>
    <mergeCell ref="M20:T20"/>
    <mergeCell ref="M2:T2"/>
    <mergeCell ref="AF18:AI18"/>
    <mergeCell ref="M11:T11"/>
    <mergeCell ref="AS6:AW6"/>
    <mergeCell ref="AS12:AW12"/>
    <mergeCell ref="A15:D15"/>
    <mergeCell ref="U18:W18"/>
    <mergeCell ref="X2:AA2"/>
    <mergeCell ref="A24:D24"/>
    <mergeCell ref="X11:AA11"/>
    <mergeCell ref="U8:W8"/>
    <mergeCell ref="AJ10:AN10"/>
    <mergeCell ref="M22:T22"/>
    <mergeCell ref="AJ18:AN18"/>
    <mergeCell ref="AX17:BB17"/>
    <mergeCell ref="AO23:AR23"/>
    <mergeCell ref="M6:T6"/>
    <mergeCell ref="AO13:AR13"/>
    <mergeCell ref="E6:L6"/>
    <mergeCell ref="U10:W10"/>
    <mergeCell ref="M15:T15"/>
    <mergeCell ref="E11:L11"/>
    <mergeCell ref="A7:D7"/>
    <mergeCell ref="AS7:AW7"/>
    <mergeCell ref="A16:D16"/>
    <mergeCell ref="AB6:AD6"/>
    <mergeCell ref="AO15:AR15"/>
    <mergeCell ref="AB15:AD15"/>
    <mergeCell ref="AX3:BB3"/>
    <mergeCell ref="AO24:AR24"/>
    <mergeCell ref="AB24:AD24"/>
    <mergeCell ref="AO18:AR18"/>
    <mergeCell ref="AJ20:AN20"/>
    <mergeCell ref="M14:T14"/>
    <mergeCell ref="X6:AA6"/>
    <mergeCell ref="M23:T23"/>
    <mergeCell ref="AF15:AI15"/>
    <mergeCell ref="AX5:BB5"/>
    <mergeCell ref="AX20:BB20"/>
    <mergeCell ref="A2:D2"/>
    <mergeCell ref="AS18:AW18"/>
    <mergeCell ref="AX14:BB14"/>
    <mergeCell ref="AF12:AI12"/>
    <mergeCell ref="X15:AA15"/>
    <mergeCell ref="U17:W17"/>
    <mergeCell ref="AJ22:AN22"/>
    <mergeCell ref="M4:T4"/>
    <mergeCell ref="U11:W11"/>
    <mergeCell ref="AO10:AR10"/>
    <mergeCell ref="A17:D17"/>
    <mergeCell ref="AX4:BB4"/>
    <mergeCell ref="A22:D22"/>
    <mergeCell ref="AS26:AW26"/>
    <mergeCell ref="AJ12:AN12"/>
    <mergeCell ref="AF26:AI26"/>
    <mergeCell ref="AJ21:AN21"/>
    <mergeCell ref="E24:L24"/>
    <mergeCell ref="AO9:AR9"/>
    <mergeCell ref="AX6:BB6"/>
    <mergeCell ref="AS10:AW10"/>
    <mergeCell ref="A19:D19"/>
    <mergeCell ref="U3:W3"/>
    <mergeCell ref="E8:L8"/>
    <mergeCell ref="U12:W12"/>
    <mergeCell ref="AJ14:AN14"/>
    <mergeCell ref="AS24:AW24"/>
    <mergeCell ref="E17:L17"/>
    <mergeCell ref="U21:W21"/>
    <mergeCell ref="A9:D9"/>
    <mergeCell ref="AJ23:AN23"/>
    <mergeCell ref="AS9:AW9"/>
    <mergeCell ref="AJ7:AN7"/>
    <mergeCell ref="AB17:AD17"/>
    <mergeCell ref="E10:L10"/>
    <mergeCell ref="E19:L19"/>
    <mergeCell ref="A11:D11"/>
    <mergeCell ref="AF24:AI24"/>
    <mergeCell ref="E9:L9"/>
    <mergeCell ref="X8:AA8"/>
    <mergeCell ref="AB19:AD19"/>
    <mergeCell ref="M25:T25"/>
    <mergeCell ref="X17:AA17"/>
    <mergeCell ref="AX16:BB16"/>
    <mergeCell ref="AX25:BB25"/>
    <mergeCell ref="AB3:AD3"/>
    <mergeCell ref="E2:L2"/>
    <mergeCell ref="AO12:AR12"/>
    <mergeCell ref="AF16:AI16"/>
    <mergeCell ref="X19:AA19"/>
    <mergeCell ref="AX18:BB18"/>
    <mergeCell ref="M3:T3"/>
    <mergeCell ref="AS23:AW23"/>
    <mergeCell ref="AF25:AI25"/>
    <mergeCell ref="M17:T17"/>
    <mergeCell ref="AJ26:AN26"/>
    <mergeCell ref="AS13:AW13"/>
    <mergeCell ref="AB20:AD20"/>
    <mergeCell ref="AX8:BB8"/>
    <mergeCell ref="X3:AA3"/>
    <mergeCell ref="AB14:AD14"/>
    <mergeCell ref="AO14:AR14"/>
    <mergeCell ref="AB5:AD5"/>
    <mergeCell ref="AF9:AI9"/>
    <mergeCell ref="AJ16:AN16"/>
    <mergeCell ref="AJ25:AN25"/>
    <mergeCell ref="AB4:AD4"/>
    <mergeCell ref="M19:T19"/>
    <mergeCell ref="E22:L22"/>
    <mergeCell ref="AS15:AW15"/>
    <mergeCell ref="AF20:AI20"/>
    <mergeCell ref="X5:AA5"/>
    <mergeCell ref="AF2:AI2"/>
    <mergeCell ref="AF14:AI14"/>
    <mergeCell ref="U26:Y26"/>
    <mergeCell ref="X20:AA20"/>
    <mergeCell ref="AJ9:AN9"/>
    <mergeCell ref="U2:W2"/>
    <mergeCell ref="AF11:AI11"/>
    <mergeCell ref="E12:L12"/>
    <mergeCell ref="X14:AA14"/>
    <mergeCell ref="U16:W16"/>
    <mergeCell ref="A8:D8"/>
    <mergeCell ref="E21:L21"/>
    <mergeCell ref="U25:W25"/>
    <mergeCell ref="AO26:AR26"/>
    <mergeCell ref="X4:AA4"/>
    <mergeCell ref="AJ11:AN11"/>
    <mergeCell ref="E14:L14"/>
    <mergeCell ref="AO25:AR25"/>
    <mergeCell ref="A10:D10"/>
    <mergeCell ref="E23:L23"/>
    <mergeCell ref="AX22:BB22"/>
    <mergeCell ref="E4:L4"/>
    <mergeCell ref="AF13:AI13"/>
    <mergeCell ref="X21:AA21"/>
    <mergeCell ref="AX21:BB21"/>
    <mergeCell ref="AS25:AW25"/>
    <mergeCell ref="AO8:AR8"/>
    <mergeCell ref="AB8:AD8"/>
    <mergeCell ref="AO2:AR2"/>
    <mergeCell ref="M10:T10"/>
    <mergeCell ref="AO17:AR17"/>
    <mergeCell ref="AO11:AR11"/>
    <mergeCell ref="AJ13:AN13"/>
    <mergeCell ref="M13:T13"/>
    <mergeCell ref="U20:W20"/>
    <mergeCell ref="X23:AA23"/>
    <mergeCell ref="M7:T7"/>
    <mergeCell ref="U14:W14"/>
    <mergeCell ref="M16:T16"/>
    <mergeCell ref="U23:W23"/>
    <mergeCell ref="X13:AA13"/>
    <mergeCell ref="AX13:BB13"/>
    <mergeCell ref="AS17:AW17"/>
    <mergeCell ref="AX7:BB7"/>
    <mergeCell ref="AJ6:AN6"/>
    <mergeCell ref="AS11:AW11"/>
    <mergeCell ref="AB18:AD18"/>
    <mergeCell ref="X16:AA16"/>
    <mergeCell ref="U4:W4"/>
    <mergeCell ref="AJ15:AN15"/>
    <mergeCell ref="AB10:AD10"/>
    <mergeCell ref="AO3:AR3"/>
    <mergeCell ref="U22:W22"/>
    <mergeCell ref="AJ24:AN24"/>
    <mergeCell ref="AF10:AI10"/>
    <mergeCell ref="M18:T18"/>
    <mergeCell ref="AS19:AW19"/>
    <mergeCell ref="U6:W6"/>
    <mergeCell ref="M8:T8"/>
    <mergeCell ref="AF6:AI6"/>
    <mergeCell ref="U15:W15"/>
    <mergeCell ref="X18:AA18"/>
    <mergeCell ref="AS3:AW3"/>
    <mergeCell ref="A12:D12"/>
    <mergeCell ref="E25:L25"/>
    <mergeCell ref="AX24:BB24"/>
    <mergeCell ref="A21:D21"/>
    <mergeCell ref="Z26:AE26"/>
    <mergeCell ref="AO20:AR20"/>
    <mergeCell ref="AB2:AE2"/>
    <mergeCell ref="AS5:AW5"/>
    <mergeCell ref="A14:D14"/>
    <mergeCell ref="AF5:AI5"/>
    <mergeCell ref="AX26:BB26"/>
    <mergeCell ref="AS14:AW14"/>
    <mergeCell ref="A23:D23"/>
    <mergeCell ref="E3:L3"/>
    <mergeCell ref="AO22:AR22"/>
    <mergeCell ref="AF8:AI8"/>
    <mergeCell ref="A4:D4"/>
    <mergeCell ref="AB22:AD22"/>
    <mergeCell ref="AF17:AI17"/>
    <mergeCell ref="A1:BB1"/>
    <mergeCell ref="AX19:BB19"/>
    <mergeCell ref="AJ2:AN2"/>
    <mergeCell ref="M5:T5"/>
    <mergeCell ref="AB12:AD12"/>
    <mergeCell ref="E5:L5"/>
    <mergeCell ref="AO21:AR21"/>
    <mergeCell ref="AB21:AD21"/>
    <mergeCell ref="AX9:BB9"/>
    <mergeCell ref="AJ17:AN17"/>
    <mergeCell ref="AF19:AI19"/>
    <mergeCell ref="X22:AA22"/>
    <mergeCell ref="E20:L20"/>
    <mergeCell ref="U24:W24"/>
    <mergeCell ref="AX2:BB2"/>
    <mergeCell ref="AF3:AI3"/>
    <mergeCell ref="X12:AA12"/>
    <mergeCell ref="AS21:AW21"/>
    <mergeCell ref="AX11:BB11"/>
    <mergeCell ref="AB23:AD23"/>
    <mergeCell ref="E13:L13"/>
    <mergeCell ref="AJ19:AN19"/>
    <mergeCell ref="AB13:AD13"/>
    <mergeCell ref="AO7:AR7"/>
    <mergeCell ref="AB7:AD7"/>
    <mergeCell ref="AO16:AR16"/>
    <mergeCell ref="AJ3:AN3"/>
    <mergeCell ref="U5:W5"/>
    <mergeCell ref="A6:D6"/>
    <mergeCell ref="M12:T12"/>
    <mergeCell ref="E15:L15"/>
    <mergeCell ref="U19:W19"/>
    <mergeCell ref="AS8:AW8"/>
    <mergeCell ref="M21:T21"/>
    <mergeCell ref="AS2:AW2"/>
    <mergeCell ref="AX12:BB12"/>
    <mergeCell ref="AF4:AI4"/>
    <mergeCell ref="X7:AA7"/>
    <mergeCell ref="AS16:AW16"/>
    <mergeCell ref="AJ5:AN5"/>
    <mergeCell ref="U9:W9"/>
    <mergeCell ref="A25:D25"/>
    <mergeCell ref="AO19:AR19"/>
    <mergeCell ref="A18:D18"/>
    <mergeCell ref="AJ4:AN4"/>
    <mergeCell ref="E7:L7"/>
    <mergeCell ref="M24:T24"/>
    <mergeCell ref="A3:D3"/>
    <mergeCell ref="E16:L16"/>
    <mergeCell ref="AX15:BB15"/>
    <mergeCell ref="AF21:AI21"/>
    <mergeCell ref="X24:AA24"/>
    <mergeCell ref="AX23:BB23"/>
    <mergeCell ref="AO5:AR5"/>
    <mergeCell ref="AB16:AD16"/>
  </mergeCells>
  <dataValidations count="2">
    <dataValidation sqref="X3:AA25" showDropDown="0" showInputMessage="1" showErrorMessage="1" allowBlank="1" type="list">
      <formula1>$H$28:$H$42</formula1>
    </dataValidation>
    <dataValidation sqref="U3:W25" showDropDown="0" showInputMessage="1" showErrorMessage="1" allowBlank="1" type="list">
      <formula1>$D$28</formula1>
    </dataValidation>
  </dataValidations>
  <pageMargins left="0.43" right="0.23" top="0.39" bottom="0.32" header="0.3149606299212598" footer="0.3149606299212598"/>
  <pageSetup orientation="landscape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41"/>
  <sheetViews>
    <sheetView showZeros="0" zoomScaleNormal="100" workbookViewId="0">
      <selection activeCell="A3" sqref="A3:D3"/>
    </sheetView>
  </sheetViews>
  <sheetFormatPr baseColWidth="8" defaultRowHeight="18.75"/>
  <cols>
    <col width="2.625" customWidth="1" style="1" min="1" max="100"/>
    <col width="9" customWidth="1" style="1" min="101" max="16384"/>
  </cols>
  <sheetData>
    <row r="1">
      <c r="A1" s="67" t="inlineStr">
        <is>
          <t>材　　　　料　　　　持　　　　出　　　　表</t>
        </is>
      </c>
      <c r="B1" s="427" t="n"/>
      <c r="C1" s="427" t="n"/>
      <c r="D1" s="427" t="n"/>
      <c r="E1" s="427" t="n"/>
      <c r="F1" s="427" t="n"/>
      <c r="G1" s="427" t="n"/>
      <c r="H1" s="427" t="n"/>
      <c r="I1" s="427" t="n"/>
      <c r="J1" s="427" t="n"/>
      <c r="K1" s="427" t="n"/>
      <c r="L1" s="427" t="n"/>
      <c r="M1" s="427" t="n"/>
      <c r="N1" s="427" t="n"/>
      <c r="O1" s="427" t="n"/>
      <c r="P1" s="427" t="n"/>
      <c r="Q1" s="427" t="n"/>
      <c r="R1" s="427" t="n"/>
      <c r="S1" s="427" t="n"/>
      <c r="T1" s="427" t="n"/>
      <c r="U1" s="427" t="n"/>
      <c r="V1" s="427" t="n"/>
      <c r="W1" s="427" t="n"/>
      <c r="X1" s="427" t="n"/>
      <c r="Y1" s="427" t="n"/>
      <c r="Z1" s="427" t="n"/>
      <c r="AA1" s="427" t="n"/>
      <c r="AB1" s="427" t="n"/>
      <c r="AC1" s="427" t="n"/>
      <c r="AD1" s="427" t="n"/>
      <c r="AE1" s="427" t="n"/>
      <c r="AF1" s="427" t="n"/>
      <c r="AG1" s="427" t="n"/>
      <c r="AH1" s="427" t="n"/>
      <c r="AI1" s="427" t="n"/>
      <c r="AJ1" s="427" t="n"/>
      <c r="AK1" s="427" t="n"/>
      <c r="AL1" s="427" t="n"/>
      <c r="AM1" s="427" t="n"/>
      <c r="AN1" s="427" t="n"/>
      <c r="AO1" s="427" t="n"/>
      <c r="AP1" s="427" t="n"/>
      <c r="AQ1" s="427" t="n"/>
      <c r="AR1" s="427" t="n"/>
      <c r="AS1" s="427" t="n"/>
      <c r="AT1" s="427" t="n"/>
      <c r="AU1" s="427" t="n"/>
      <c r="AV1" s="427" t="n"/>
      <c r="AW1" s="427" t="n"/>
      <c r="AX1" s="427" t="n"/>
      <c r="AY1" s="427" t="n"/>
      <c r="AZ1" s="427" t="n"/>
      <c r="BA1" s="427" t="n"/>
      <c r="BB1" s="428" t="n"/>
    </row>
    <row r="2">
      <c r="A2" s="62" t="inlineStr">
        <is>
          <t>月 / 日</t>
        </is>
      </c>
      <c r="B2" s="427" t="n"/>
      <c r="C2" s="427" t="n"/>
      <c r="D2" s="428" t="n"/>
      <c r="E2" s="62" t="inlineStr">
        <is>
          <t>品     名</t>
        </is>
      </c>
      <c r="F2" s="427" t="n"/>
      <c r="G2" s="427" t="n"/>
      <c r="H2" s="427" t="n"/>
      <c r="I2" s="427" t="n"/>
      <c r="J2" s="427" t="n"/>
      <c r="K2" s="427" t="n"/>
      <c r="L2" s="428" t="n"/>
      <c r="M2" s="62" t="inlineStr">
        <is>
          <t>型     式</t>
        </is>
      </c>
      <c r="N2" s="427" t="n"/>
      <c r="O2" s="427" t="n"/>
      <c r="P2" s="427" t="n"/>
      <c r="Q2" s="427" t="n"/>
      <c r="R2" s="427" t="n"/>
      <c r="S2" s="427" t="n"/>
      <c r="T2" s="428" t="n"/>
      <c r="U2" s="62" t="inlineStr">
        <is>
          <t>在  庫</t>
        </is>
      </c>
      <c r="V2" s="427" t="n"/>
      <c r="W2" s="428" t="n"/>
      <c r="X2" s="62" t="inlineStr">
        <is>
          <t>仕 入 先</t>
        </is>
      </c>
      <c r="Y2" s="427" t="n"/>
      <c r="Z2" s="427" t="n"/>
      <c r="AA2" s="428" t="n"/>
      <c r="AB2" s="62" t="inlineStr">
        <is>
          <t>数  量</t>
        </is>
      </c>
      <c r="AC2" s="427" t="n"/>
      <c r="AD2" s="427" t="n"/>
      <c r="AE2" s="428" t="n"/>
      <c r="AF2" s="62" t="inlineStr">
        <is>
          <t>仕 入 単 価</t>
        </is>
      </c>
      <c r="AG2" s="427" t="n"/>
      <c r="AH2" s="427" t="n"/>
      <c r="AI2" s="428" t="n"/>
      <c r="AJ2" s="62" t="inlineStr">
        <is>
          <t>仕 入 合 計</t>
        </is>
      </c>
      <c r="AK2" s="427" t="n"/>
      <c r="AL2" s="427" t="n"/>
      <c r="AM2" s="427" t="n"/>
      <c r="AN2" s="428" t="n"/>
      <c r="AO2" s="62" t="inlineStr">
        <is>
          <t>売 値 単 価</t>
        </is>
      </c>
      <c r="AP2" s="427" t="n"/>
      <c r="AQ2" s="427" t="n"/>
      <c r="AR2" s="428" t="n"/>
      <c r="AS2" s="62" t="inlineStr">
        <is>
          <t>売 値 合 計</t>
        </is>
      </c>
      <c r="AT2" s="427" t="n"/>
      <c r="AU2" s="427" t="n"/>
      <c r="AV2" s="427" t="n"/>
      <c r="AW2" s="428" t="n"/>
      <c r="AX2" s="62" t="inlineStr">
        <is>
          <t>送   料</t>
        </is>
      </c>
      <c r="AY2" s="427" t="n"/>
      <c r="AZ2" s="427" t="n"/>
      <c r="BA2" s="427" t="n"/>
      <c r="BB2" s="428" t="n"/>
    </row>
    <row r="3" ht="22.5" customHeight="1" s="337">
      <c r="A3" s="477" t="n"/>
      <c r="B3" s="427" t="n"/>
      <c r="C3" s="427" t="n"/>
      <c r="D3" s="428" t="n"/>
      <c r="E3" s="62" t="n"/>
      <c r="F3" s="427" t="n"/>
      <c r="G3" s="427" t="n"/>
      <c r="H3" s="427" t="n"/>
      <c r="I3" s="427" t="n"/>
      <c r="J3" s="427" t="n"/>
      <c r="K3" s="427" t="n"/>
      <c r="L3" s="428" t="n"/>
      <c r="M3" s="62" t="n"/>
      <c r="N3" s="427" t="n"/>
      <c r="O3" s="427" t="n"/>
      <c r="P3" s="427" t="n"/>
      <c r="Q3" s="427" t="n"/>
      <c r="R3" s="427" t="n"/>
      <c r="S3" s="427" t="n"/>
      <c r="T3" s="428" t="n"/>
      <c r="U3" s="62" t="n"/>
      <c r="V3" s="427" t="n"/>
      <c r="W3" s="428" t="n"/>
      <c r="X3" s="62" t="n"/>
      <c r="Y3" s="427" t="n"/>
      <c r="Z3" s="427" t="n"/>
      <c r="AA3" s="428" t="n"/>
      <c r="AB3" s="56" t="n"/>
      <c r="AC3" s="463" t="n"/>
      <c r="AD3" s="463" t="n"/>
      <c r="AE3" s="55" t="n"/>
      <c r="AF3" s="476" t="n"/>
      <c r="AG3" s="463" t="n"/>
      <c r="AH3" s="463" t="n"/>
      <c r="AI3" s="464" t="n"/>
      <c r="AJ3" s="476">
        <f>SUM(AF3*AB3)</f>
        <v/>
      </c>
      <c r="AK3" s="463" t="n"/>
      <c r="AL3" s="463" t="n"/>
      <c r="AM3" s="463" t="n"/>
      <c r="AN3" s="464" t="n"/>
      <c r="AO3" s="476" t="n"/>
      <c r="AP3" s="463" t="n"/>
      <c r="AQ3" s="463" t="n"/>
      <c r="AR3" s="464" t="n"/>
      <c r="AS3" s="476">
        <f>SUM(AO3*AB3)</f>
        <v/>
      </c>
      <c r="AT3" s="463" t="n"/>
      <c r="AU3" s="463" t="n"/>
      <c r="AV3" s="463" t="n"/>
      <c r="AW3" s="464" t="n"/>
      <c r="AX3" s="476" t="n"/>
      <c r="AY3" s="463" t="n"/>
      <c r="AZ3" s="463" t="n"/>
      <c r="BA3" s="463" t="n"/>
      <c r="BB3" s="464" t="n"/>
    </row>
    <row r="4" ht="22.5" customHeight="1" s="337">
      <c r="A4" s="477" t="n"/>
      <c r="B4" s="427" t="n"/>
      <c r="C4" s="427" t="n"/>
      <c r="D4" s="428" t="n"/>
      <c r="E4" s="69" t="n"/>
      <c r="F4" s="427" t="n"/>
      <c r="G4" s="427" t="n"/>
      <c r="H4" s="427" t="n"/>
      <c r="I4" s="427" t="n"/>
      <c r="J4" s="427" t="n"/>
      <c r="K4" s="427" t="n"/>
      <c r="L4" s="428" t="n"/>
      <c r="M4" s="62" t="n"/>
      <c r="N4" s="427" t="n"/>
      <c r="O4" s="427" t="n"/>
      <c r="P4" s="427" t="n"/>
      <c r="Q4" s="427" t="n"/>
      <c r="R4" s="427" t="n"/>
      <c r="S4" s="427" t="n"/>
      <c r="T4" s="428" t="n"/>
      <c r="U4" s="62" t="n"/>
      <c r="V4" s="427" t="n"/>
      <c r="W4" s="428" t="n"/>
      <c r="X4" s="62" t="n"/>
      <c r="Y4" s="427" t="n"/>
      <c r="Z4" s="427" t="n"/>
      <c r="AA4" s="428" t="n"/>
      <c r="AB4" s="56" t="n"/>
      <c r="AC4" s="463" t="n"/>
      <c r="AD4" s="463" t="n"/>
      <c r="AE4" s="55" t="n"/>
      <c r="AF4" s="476" t="n"/>
      <c r="AG4" s="463" t="n"/>
      <c r="AH4" s="463" t="n"/>
      <c r="AI4" s="464" t="n"/>
      <c r="AJ4" s="476">
        <f>SUM(AF4*AB4)</f>
        <v/>
      </c>
      <c r="AK4" s="463" t="n"/>
      <c r="AL4" s="463" t="n"/>
      <c r="AM4" s="463" t="n"/>
      <c r="AN4" s="464" t="n"/>
      <c r="AO4" s="476" t="n"/>
      <c r="AP4" s="463" t="n"/>
      <c r="AQ4" s="463" t="n"/>
      <c r="AR4" s="464" t="n"/>
      <c r="AS4" s="476">
        <f>SUM(AO4*AB4)</f>
        <v/>
      </c>
      <c r="AT4" s="463" t="n"/>
      <c r="AU4" s="463" t="n"/>
      <c r="AV4" s="463" t="n"/>
      <c r="AW4" s="464" t="n"/>
      <c r="AX4" s="476" t="n"/>
      <c r="AY4" s="463" t="n"/>
      <c r="AZ4" s="463" t="n"/>
      <c r="BA4" s="463" t="n"/>
      <c r="BB4" s="464" t="n"/>
    </row>
    <row r="5" ht="22.5" customHeight="1" s="337">
      <c r="A5" s="477" t="n"/>
      <c r="B5" s="427" t="n"/>
      <c r="C5" s="427" t="n"/>
      <c r="D5" s="428" t="n"/>
      <c r="E5" s="69" t="n"/>
      <c r="F5" s="427" t="n"/>
      <c r="G5" s="427" t="n"/>
      <c r="H5" s="427" t="n"/>
      <c r="I5" s="427" t="n"/>
      <c r="J5" s="427" t="n"/>
      <c r="K5" s="427" t="n"/>
      <c r="L5" s="428" t="n"/>
      <c r="M5" s="62" t="n"/>
      <c r="N5" s="427" t="n"/>
      <c r="O5" s="427" t="n"/>
      <c r="P5" s="427" t="n"/>
      <c r="Q5" s="427" t="n"/>
      <c r="R5" s="427" t="n"/>
      <c r="S5" s="427" t="n"/>
      <c r="T5" s="428" t="n"/>
      <c r="U5" s="62" t="n"/>
      <c r="V5" s="427" t="n"/>
      <c r="W5" s="428" t="n"/>
      <c r="X5" s="62" t="n"/>
      <c r="Y5" s="427" t="n"/>
      <c r="Z5" s="427" t="n"/>
      <c r="AA5" s="428" t="n"/>
      <c r="AB5" s="56" t="n"/>
      <c r="AC5" s="463" t="n"/>
      <c r="AD5" s="463" t="n"/>
      <c r="AE5" s="55" t="n"/>
      <c r="AF5" s="476" t="n"/>
      <c r="AG5" s="463" t="n"/>
      <c r="AH5" s="463" t="n"/>
      <c r="AI5" s="464" t="n"/>
      <c r="AJ5" s="476">
        <f>SUM(AF5*AB5)</f>
        <v/>
      </c>
      <c r="AK5" s="463" t="n"/>
      <c r="AL5" s="463" t="n"/>
      <c r="AM5" s="463" t="n"/>
      <c r="AN5" s="464" t="n"/>
      <c r="AO5" s="476" t="n"/>
      <c r="AP5" s="463" t="n"/>
      <c r="AQ5" s="463" t="n"/>
      <c r="AR5" s="464" t="n"/>
      <c r="AS5" s="476">
        <f>SUM(AO5*AB5)</f>
        <v/>
      </c>
      <c r="AT5" s="463" t="n"/>
      <c r="AU5" s="463" t="n"/>
      <c r="AV5" s="463" t="n"/>
      <c r="AW5" s="464" t="n"/>
      <c r="AX5" s="476" t="n"/>
      <c r="AY5" s="463" t="n"/>
      <c r="AZ5" s="463" t="n"/>
      <c r="BA5" s="463" t="n"/>
      <c r="BB5" s="464" t="n"/>
    </row>
    <row r="6" ht="22.5" customHeight="1" s="337">
      <c r="A6" s="477" t="n"/>
      <c r="B6" s="427" t="n"/>
      <c r="C6" s="427" t="n"/>
      <c r="D6" s="428" t="n"/>
      <c r="E6" s="62" t="n"/>
      <c r="F6" s="427" t="n"/>
      <c r="G6" s="427" t="n"/>
      <c r="H6" s="427" t="n"/>
      <c r="I6" s="427" t="n"/>
      <c r="J6" s="427" t="n"/>
      <c r="K6" s="427" t="n"/>
      <c r="L6" s="428" t="n"/>
      <c r="M6" s="62" t="n"/>
      <c r="N6" s="427" t="n"/>
      <c r="O6" s="427" t="n"/>
      <c r="P6" s="427" t="n"/>
      <c r="Q6" s="427" t="n"/>
      <c r="R6" s="427" t="n"/>
      <c r="S6" s="427" t="n"/>
      <c r="T6" s="428" t="n"/>
      <c r="U6" s="62" t="n"/>
      <c r="V6" s="427" t="n"/>
      <c r="W6" s="428" t="n"/>
      <c r="X6" s="62" t="n"/>
      <c r="Y6" s="427" t="n"/>
      <c r="Z6" s="427" t="n"/>
      <c r="AA6" s="428" t="n"/>
      <c r="AB6" s="56" t="n"/>
      <c r="AC6" s="463" t="n"/>
      <c r="AD6" s="463" t="n"/>
      <c r="AE6" s="55" t="n"/>
      <c r="AF6" s="476" t="n"/>
      <c r="AG6" s="463" t="n"/>
      <c r="AH6" s="463" t="n"/>
      <c r="AI6" s="464" t="n"/>
      <c r="AJ6" s="476">
        <f>SUM(AF6*AB6)</f>
        <v/>
      </c>
      <c r="AK6" s="463" t="n"/>
      <c r="AL6" s="463" t="n"/>
      <c r="AM6" s="463" t="n"/>
      <c r="AN6" s="464" t="n"/>
      <c r="AO6" s="476" t="n"/>
      <c r="AP6" s="463" t="n"/>
      <c r="AQ6" s="463" t="n"/>
      <c r="AR6" s="464" t="n"/>
      <c r="AS6" s="476">
        <f>SUM(AO6*AB6)</f>
        <v/>
      </c>
      <c r="AT6" s="463" t="n"/>
      <c r="AU6" s="463" t="n"/>
      <c r="AV6" s="463" t="n"/>
      <c r="AW6" s="464" t="n"/>
      <c r="AX6" s="476" t="n"/>
      <c r="AY6" s="463" t="n"/>
      <c r="AZ6" s="463" t="n"/>
      <c r="BA6" s="463" t="n"/>
      <c r="BB6" s="464" t="n"/>
    </row>
    <row r="7" ht="22.5" customHeight="1" s="337">
      <c r="A7" s="477" t="n"/>
      <c r="B7" s="427" t="n"/>
      <c r="C7" s="427" t="n"/>
      <c r="D7" s="428" t="n"/>
      <c r="E7" s="68" t="n"/>
      <c r="F7" s="427" t="n"/>
      <c r="G7" s="427" t="n"/>
      <c r="H7" s="427" t="n"/>
      <c r="I7" s="427" t="n"/>
      <c r="J7" s="427" t="n"/>
      <c r="K7" s="427" t="n"/>
      <c r="L7" s="428" t="n"/>
      <c r="M7" s="62" t="n"/>
      <c r="N7" s="427" t="n"/>
      <c r="O7" s="427" t="n"/>
      <c r="P7" s="427" t="n"/>
      <c r="Q7" s="427" t="n"/>
      <c r="R7" s="427" t="n"/>
      <c r="S7" s="427" t="n"/>
      <c r="T7" s="428" t="n"/>
      <c r="U7" s="62" t="n"/>
      <c r="V7" s="427" t="n"/>
      <c r="W7" s="428" t="n"/>
      <c r="X7" s="62" t="n"/>
      <c r="Y7" s="427" t="n"/>
      <c r="Z7" s="427" t="n"/>
      <c r="AA7" s="428" t="n"/>
      <c r="AB7" s="56" t="n"/>
      <c r="AC7" s="463" t="n"/>
      <c r="AD7" s="463" t="n"/>
      <c r="AE7" s="55" t="n"/>
      <c r="AF7" s="476" t="n"/>
      <c r="AG7" s="463" t="n"/>
      <c r="AH7" s="463" t="n"/>
      <c r="AI7" s="464" t="n"/>
      <c r="AJ7" s="476">
        <f>SUM(AF7*AB7)</f>
        <v/>
      </c>
      <c r="AK7" s="463" t="n"/>
      <c r="AL7" s="463" t="n"/>
      <c r="AM7" s="463" t="n"/>
      <c r="AN7" s="464" t="n"/>
      <c r="AO7" s="476" t="n"/>
      <c r="AP7" s="463" t="n"/>
      <c r="AQ7" s="463" t="n"/>
      <c r="AR7" s="464" t="n"/>
      <c r="AS7" s="476">
        <f>SUM(AO7*AB7)</f>
        <v/>
      </c>
      <c r="AT7" s="463" t="n"/>
      <c r="AU7" s="463" t="n"/>
      <c r="AV7" s="463" t="n"/>
      <c r="AW7" s="464" t="n"/>
      <c r="AX7" s="476" t="n"/>
      <c r="AY7" s="463" t="n"/>
      <c r="AZ7" s="463" t="n"/>
      <c r="BA7" s="463" t="n"/>
      <c r="BB7" s="464" t="n"/>
    </row>
    <row r="8" ht="22.5" customHeight="1" s="337">
      <c r="A8" s="477" t="n"/>
      <c r="B8" s="427" t="n"/>
      <c r="C8" s="427" t="n"/>
      <c r="D8" s="428" t="n"/>
      <c r="E8" s="62" t="n"/>
      <c r="F8" s="427" t="n"/>
      <c r="G8" s="427" t="n"/>
      <c r="H8" s="427" t="n"/>
      <c r="I8" s="427" t="n"/>
      <c r="J8" s="427" t="n"/>
      <c r="K8" s="427" t="n"/>
      <c r="L8" s="428" t="n"/>
      <c r="M8" s="69" t="n"/>
      <c r="N8" s="427" t="n"/>
      <c r="O8" s="427" t="n"/>
      <c r="P8" s="427" t="n"/>
      <c r="Q8" s="427" t="n"/>
      <c r="R8" s="427" t="n"/>
      <c r="S8" s="427" t="n"/>
      <c r="T8" s="428" t="n"/>
      <c r="U8" s="62" t="n"/>
      <c r="V8" s="427" t="n"/>
      <c r="W8" s="428" t="n"/>
      <c r="X8" s="62" t="n"/>
      <c r="Y8" s="427" t="n"/>
      <c r="Z8" s="427" t="n"/>
      <c r="AA8" s="428" t="n"/>
      <c r="AB8" s="56" t="n"/>
      <c r="AC8" s="463" t="n"/>
      <c r="AD8" s="463" t="n"/>
      <c r="AE8" s="55" t="n"/>
      <c r="AF8" s="476" t="n"/>
      <c r="AG8" s="463" t="n"/>
      <c r="AH8" s="463" t="n"/>
      <c r="AI8" s="464" t="n"/>
      <c r="AJ8" s="476">
        <f>SUM(AF8*AB8)</f>
        <v/>
      </c>
      <c r="AK8" s="463" t="n"/>
      <c r="AL8" s="463" t="n"/>
      <c r="AM8" s="463" t="n"/>
      <c r="AN8" s="464" t="n"/>
      <c r="AO8" s="476" t="n"/>
      <c r="AP8" s="463" t="n"/>
      <c r="AQ8" s="463" t="n"/>
      <c r="AR8" s="464" t="n"/>
      <c r="AS8" s="476">
        <f>SUM(AO8*AB8)</f>
        <v/>
      </c>
      <c r="AT8" s="463" t="n"/>
      <c r="AU8" s="463" t="n"/>
      <c r="AV8" s="463" t="n"/>
      <c r="AW8" s="464" t="n"/>
      <c r="AX8" s="476" t="n"/>
      <c r="AY8" s="463" t="n"/>
      <c r="AZ8" s="463" t="n"/>
      <c r="BA8" s="463" t="n"/>
      <c r="BB8" s="464" t="n"/>
    </row>
    <row r="9" ht="22.5" customHeight="1" s="337">
      <c r="A9" s="477" t="n"/>
      <c r="B9" s="427" t="n"/>
      <c r="C9" s="427" t="n"/>
      <c r="D9" s="428" t="n"/>
      <c r="E9" s="68" t="n"/>
      <c r="F9" s="427" t="n"/>
      <c r="G9" s="427" t="n"/>
      <c r="H9" s="427" t="n"/>
      <c r="I9" s="427" t="n"/>
      <c r="J9" s="427" t="n"/>
      <c r="K9" s="427" t="n"/>
      <c r="L9" s="428" t="n"/>
      <c r="M9" s="62" t="n"/>
      <c r="N9" s="427" t="n"/>
      <c r="O9" s="427" t="n"/>
      <c r="P9" s="427" t="n"/>
      <c r="Q9" s="427" t="n"/>
      <c r="R9" s="427" t="n"/>
      <c r="S9" s="427" t="n"/>
      <c r="T9" s="428" t="n"/>
      <c r="U9" s="62" t="n"/>
      <c r="V9" s="427" t="n"/>
      <c r="W9" s="428" t="n"/>
      <c r="X9" s="62" t="n"/>
      <c r="Y9" s="427" t="n"/>
      <c r="Z9" s="427" t="n"/>
      <c r="AA9" s="428" t="n"/>
      <c r="AB9" s="56" t="n"/>
      <c r="AC9" s="463" t="n"/>
      <c r="AD9" s="463" t="n"/>
      <c r="AE9" s="55" t="n"/>
      <c r="AF9" s="476" t="n"/>
      <c r="AG9" s="463" t="n"/>
      <c r="AH9" s="463" t="n"/>
      <c r="AI9" s="464" t="n"/>
      <c r="AJ9" s="476">
        <f>SUM(AF9*AB9)</f>
        <v/>
      </c>
      <c r="AK9" s="463" t="n"/>
      <c r="AL9" s="463" t="n"/>
      <c r="AM9" s="463" t="n"/>
      <c r="AN9" s="464" t="n"/>
      <c r="AO9" s="476" t="n"/>
      <c r="AP9" s="463" t="n"/>
      <c r="AQ9" s="463" t="n"/>
      <c r="AR9" s="464" t="n"/>
      <c r="AS9" s="476">
        <f>SUM(AO9*AB9)</f>
        <v/>
      </c>
      <c r="AT9" s="463" t="n"/>
      <c r="AU9" s="463" t="n"/>
      <c r="AV9" s="463" t="n"/>
      <c r="AW9" s="464" t="n"/>
      <c r="AX9" s="476" t="n"/>
      <c r="AY9" s="463" t="n"/>
      <c r="AZ9" s="463" t="n"/>
      <c r="BA9" s="463" t="n"/>
      <c r="BB9" s="464" t="n"/>
    </row>
    <row r="10" ht="22.5" customHeight="1" s="337">
      <c r="A10" s="477" t="n"/>
      <c r="B10" s="427" t="n"/>
      <c r="C10" s="427" t="n"/>
      <c r="D10" s="428" t="n"/>
      <c r="E10" s="62" t="n"/>
      <c r="F10" s="427" t="n"/>
      <c r="G10" s="427" t="n"/>
      <c r="H10" s="427" t="n"/>
      <c r="I10" s="427" t="n"/>
      <c r="J10" s="427" t="n"/>
      <c r="K10" s="427" t="n"/>
      <c r="L10" s="428" t="n"/>
      <c r="M10" s="62" t="n"/>
      <c r="N10" s="427" t="n"/>
      <c r="O10" s="427" t="n"/>
      <c r="P10" s="427" t="n"/>
      <c r="Q10" s="427" t="n"/>
      <c r="R10" s="427" t="n"/>
      <c r="S10" s="427" t="n"/>
      <c r="T10" s="428" t="n"/>
      <c r="U10" s="62" t="n"/>
      <c r="V10" s="427" t="n"/>
      <c r="W10" s="428" t="n"/>
      <c r="X10" s="62" t="n"/>
      <c r="Y10" s="427" t="n"/>
      <c r="Z10" s="427" t="n"/>
      <c r="AA10" s="428" t="n"/>
      <c r="AB10" s="56" t="n"/>
      <c r="AC10" s="463" t="n"/>
      <c r="AD10" s="463" t="n"/>
      <c r="AE10" s="55" t="n"/>
      <c r="AF10" s="476" t="n"/>
      <c r="AG10" s="463" t="n"/>
      <c r="AH10" s="463" t="n"/>
      <c r="AI10" s="464" t="n"/>
      <c r="AJ10" s="476">
        <f>SUM(AF10*AB10)</f>
        <v/>
      </c>
      <c r="AK10" s="463" t="n"/>
      <c r="AL10" s="463" t="n"/>
      <c r="AM10" s="463" t="n"/>
      <c r="AN10" s="464" t="n"/>
      <c r="AO10" s="476" t="n"/>
      <c r="AP10" s="463" t="n"/>
      <c r="AQ10" s="463" t="n"/>
      <c r="AR10" s="464" t="n"/>
      <c r="AS10" s="476">
        <f>SUM(AO10*AB10)</f>
        <v/>
      </c>
      <c r="AT10" s="463" t="n"/>
      <c r="AU10" s="463" t="n"/>
      <c r="AV10" s="463" t="n"/>
      <c r="AW10" s="464" t="n"/>
      <c r="AX10" s="476" t="n"/>
      <c r="AY10" s="463" t="n"/>
      <c r="AZ10" s="463" t="n"/>
      <c r="BA10" s="463" t="n"/>
      <c r="BB10" s="464" t="n"/>
    </row>
    <row r="11" ht="22.5" customHeight="1" s="337">
      <c r="A11" s="477" t="n"/>
      <c r="B11" s="427" t="n"/>
      <c r="C11" s="427" t="n"/>
      <c r="D11" s="428" t="n"/>
      <c r="E11" s="62" t="n"/>
      <c r="F11" s="427" t="n"/>
      <c r="G11" s="427" t="n"/>
      <c r="H11" s="427" t="n"/>
      <c r="I11" s="427" t="n"/>
      <c r="J11" s="427" t="n"/>
      <c r="K11" s="427" t="n"/>
      <c r="L11" s="428" t="n"/>
      <c r="M11" s="62" t="n"/>
      <c r="N11" s="427" t="n"/>
      <c r="O11" s="427" t="n"/>
      <c r="P11" s="427" t="n"/>
      <c r="Q11" s="427" t="n"/>
      <c r="R11" s="427" t="n"/>
      <c r="S11" s="427" t="n"/>
      <c r="T11" s="428" t="n"/>
      <c r="U11" s="62" t="n"/>
      <c r="V11" s="427" t="n"/>
      <c r="W11" s="428" t="n"/>
      <c r="X11" s="62" t="n"/>
      <c r="Y11" s="427" t="n"/>
      <c r="Z11" s="427" t="n"/>
      <c r="AA11" s="428" t="n"/>
      <c r="AB11" s="56" t="n"/>
      <c r="AC11" s="463" t="n"/>
      <c r="AD11" s="463" t="n"/>
      <c r="AE11" s="55" t="n"/>
      <c r="AF11" s="476" t="n"/>
      <c r="AG11" s="463" t="n"/>
      <c r="AH11" s="463" t="n"/>
      <c r="AI11" s="464" t="n"/>
      <c r="AJ11" s="476">
        <f>SUM(AF11*AB11)</f>
        <v/>
      </c>
      <c r="AK11" s="463" t="n"/>
      <c r="AL11" s="463" t="n"/>
      <c r="AM11" s="463" t="n"/>
      <c r="AN11" s="464" t="n"/>
      <c r="AO11" s="476" t="n"/>
      <c r="AP11" s="463" t="n"/>
      <c r="AQ11" s="463" t="n"/>
      <c r="AR11" s="464" t="n"/>
      <c r="AS11" s="476">
        <f>SUM(AO11*AB11)</f>
        <v/>
      </c>
      <c r="AT11" s="463" t="n"/>
      <c r="AU11" s="463" t="n"/>
      <c r="AV11" s="463" t="n"/>
      <c r="AW11" s="464" t="n"/>
      <c r="AX11" s="476" t="n"/>
      <c r="AY11" s="463" t="n"/>
      <c r="AZ11" s="463" t="n"/>
      <c r="BA11" s="463" t="n"/>
      <c r="BB11" s="464" t="n"/>
    </row>
    <row r="12" ht="22.5" customHeight="1" s="337">
      <c r="A12" s="477" t="n"/>
      <c r="B12" s="427" t="n"/>
      <c r="C12" s="427" t="n"/>
      <c r="D12" s="428" t="n"/>
      <c r="E12" s="62" t="n"/>
      <c r="F12" s="427" t="n"/>
      <c r="G12" s="427" t="n"/>
      <c r="H12" s="427" t="n"/>
      <c r="I12" s="427" t="n"/>
      <c r="J12" s="427" t="n"/>
      <c r="K12" s="427" t="n"/>
      <c r="L12" s="428" t="n"/>
      <c r="M12" s="62" t="n"/>
      <c r="N12" s="427" t="n"/>
      <c r="O12" s="427" t="n"/>
      <c r="P12" s="427" t="n"/>
      <c r="Q12" s="427" t="n"/>
      <c r="R12" s="427" t="n"/>
      <c r="S12" s="427" t="n"/>
      <c r="T12" s="428" t="n"/>
      <c r="U12" s="62" t="n"/>
      <c r="V12" s="427" t="n"/>
      <c r="W12" s="428" t="n"/>
      <c r="X12" s="62" t="n"/>
      <c r="Y12" s="427" t="n"/>
      <c r="Z12" s="427" t="n"/>
      <c r="AA12" s="428" t="n"/>
      <c r="AB12" s="56" t="n"/>
      <c r="AC12" s="463" t="n"/>
      <c r="AD12" s="463" t="n"/>
      <c r="AE12" s="55" t="n"/>
      <c r="AF12" s="476" t="n"/>
      <c r="AG12" s="463" t="n"/>
      <c r="AH12" s="463" t="n"/>
      <c r="AI12" s="464" t="n"/>
      <c r="AJ12" s="476">
        <f>SUM(AF12*AB12)</f>
        <v/>
      </c>
      <c r="AK12" s="463" t="n"/>
      <c r="AL12" s="463" t="n"/>
      <c r="AM12" s="463" t="n"/>
      <c r="AN12" s="464" t="n"/>
      <c r="AO12" s="476" t="n"/>
      <c r="AP12" s="463" t="n"/>
      <c r="AQ12" s="463" t="n"/>
      <c r="AR12" s="464" t="n"/>
      <c r="AS12" s="476">
        <f>SUM(AO12*AB12)</f>
        <v/>
      </c>
      <c r="AT12" s="463" t="n"/>
      <c r="AU12" s="463" t="n"/>
      <c r="AV12" s="463" t="n"/>
      <c r="AW12" s="464" t="n"/>
      <c r="AX12" s="476" t="n"/>
      <c r="AY12" s="463" t="n"/>
      <c r="AZ12" s="463" t="n"/>
      <c r="BA12" s="463" t="n"/>
      <c r="BB12" s="464" t="n"/>
    </row>
    <row r="13" ht="22.5" customHeight="1" s="337">
      <c r="A13" s="477" t="n"/>
      <c r="B13" s="427" t="n"/>
      <c r="C13" s="427" t="n"/>
      <c r="D13" s="428" t="n"/>
      <c r="E13" s="62" t="n"/>
      <c r="F13" s="427" t="n"/>
      <c r="G13" s="427" t="n"/>
      <c r="H13" s="427" t="n"/>
      <c r="I13" s="427" t="n"/>
      <c r="J13" s="427" t="n"/>
      <c r="K13" s="427" t="n"/>
      <c r="L13" s="428" t="n"/>
      <c r="M13" s="62" t="n"/>
      <c r="N13" s="427" t="n"/>
      <c r="O13" s="427" t="n"/>
      <c r="P13" s="427" t="n"/>
      <c r="Q13" s="427" t="n"/>
      <c r="R13" s="427" t="n"/>
      <c r="S13" s="427" t="n"/>
      <c r="T13" s="428" t="n"/>
      <c r="U13" s="62" t="n"/>
      <c r="V13" s="427" t="n"/>
      <c r="W13" s="428" t="n"/>
      <c r="X13" s="62" t="n"/>
      <c r="Y13" s="427" t="n"/>
      <c r="Z13" s="427" t="n"/>
      <c r="AA13" s="428" t="n"/>
      <c r="AB13" s="56" t="n"/>
      <c r="AC13" s="463" t="n"/>
      <c r="AD13" s="463" t="n"/>
      <c r="AE13" s="55" t="n"/>
      <c r="AF13" s="476" t="n"/>
      <c r="AG13" s="463" t="n"/>
      <c r="AH13" s="463" t="n"/>
      <c r="AI13" s="464" t="n"/>
      <c r="AJ13" s="476">
        <f>SUM(AF13*AB13)</f>
        <v/>
      </c>
      <c r="AK13" s="463" t="n"/>
      <c r="AL13" s="463" t="n"/>
      <c r="AM13" s="463" t="n"/>
      <c r="AN13" s="464" t="n"/>
      <c r="AO13" s="476" t="n"/>
      <c r="AP13" s="463" t="n"/>
      <c r="AQ13" s="463" t="n"/>
      <c r="AR13" s="464" t="n"/>
      <c r="AS13" s="476">
        <f>SUM(AO13*AB13)</f>
        <v/>
      </c>
      <c r="AT13" s="463" t="n"/>
      <c r="AU13" s="463" t="n"/>
      <c r="AV13" s="463" t="n"/>
      <c r="AW13" s="464" t="n"/>
      <c r="AX13" s="476" t="n"/>
      <c r="AY13" s="463" t="n"/>
      <c r="AZ13" s="463" t="n"/>
      <c r="BA13" s="463" t="n"/>
      <c r="BB13" s="464" t="n"/>
    </row>
    <row r="14" ht="22.5" customHeight="1" s="337">
      <c r="A14" s="477" t="n"/>
      <c r="B14" s="427" t="n"/>
      <c r="C14" s="427" t="n"/>
      <c r="D14" s="428" t="n"/>
      <c r="E14" s="62" t="n"/>
      <c r="F14" s="427" t="n"/>
      <c r="G14" s="427" t="n"/>
      <c r="H14" s="427" t="n"/>
      <c r="I14" s="427" t="n"/>
      <c r="J14" s="427" t="n"/>
      <c r="K14" s="427" t="n"/>
      <c r="L14" s="428" t="n"/>
      <c r="M14" s="62" t="n"/>
      <c r="N14" s="427" t="n"/>
      <c r="O14" s="427" t="n"/>
      <c r="P14" s="427" t="n"/>
      <c r="Q14" s="427" t="n"/>
      <c r="R14" s="427" t="n"/>
      <c r="S14" s="427" t="n"/>
      <c r="T14" s="428" t="n"/>
      <c r="U14" s="62" t="n"/>
      <c r="V14" s="427" t="n"/>
      <c r="W14" s="428" t="n"/>
      <c r="X14" s="62" t="n"/>
      <c r="Y14" s="427" t="n"/>
      <c r="Z14" s="427" t="n"/>
      <c r="AA14" s="428" t="n"/>
      <c r="AB14" s="56" t="n"/>
      <c r="AC14" s="463" t="n"/>
      <c r="AD14" s="463" t="n"/>
      <c r="AE14" s="55" t="n"/>
      <c r="AF14" s="476" t="n"/>
      <c r="AG14" s="463" t="n"/>
      <c r="AH14" s="463" t="n"/>
      <c r="AI14" s="464" t="n"/>
      <c r="AJ14" s="476">
        <f>SUM(AF14*AB14)</f>
        <v/>
      </c>
      <c r="AK14" s="463" t="n"/>
      <c r="AL14" s="463" t="n"/>
      <c r="AM14" s="463" t="n"/>
      <c r="AN14" s="464" t="n"/>
      <c r="AO14" s="476" t="n"/>
      <c r="AP14" s="463" t="n"/>
      <c r="AQ14" s="463" t="n"/>
      <c r="AR14" s="464" t="n"/>
      <c r="AS14" s="476">
        <f>SUM(AO14*AB14)</f>
        <v/>
      </c>
      <c r="AT14" s="463" t="n"/>
      <c r="AU14" s="463" t="n"/>
      <c r="AV14" s="463" t="n"/>
      <c r="AW14" s="464" t="n"/>
      <c r="AX14" s="476" t="n"/>
      <c r="AY14" s="463" t="n"/>
      <c r="AZ14" s="463" t="n"/>
      <c r="BA14" s="463" t="n"/>
      <c r="BB14" s="464" t="n"/>
    </row>
    <row r="15" ht="22.5" customHeight="1" s="337">
      <c r="A15" s="477" t="n"/>
      <c r="B15" s="427" t="n"/>
      <c r="C15" s="427" t="n"/>
      <c r="D15" s="428" t="n"/>
      <c r="E15" s="68" t="n"/>
      <c r="F15" s="427" t="n"/>
      <c r="G15" s="427" t="n"/>
      <c r="H15" s="427" t="n"/>
      <c r="I15" s="427" t="n"/>
      <c r="J15" s="427" t="n"/>
      <c r="K15" s="427" t="n"/>
      <c r="L15" s="428" t="n"/>
      <c r="M15" s="62" t="n"/>
      <c r="N15" s="427" t="n"/>
      <c r="O15" s="427" t="n"/>
      <c r="P15" s="427" t="n"/>
      <c r="Q15" s="427" t="n"/>
      <c r="R15" s="427" t="n"/>
      <c r="S15" s="427" t="n"/>
      <c r="T15" s="428" t="n"/>
      <c r="U15" s="62" t="n"/>
      <c r="V15" s="427" t="n"/>
      <c r="W15" s="428" t="n"/>
      <c r="X15" s="62" t="n"/>
      <c r="Y15" s="427" t="n"/>
      <c r="Z15" s="427" t="n"/>
      <c r="AA15" s="428" t="n"/>
      <c r="AB15" s="56" t="n"/>
      <c r="AC15" s="463" t="n"/>
      <c r="AD15" s="463" t="n"/>
      <c r="AE15" s="55" t="n"/>
      <c r="AF15" s="476" t="n"/>
      <c r="AG15" s="463" t="n"/>
      <c r="AH15" s="463" t="n"/>
      <c r="AI15" s="464" t="n"/>
      <c r="AJ15" s="476">
        <f>SUM(AF15*AB15)</f>
        <v/>
      </c>
      <c r="AK15" s="463" t="n"/>
      <c r="AL15" s="463" t="n"/>
      <c r="AM15" s="463" t="n"/>
      <c r="AN15" s="464" t="n"/>
      <c r="AO15" s="476" t="n"/>
      <c r="AP15" s="463" t="n"/>
      <c r="AQ15" s="463" t="n"/>
      <c r="AR15" s="464" t="n"/>
      <c r="AS15" s="476">
        <f>SUM(AO15*AB15)</f>
        <v/>
      </c>
      <c r="AT15" s="463" t="n"/>
      <c r="AU15" s="463" t="n"/>
      <c r="AV15" s="463" t="n"/>
      <c r="AW15" s="464" t="n"/>
      <c r="AX15" s="476" t="n"/>
      <c r="AY15" s="463" t="n"/>
      <c r="AZ15" s="463" t="n"/>
      <c r="BA15" s="463" t="n"/>
      <c r="BB15" s="464" t="n"/>
    </row>
    <row r="16" ht="22.5" customHeight="1" s="337">
      <c r="A16" s="477" t="n"/>
      <c r="B16" s="427" t="n"/>
      <c r="C16" s="427" t="n"/>
      <c r="D16" s="428" t="n"/>
      <c r="E16" s="62" t="n"/>
      <c r="F16" s="427" t="n"/>
      <c r="G16" s="427" t="n"/>
      <c r="H16" s="427" t="n"/>
      <c r="I16" s="427" t="n"/>
      <c r="J16" s="427" t="n"/>
      <c r="K16" s="427" t="n"/>
      <c r="L16" s="428" t="n"/>
      <c r="M16" s="62" t="n"/>
      <c r="N16" s="427" t="n"/>
      <c r="O16" s="427" t="n"/>
      <c r="P16" s="427" t="n"/>
      <c r="Q16" s="427" t="n"/>
      <c r="R16" s="427" t="n"/>
      <c r="S16" s="427" t="n"/>
      <c r="T16" s="428" t="n"/>
      <c r="U16" s="62" t="n"/>
      <c r="V16" s="427" t="n"/>
      <c r="W16" s="428" t="n"/>
      <c r="X16" s="62" t="n"/>
      <c r="Y16" s="427" t="n"/>
      <c r="Z16" s="427" t="n"/>
      <c r="AA16" s="428" t="n"/>
      <c r="AB16" s="56" t="n"/>
      <c r="AC16" s="463" t="n"/>
      <c r="AD16" s="463" t="n"/>
      <c r="AE16" s="55" t="n"/>
      <c r="AF16" s="476" t="n"/>
      <c r="AG16" s="463" t="n"/>
      <c r="AH16" s="463" t="n"/>
      <c r="AI16" s="464" t="n"/>
      <c r="AJ16" s="476">
        <f>SUM(AF16*AB16)</f>
        <v/>
      </c>
      <c r="AK16" s="463" t="n"/>
      <c r="AL16" s="463" t="n"/>
      <c r="AM16" s="463" t="n"/>
      <c r="AN16" s="464" t="n"/>
      <c r="AO16" s="476" t="n"/>
      <c r="AP16" s="463" t="n"/>
      <c r="AQ16" s="463" t="n"/>
      <c r="AR16" s="464" t="n"/>
      <c r="AS16" s="476">
        <f>SUM(AO16*AB16)</f>
        <v/>
      </c>
      <c r="AT16" s="463" t="n"/>
      <c r="AU16" s="463" t="n"/>
      <c r="AV16" s="463" t="n"/>
      <c r="AW16" s="464" t="n"/>
      <c r="AX16" s="476" t="n"/>
      <c r="AY16" s="463" t="n"/>
      <c r="AZ16" s="463" t="n"/>
      <c r="BA16" s="463" t="n"/>
      <c r="BB16" s="464" t="n"/>
    </row>
    <row r="17" ht="22.5" customHeight="1" s="337">
      <c r="A17" s="477" t="n"/>
      <c r="B17" s="427" t="n"/>
      <c r="C17" s="427" t="n"/>
      <c r="D17" s="428" t="n"/>
      <c r="E17" s="62" t="n"/>
      <c r="F17" s="427" t="n"/>
      <c r="G17" s="427" t="n"/>
      <c r="H17" s="427" t="n"/>
      <c r="I17" s="427" t="n"/>
      <c r="J17" s="427" t="n"/>
      <c r="K17" s="427" t="n"/>
      <c r="L17" s="428" t="n"/>
      <c r="M17" s="62" t="n"/>
      <c r="N17" s="427" t="n"/>
      <c r="O17" s="427" t="n"/>
      <c r="P17" s="427" t="n"/>
      <c r="Q17" s="427" t="n"/>
      <c r="R17" s="427" t="n"/>
      <c r="S17" s="427" t="n"/>
      <c r="T17" s="428" t="n"/>
      <c r="U17" s="62" t="n"/>
      <c r="V17" s="427" t="n"/>
      <c r="W17" s="428" t="n"/>
      <c r="X17" s="62" t="n"/>
      <c r="Y17" s="427" t="n"/>
      <c r="Z17" s="427" t="n"/>
      <c r="AA17" s="428" t="n"/>
      <c r="AB17" s="56" t="n"/>
      <c r="AC17" s="463" t="n"/>
      <c r="AD17" s="463" t="n"/>
      <c r="AE17" s="55" t="n"/>
      <c r="AF17" s="476" t="n"/>
      <c r="AG17" s="463" t="n"/>
      <c r="AH17" s="463" t="n"/>
      <c r="AI17" s="464" t="n"/>
      <c r="AJ17" s="476">
        <f>SUM(AF17*AB17)</f>
        <v/>
      </c>
      <c r="AK17" s="463" t="n"/>
      <c r="AL17" s="463" t="n"/>
      <c r="AM17" s="463" t="n"/>
      <c r="AN17" s="464" t="n"/>
      <c r="AO17" s="476" t="n"/>
      <c r="AP17" s="463" t="n"/>
      <c r="AQ17" s="463" t="n"/>
      <c r="AR17" s="464" t="n"/>
      <c r="AS17" s="476">
        <f>SUM(AO17*AB17)</f>
        <v/>
      </c>
      <c r="AT17" s="463" t="n"/>
      <c r="AU17" s="463" t="n"/>
      <c r="AV17" s="463" t="n"/>
      <c r="AW17" s="464" t="n"/>
      <c r="AX17" s="476" t="n"/>
      <c r="AY17" s="463" t="n"/>
      <c r="AZ17" s="463" t="n"/>
      <c r="BA17" s="463" t="n"/>
      <c r="BB17" s="464" t="n"/>
    </row>
    <row r="18" ht="22.5" customHeight="1" s="337">
      <c r="A18" s="477" t="n"/>
      <c r="B18" s="427" t="n"/>
      <c r="C18" s="427" t="n"/>
      <c r="D18" s="428" t="n"/>
      <c r="E18" s="62" t="n"/>
      <c r="F18" s="427" t="n"/>
      <c r="G18" s="427" t="n"/>
      <c r="H18" s="427" t="n"/>
      <c r="I18" s="427" t="n"/>
      <c r="J18" s="427" t="n"/>
      <c r="K18" s="427" t="n"/>
      <c r="L18" s="428" t="n"/>
      <c r="M18" s="62" t="n"/>
      <c r="N18" s="427" t="n"/>
      <c r="O18" s="427" t="n"/>
      <c r="P18" s="427" t="n"/>
      <c r="Q18" s="427" t="n"/>
      <c r="R18" s="427" t="n"/>
      <c r="S18" s="427" t="n"/>
      <c r="T18" s="428" t="n"/>
      <c r="U18" s="62" t="n"/>
      <c r="V18" s="427" t="n"/>
      <c r="W18" s="428" t="n"/>
      <c r="X18" s="62" t="n"/>
      <c r="Y18" s="427" t="n"/>
      <c r="Z18" s="427" t="n"/>
      <c r="AA18" s="428" t="n"/>
      <c r="AB18" s="56" t="n"/>
      <c r="AC18" s="463" t="n"/>
      <c r="AD18" s="463" t="n"/>
      <c r="AE18" s="55" t="n"/>
      <c r="AF18" s="476" t="n"/>
      <c r="AG18" s="463" t="n"/>
      <c r="AH18" s="463" t="n"/>
      <c r="AI18" s="464" t="n"/>
      <c r="AJ18" s="476">
        <f>SUM(AF18*AB18)</f>
        <v/>
      </c>
      <c r="AK18" s="463" t="n"/>
      <c r="AL18" s="463" t="n"/>
      <c r="AM18" s="463" t="n"/>
      <c r="AN18" s="464" t="n"/>
      <c r="AO18" s="476" t="n"/>
      <c r="AP18" s="463" t="n"/>
      <c r="AQ18" s="463" t="n"/>
      <c r="AR18" s="464" t="n"/>
      <c r="AS18" s="476">
        <f>SUM(AO18*AB18)</f>
        <v/>
      </c>
      <c r="AT18" s="463" t="n"/>
      <c r="AU18" s="463" t="n"/>
      <c r="AV18" s="463" t="n"/>
      <c r="AW18" s="464" t="n"/>
      <c r="AX18" s="476" t="n"/>
      <c r="AY18" s="463" t="n"/>
      <c r="AZ18" s="463" t="n"/>
      <c r="BA18" s="463" t="n"/>
      <c r="BB18" s="464" t="n"/>
    </row>
    <row r="19" ht="22.5" customHeight="1" s="337">
      <c r="A19" s="477" t="n"/>
      <c r="B19" s="427" t="n"/>
      <c r="C19" s="427" t="n"/>
      <c r="D19" s="428" t="n"/>
      <c r="E19" s="62" t="n"/>
      <c r="F19" s="427" t="n"/>
      <c r="G19" s="427" t="n"/>
      <c r="H19" s="427" t="n"/>
      <c r="I19" s="427" t="n"/>
      <c r="J19" s="427" t="n"/>
      <c r="K19" s="427" t="n"/>
      <c r="L19" s="428" t="n"/>
      <c r="M19" s="69" t="n"/>
      <c r="N19" s="427" t="n"/>
      <c r="O19" s="427" t="n"/>
      <c r="P19" s="427" t="n"/>
      <c r="Q19" s="427" t="n"/>
      <c r="R19" s="427" t="n"/>
      <c r="S19" s="427" t="n"/>
      <c r="T19" s="428" t="n"/>
      <c r="U19" s="62" t="n"/>
      <c r="V19" s="427" t="n"/>
      <c r="W19" s="428" t="n"/>
      <c r="X19" s="62" t="n"/>
      <c r="Y19" s="427" t="n"/>
      <c r="Z19" s="427" t="n"/>
      <c r="AA19" s="428" t="n"/>
      <c r="AB19" s="56" t="n"/>
      <c r="AC19" s="463" t="n"/>
      <c r="AD19" s="463" t="n"/>
      <c r="AE19" s="55" t="n"/>
      <c r="AF19" s="476" t="n"/>
      <c r="AG19" s="463" t="n"/>
      <c r="AH19" s="463" t="n"/>
      <c r="AI19" s="464" t="n"/>
      <c r="AJ19" s="476">
        <f>SUM(AF19*AB19)</f>
        <v/>
      </c>
      <c r="AK19" s="463" t="n"/>
      <c r="AL19" s="463" t="n"/>
      <c r="AM19" s="463" t="n"/>
      <c r="AN19" s="464" t="n"/>
      <c r="AO19" s="476" t="n"/>
      <c r="AP19" s="463" t="n"/>
      <c r="AQ19" s="463" t="n"/>
      <c r="AR19" s="464" t="n"/>
      <c r="AS19" s="476">
        <f>SUM(AO19*AB19)</f>
        <v/>
      </c>
      <c r="AT19" s="463" t="n"/>
      <c r="AU19" s="463" t="n"/>
      <c r="AV19" s="463" t="n"/>
      <c r="AW19" s="464" t="n"/>
      <c r="AX19" s="476" t="n"/>
      <c r="AY19" s="463" t="n"/>
      <c r="AZ19" s="463" t="n"/>
      <c r="BA19" s="463" t="n"/>
      <c r="BB19" s="464" t="n"/>
    </row>
    <row r="20" ht="22.5" customHeight="1" s="337">
      <c r="A20" s="477" t="n"/>
      <c r="B20" s="427" t="n"/>
      <c r="C20" s="427" t="n"/>
      <c r="D20" s="428" t="n"/>
      <c r="E20" s="62" t="n"/>
      <c r="F20" s="427" t="n"/>
      <c r="G20" s="427" t="n"/>
      <c r="H20" s="427" t="n"/>
      <c r="I20" s="427" t="n"/>
      <c r="J20" s="427" t="n"/>
      <c r="K20" s="427" t="n"/>
      <c r="L20" s="428" t="n"/>
      <c r="M20" s="62" t="n"/>
      <c r="N20" s="427" t="n"/>
      <c r="O20" s="427" t="n"/>
      <c r="P20" s="427" t="n"/>
      <c r="Q20" s="427" t="n"/>
      <c r="R20" s="427" t="n"/>
      <c r="S20" s="427" t="n"/>
      <c r="T20" s="428" t="n"/>
      <c r="U20" s="62" t="n"/>
      <c r="V20" s="427" t="n"/>
      <c r="W20" s="428" t="n"/>
      <c r="X20" s="62" t="n"/>
      <c r="Y20" s="427" t="n"/>
      <c r="Z20" s="427" t="n"/>
      <c r="AA20" s="428" t="n"/>
      <c r="AB20" s="56" t="n"/>
      <c r="AC20" s="463" t="n"/>
      <c r="AD20" s="463" t="n"/>
      <c r="AE20" s="55" t="n"/>
      <c r="AF20" s="476" t="n"/>
      <c r="AG20" s="463" t="n"/>
      <c r="AH20" s="463" t="n"/>
      <c r="AI20" s="464" t="n"/>
      <c r="AJ20" s="476">
        <f>SUM(AF20*AB20)</f>
        <v/>
      </c>
      <c r="AK20" s="463" t="n"/>
      <c r="AL20" s="463" t="n"/>
      <c r="AM20" s="463" t="n"/>
      <c r="AN20" s="464" t="n"/>
      <c r="AO20" s="476" t="n"/>
      <c r="AP20" s="463" t="n"/>
      <c r="AQ20" s="463" t="n"/>
      <c r="AR20" s="464" t="n"/>
      <c r="AS20" s="476">
        <f>SUM(AO20*AB20)</f>
        <v/>
      </c>
      <c r="AT20" s="463" t="n"/>
      <c r="AU20" s="463" t="n"/>
      <c r="AV20" s="463" t="n"/>
      <c r="AW20" s="464" t="n"/>
      <c r="AX20" s="476" t="n"/>
      <c r="AY20" s="463" t="n"/>
      <c r="AZ20" s="463" t="n"/>
      <c r="BA20" s="463" t="n"/>
      <c r="BB20" s="464" t="n"/>
    </row>
    <row r="21" ht="22.5" customHeight="1" s="337">
      <c r="A21" s="477" t="n"/>
      <c r="B21" s="427" t="n"/>
      <c r="C21" s="427" t="n"/>
      <c r="D21" s="428" t="n"/>
      <c r="E21" s="62" t="n"/>
      <c r="F21" s="427" t="n"/>
      <c r="G21" s="427" t="n"/>
      <c r="H21" s="427" t="n"/>
      <c r="I21" s="427" t="n"/>
      <c r="J21" s="427" t="n"/>
      <c r="K21" s="427" t="n"/>
      <c r="L21" s="428" t="n"/>
      <c r="M21" s="62" t="n"/>
      <c r="N21" s="427" t="n"/>
      <c r="O21" s="427" t="n"/>
      <c r="P21" s="427" t="n"/>
      <c r="Q21" s="427" t="n"/>
      <c r="R21" s="427" t="n"/>
      <c r="S21" s="427" t="n"/>
      <c r="T21" s="428" t="n"/>
      <c r="U21" s="62" t="n"/>
      <c r="V21" s="427" t="n"/>
      <c r="W21" s="428" t="n"/>
      <c r="X21" s="62" t="n"/>
      <c r="Y21" s="427" t="n"/>
      <c r="Z21" s="427" t="n"/>
      <c r="AA21" s="428" t="n"/>
      <c r="AB21" s="56" t="n"/>
      <c r="AC21" s="463" t="n"/>
      <c r="AD21" s="463" t="n"/>
      <c r="AE21" s="55" t="n"/>
      <c r="AF21" s="476" t="n"/>
      <c r="AG21" s="463" t="n"/>
      <c r="AH21" s="463" t="n"/>
      <c r="AI21" s="464" t="n"/>
      <c r="AJ21" s="476">
        <f>SUM(AF21*AB21)</f>
        <v/>
      </c>
      <c r="AK21" s="463" t="n"/>
      <c r="AL21" s="463" t="n"/>
      <c r="AM21" s="463" t="n"/>
      <c r="AN21" s="464" t="n"/>
      <c r="AO21" s="476" t="n"/>
      <c r="AP21" s="463" t="n"/>
      <c r="AQ21" s="463" t="n"/>
      <c r="AR21" s="464" t="n"/>
      <c r="AS21" s="476">
        <f>SUM(AO21*AB21)</f>
        <v/>
      </c>
      <c r="AT21" s="463" t="n"/>
      <c r="AU21" s="463" t="n"/>
      <c r="AV21" s="463" t="n"/>
      <c r="AW21" s="464" t="n"/>
      <c r="AX21" s="476" t="n"/>
      <c r="AY21" s="463" t="n"/>
      <c r="AZ21" s="463" t="n"/>
      <c r="BA21" s="463" t="n"/>
      <c r="BB21" s="464" t="n"/>
    </row>
    <row r="22" ht="22.5" customHeight="1" s="337">
      <c r="A22" s="477" t="n"/>
      <c r="B22" s="427" t="n"/>
      <c r="C22" s="427" t="n"/>
      <c r="D22" s="428" t="n"/>
      <c r="E22" s="62" t="n"/>
      <c r="F22" s="427" t="n"/>
      <c r="G22" s="427" t="n"/>
      <c r="H22" s="427" t="n"/>
      <c r="I22" s="427" t="n"/>
      <c r="J22" s="427" t="n"/>
      <c r="K22" s="427" t="n"/>
      <c r="L22" s="428" t="n"/>
      <c r="M22" s="62" t="n"/>
      <c r="N22" s="427" t="n"/>
      <c r="O22" s="427" t="n"/>
      <c r="P22" s="427" t="n"/>
      <c r="Q22" s="427" t="n"/>
      <c r="R22" s="427" t="n"/>
      <c r="S22" s="427" t="n"/>
      <c r="T22" s="428" t="n"/>
      <c r="U22" s="62" t="n"/>
      <c r="V22" s="427" t="n"/>
      <c r="W22" s="428" t="n"/>
      <c r="X22" s="62" t="n"/>
      <c r="Y22" s="427" t="n"/>
      <c r="Z22" s="427" t="n"/>
      <c r="AA22" s="428" t="n"/>
      <c r="AB22" s="56" t="n"/>
      <c r="AC22" s="463" t="n"/>
      <c r="AD22" s="463" t="n"/>
      <c r="AE22" s="55" t="n"/>
      <c r="AF22" s="476" t="n"/>
      <c r="AG22" s="463" t="n"/>
      <c r="AH22" s="463" t="n"/>
      <c r="AI22" s="464" t="n"/>
      <c r="AJ22" s="476">
        <f>SUM(AF22*AB22)</f>
        <v/>
      </c>
      <c r="AK22" s="463" t="n"/>
      <c r="AL22" s="463" t="n"/>
      <c r="AM22" s="463" t="n"/>
      <c r="AN22" s="464" t="n"/>
      <c r="AO22" s="476" t="n"/>
      <c r="AP22" s="463" t="n"/>
      <c r="AQ22" s="463" t="n"/>
      <c r="AR22" s="464" t="n"/>
      <c r="AS22" s="476">
        <f>SUM(AO22*AB22)</f>
        <v/>
      </c>
      <c r="AT22" s="463" t="n"/>
      <c r="AU22" s="463" t="n"/>
      <c r="AV22" s="463" t="n"/>
      <c r="AW22" s="464" t="n"/>
      <c r="AX22" s="476" t="n"/>
      <c r="AY22" s="463" t="n"/>
      <c r="AZ22" s="463" t="n"/>
      <c r="BA22" s="463" t="n"/>
      <c r="BB22" s="464" t="n"/>
    </row>
    <row r="23" ht="22.5" customHeight="1" s="337">
      <c r="A23" s="477" t="n"/>
      <c r="B23" s="427" t="n"/>
      <c r="C23" s="427" t="n"/>
      <c r="D23" s="428" t="n"/>
      <c r="E23" s="62" t="n"/>
      <c r="F23" s="427" t="n"/>
      <c r="G23" s="427" t="n"/>
      <c r="H23" s="427" t="n"/>
      <c r="I23" s="427" t="n"/>
      <c r="J23" s="427" t="n"/>
      <c r="K23" s="427" t="n"/>
      <c r="L23" s="428" t="n"/>
      <c r="M23" s="62" t="n"/>
      <c r="N23" s="427" t="n"/>
      <c r="O23" s="427" t="n"/>
      <c r="P23" s="427" t="n"/>
      <c r="Q23" s="427" t="n"/>
      <c r="R23" s="427" t="n"/>
      <c r="S23" s="427" t="n"/>
      <c r="T23" s="428" t="n"/>
      <c r="U23" s="62" t="n"/>
      <c r="V23" s="427" t="n"/>
      <c r="W23" s="428" t="n"/>
      <c r="X23" s="62" t="n"/>
      <c r="Y23" s="427" t="n"/>
      <c r="Z23" s="427" t="n"/>
      <c r="AA23" s="428" t="n"/>
      <c r="AB23" s="56" t="n"/>
      <c r="AC23" s="463" t="n"/>
      <c r="AD23" s="463" t="n"/>
      <c r="AE23" s="55" t="n"/>
      <c r="AF23" s="476" t="n"/>
      <c r="AG23" s="463" t="n"/>
      <c r="AH23" s="463" t="n"/>
      <c r="AI23" s="464" t="n"/>
      <c r="AJ23" s="476">
        <f>SUM(AF23*AB23)</f>
        <v/>
      </c>
      <c r="AK23" s="463" t="n"/>
      <c r="AL23" s="463" t="n"/>
      <c r="AM23" s="463" t="n"/>
      <c r="AN23" s="464" t="n"/>
      <c r="AO23" s="476" t="n"/>
      <c r="AP23" s="463" t="n"/>
      <c r="AQ23" s="463" t="n"/>
      <c r="AR23" s="464" t="n"/>
      <c r="AS23" s="476">
        <f>SUM(AO23*AB23)</f>
        <v/>
      </c>
      <c r="AT23" s="463" t="n"/>
      <c r="AU23" s="463" t="n"/>
      <c r="AV23" s="463" t="n"/>
      <c r="AW23" s="464" t="n"/>
      <c r="AX23" s="476" t="n"/>
      <c r="AY23" s="463" t="n"/>
      <c r="AZ23" s="463" t="n"/>
      <c r="BA23" s="463" t="n"/>
      <c r="BB23" s="464" t="n"/>
    </row>
    <row r="24" ht="22.5" customHeight="1" s="337">
      <c r="A24" s="477" t="n"/>
      <c r="B24" s="427" t="n"/>
      <c r="C24" s="427" t="n"/>
      <c r="D24" s="428" t="n"/>
      <c r="E24" s="62" t="n"/>
      <c r="F24" s="427" t="n"/>
      <c r="G24" s="427" t="n"/>
      <c r="H24" s="427" t="n"/>
      <c r="I24" s="427" t="n"/>
      <c r="J24" s="427" t="n"/>
      <c r="K24" s="427" t="n"/>
      <c r="L24" s="428" t="n"/>
      <c r="M24" s="62" t="n"/>
      <c r="N24" s="427" t="n"/>
      <c r="O24" s="427" t="n"/>
      <c r="P24" s="427" t="n"/>
      <c r="Q24" s="427" t="n"/>
      <c r="R24" s="427" t="n"/>
      <c r="S24" s="427" t="n"/>
      <c r="T24" s="428" t="n"/>
      <c r="U24" s="62" t="n"/>
      <c r="V24" s="427" t="n"/>
      <c r="W24" s="428" t="n"/>
      <c r="X24" s="62" t="n"/>
      <c r="Y24" s="427" t="n"/>
      <c r="Z24" s="427" t="n"/>
      <c r="AA24" s="428" t="n"/>
      <c r="AB24" s="56" t="n"/>
      <c r="AC24" s="463" t="n"/>
      <c r="AD24" s="463" t="n"/>
      <c r="AE24" s="55" t="n"/>
      <c r="AF24" s="476" t="n"/>
      <c r="AG24" s="463" t="n"/>
      <c r="AH24" s="463" t="n"/>
      <c r="AI24" s="464" t="n"/>
      <c r="AJ24" s="476">
        <f>SUM(AF24*AB24)</f>
        <v/>
      </c>
      <c r="AK24" s="463" t="n"/>
      <c r="AL24" s="463" t="n"/>
      <c r="AM24" s="463" t="n"/>
      <c r="AN24" s="464" t="n"/>
      <c r="AO24" s="476" t="n"/>
      <c r="AP24" s="463" t="n"/>
      <c r="AQ24" s="463" t="n"/>
      <c r="AR24" s="464" t="n"/>
      <c r="AS24" s="476">
        <f>SUM(AO24*AB24)</f>
        <v/>
      </c>
      <c r="AT24" s="463" t="n"/>
      <c r="AU24" s="463" t="n"/>
      <c r="AV24" s="463" t="n"/>
      <c r="AW24" s="464" t="n"/>
      <c r="AX24" s="476" t="n"/>
      <c r="AY24" s="463" t="n"/>
      <c r="AZ24" s="463" t="n"/>
      <c r="BA24" s="463" t="n"/>
      <c r="BB24" s="464" t="n"/>
    </row>
    <row r="25" ht="22.5" customHeight="1" s="337">
      <c r="A25" s="477" t="n"/>
      <c r="B25" s="427" t="n"/>
      <c r="C25" s="427" t="n"/>
      <c r="D25" s="428" t="n"/>
      <c r="E25" s="62" t="n"/>
      <c r="F25" s="427" t="n"/>
      <c r="G25" s="427" t="n"/>
      <c r="H25" s="427" t="n"/>
      <c r="I25" s="427" t="n"/>
      <c r="J25" s="427" t="n"/>
      <c r="K25" s="427" t="n"/>
      <c r="L25" s="428" t="n"/>
      <c r="M25" s="62" t="n"/>
      <c r="N25" s="427" t="n"/>
      <c r="O25" s="427" t="n"/>
      <c r="P25" s="427" t="n"/>
      <c r="Q25" s="427" t="n"/>
      <c r="R25" s="427" t="n"/>
      <c r="S25" s="427" t="n"/>
      <c r="T25" s="428" t="n"/>
      <c r="U25" s="62" t="n"/>
      <c r="V25" s="427" t="n"/>
      <c r="W25" s="428" t="n"/>
      <c r="X25" s="62" t="n"/>
      <c r="Y25" s="427" t="n"/>
      <c r="Z25" s="427" t="n"/>
      <c r="AA25" s="428" t="n"/>
      <c r="AB25" s="56" t="n"/>
      <c r="AC25" s="463" t="n"/>
      <c r="AD25" s="463" t="n"/>
      <c r="AE25" s="55" t="n"/>
      <c r="AF25" s="476" t="n"/>
      <c r="AG25" s="463" t="n"/>
      <c r="AH25" s="463" t="n"/>
      <c r="AI25" s="464" t="n"/>
      <c r="AJ25" s="476">
        <f>SUM(AF25*AB25)</f>
        <v/>
      </c>
      <c r="AK25" s="463" t="n"/>
      <c r="AL25" s="463" t="n"/>
      <c r="AM25" s="463" t="n"/>
      <c r="AN25" s="464" t="n"/>
      <c r="AO25" s="476" t="n"/>
      <c r="AP25" s="463" t="n"/>
      <c r="AQ25" s="463" t="n"/>
      <c r="AR25" s="464" t="n"/>
      <c r="AS25" s="476">
        <f>SUM(AO25*AB25)</f>
        <v/>
      </c>
      <c r="AT25" s="463" t="n"/>
      <c r="AU25" s="463" t="n"/>
      <c r="AV25" s="463" t="n"/>
      <c r="AW25" s="464" t="n"/>
      <c r="AX25" s="476" t="n"/>
      <c r="AY25" s="463" t="n"/>
      <c r="AZ25" s="463" t="n"/>
      <c r="BA25" s="463" t="n"/>
      <c r="BB25" s="464" t="n"/>
    </row>
    <row r="26" ht="22.5" customHeight="1" s="337">
      <c r="U26" s="62" t="inlineStr">
        <is>
          <t>持 出 者</t>
        </is>
      </c>
      <c r="V26" s="427" t="n"/>
      <c r="W26" s="427" t="n"/>
      <c r="X26" s="427" t="n"/>
      <c r="Y26" s="428" t="n"/>
      <c r="Z26" s="62" t="n"/>
      <c r="AA26" s="427" t="n"/>
      <c r="AB26" s="427" t="n"/>
      <c r="AC26" s="427" t="n"/>
      <c r="AD26" s="427" t="n"/>
      <c r="AE26" s="428" t="n"/>
      <c r="AF26" s="62" t="inlineStr">
        <is>
          <t>仕 入 合 計</t>
        </is>
      </c>
      <c r="AG26" s="427" t="n"/>
      <c r="AH26" s="427" t="n"/>
      <c r="AI26" s="428" t="n"/>
      <c r="AJ26" s="478" t="n"/>
      <c r="AK26" s="427" t="n"/>
      <c r="AL26" s="427" t="n"/>
      <c r="AM26" s="427" t="n"/>
      <c r="AN26" s="428" t="n"/>
      <c r="AO26" s="62" t="inlineStr">
        <is>
          <t>売 値 合 計</t>
        </is>
      </c>
      <c r="AP26" s="427" t="n"/>
      <c r="AQ26" s="427" t="n"/>
      <c r="AR26" s="428" t="n"/>
      <c r="AS26" s="478" t="n"/>
      <c r="AT26" s="427" t="n"/>
      <c r="AU26" s="427" t="n"/>
      <c r="AV26" s="427" t="n"/>
      <c r="AW26" s="428" t="n"/>
      <c r="AX26" s="478" t="n"/>
      <c r="AY26" s="427" t="n"/>
      <c r="AZ26" s="427" t="n"/>
      <c r="BA26" s="427" t="n"/>
      <c r="BB26" s="428" t="n"/>
    </row>
    <row r="27"/>
    <row r="28">
      <c r="D28" s="1" t="inlineStr">
        <is>
          <t>✓</t>
        </is>
      </c>
      <c r="H28" s="1" t="inlineStr">
        <is>
          <t>ﾓﾉﾀﾛｳ</t>
        </is>
      </c>
    </row>
    <row r="29">
      <c r="H29" s="1" t="inlineStr">
        <is>
          <t>ｱﾏｿﾞﾝ</t>
        </is>
      </c>
    </row>
    <row r="30">
      <c r="H30" s="1" t="inlineStr">
        <is>
          <t>ﾊｰﾄﾞｽﾄｯｸ</t>
        </is>
      </c>
    </row>
    <row r="31">
      <c r="H31" s="1" t="inlineStr">
        <is>
          <t>JRC</t>
        </is>
      </c>
    </row>
    <row r="32">
      <c r="H32" s="51" t="inlineStr">
        <is>
          <t>神田ｴﾚｸﾄﾛﾆｸｽ</t>
        </is>
      </c>
    </row>
    <row r="33">
      <c r="H33" s="51" t="inlineStr">
        <is>
          <t>大野電子</t>
        </is>
      </c>
    </row>
    <row r="34">
      <c r="H34" s="51" t="inlineStr">
        <is>
          <t>緑星社</t>
        </is>
      </c>
    </row>
    <row r="35">
      <c r="H35" s="51" t="inlineStr">
        <is>
          <t>三菱電機特機ｼｽﾃﾑ㈱</t>
        </is>
      </c>
    </row>
    <row r="36">
      <c r="H36" s="1" t="inlineStr">
        <is>
          <t>ｴﾝﾁｮｳ</t>
        </is>
      </c>
    </row>
    <row r="37">
      <c r="H37" s="1" t="inlineStr">
        <is>
          <t>RS</t>
        </is>
      </c>
    </row>
    <row r="38">
      <c r="H38" s="1" t="inlineStr">
        <is>
          <t>ﾏﾙﾂ</t>
        </is>
      </c>
    </row>
    <row r="39">
      <c r="H39" s="1" t="inlineStr">
        <is>
          <t>ｴﾃﾞｨｵﾝ</t>
        </is>
      </c>
    </row>
    <row r="40">
      <c r="H40" s="1" t="inlineStr">
        <is>
          <t>K'sﾃﾞﾝｷ</t>
        </is>
      </c>
    </row>
    <row r="41">
      <c r="H41" s="1" t="inlineStr">
        <is>
          <t>ｶｰﾏ</t>
        </is>
      </c>
    </row>
  </sheetData>
  <mergeCells count="272">
    <mergeCell ref="A5:D5"/>
    <mergeCell ref="E18:L18"/>
    <mergeCell ref="AB25:AD25"/>
    <mergeCell ref="AF23:AI23"/>
    <mergeCell ref="AO4:AR4"/>
    <mergeCell ref="A20:D20"/>
    <mergeCell ref="AB9:AD9"/>
    <mergeCell ref="AS20:AW20"/>
    <mergeCell ref="AF7:AI7"/>
    <mergeCell ref="X10:AA10"/>
    <mergeCell ref="AX10:BB10"/>
    <mergeCell ref="U13:W13"/>
    <mergeCell ref="U7:W7"/>
    <mergeCell ref="X25:AA25"/>
    <mergeCell ref="M9:T9"/>
    <mergeCell ref="AO6:AR6"/>
    <mergeCell ref="A13:D13"/>
    <mergeCell ref="AS4:AW4"/>
    <mergeCell ref="AB11:AD11"/>
    <mergeCell ref="X9:AA9"/>
    <mergeCell ref="AJ8:AN8"/>
    <mergeCell ref="AF22:AI22"/>
    <mergeCell ref="AS22:AW22"/>
    <mergeCell ref="M20:T20"/>
    <mergeCell ref="M2:T2"/>
    <mergeCell ref="AF18:AI18"/>
    <mergeCell ref="M11:T11"/>
    <mergeCell ref="AS6:AW6"/>
    <mergeCell ref="AS12:AW12"/>
    <mergeCell ref="A15:D15"/>
    <mergeCell ref="U18:W18"/>
    <mergeCell ref="X2:AA2"/>
    <mergeCell ref="A24:D24"/>
    <mergeCell ref="X11:AA11"/>
    <mergeCell ref="U8:W8"/>
    <mergeCell ref="AJ10:AN10"/>
    <mergeCell ref="M22:T22"/>
    <mergeCell ref="AJ18:AN18"/>
    <mergeCell ref="AX17:BB17"/>
    <mergeCell ref="AO23:AR23"/>
    <mergeCell ref="M6:T6"/>
    <mergeCell ref="AO13:AR13"/>
    <mergeCell ref="E6:L6"/>
    <mergeCell ref="U10:W10"/>
    <mergeCell ref="M15:T15"/>
    <mergeCell ref="E11:L11"/>
    <mergeCell ref="A7:D7"/>
    <mergeCell ref="AS7:AW7"/>
    <mergeCell ref="A16:D16"/>
    <mergeCell ref="AB6:AD6"/>
    <mergeCell ref="AO15:AR15"/>
    <mergeCell ref="AB15:AD15"/>
    <mergeCell ref="AX3:BB3"/>
    <mergeCell ref="AO24:AR24"/>
    <mergeCell ref="AB24:AD24"/>
    <mergeCell ref="AO18:AR18"/>
    <mergeCell ref="AJ20:AN20"/>
    <mergeCell ref="M14:T14"/>
    <mergeCell ref="X6:AA6"/>
    <mergeCell ref="M23:T23"/>
    <mergeCell ref="AF15:AI15"/>
    <mergeCell ref="AX5:BB5"/>
    <mergeCell ref="AX20:BB20"/>
    <mergeCell ref="A2:D2"/>
    <mergeCell ref="AS18:AW18"/>
    <mergeCell ref="AX14:BB14"/>
    <mergeCell ref="AF12:AI12"/>
    <mergeCell ref="X15:AA15"/>
    <mergeCell ref="U17:W17"/>
    <mergeCell ref="AJ22:AN22"/>
    <mergeCell ref="M4:T4"/>
    <mergeCell ref="U11:W11"/>
    <mergeCell ref="AO10:AR10"/>
    <mergeCell ref="A17:D17"/>
    <mergeCell ref="AX4:BB4"/>
    <mergeCell ref="A22:D22"/>
    <mergeCell ref="AS26:AW26"/>
    <mergeCell ref="AJ12:AN12"/>
    <mergeCell ref="AF26:AI26"/>
    <mergeCell ref="AJ21:AN21"/>
    <mergeCell ref="E24:L24"/>
    <mergeCell ref="AO9:AR9"/>
    <mergeCell ref="AX6:BB6"/>
    <mergeCell ref="AS10:AW10"/>
    <mergeCell ref="A19:D19"/>
    <mergeCell ref="U3:W3"/>
    <mergeCell ref="E8:L8"/>
    <mergeCell ref="U12:W12"/>
    <mergeCell ref="AJ14:AN14"/>
    <mergeCell ref="AS24:AW24"/>
    <mergeCell ref="E17:L17"/>
    <mergeCell ref="U21:W21"/>
    <mergeCell ref="A9:D9"/>
    <mergeCell ref="AJ23:AN23"/>
    <mergeCell ref="AS9:AW9"/>
    <mergeCell ref="AJ7:AN7"/>
    <mergeCell ref="AB17:AD17"/>
    <mergeCell ref="E10:L10"/>
    <mergeCell ref="E19:L19"/>
    <mergeCell ref="A11:D11"/>
    <mergeCell ref="AF24:AI24"/>
    <mergeCell ref="E9:L9"/>
    <mergeCell ref="X8:AA8"/>
    <mergeCell ref="AB19:AD19"/>
    <mergeCell ref="M25:T25"/>
    <mergeCell ref="X17:AA17"/>
    <mergeCell ref="AX16:BB16"/>
    <mergeCell ref="AX25:BB25"/>
    <mergeCell ref="AB3:AD3"/>
    <mergeCell ref="E2:L2"/>
    <mergeCell ref="AO12:AR12"/>
    <mergeCell ref="AF16:AI16"/>
    <mergeCell ref="X19:AA19"/>
    <mergeCell ref="AX18:BB18"/>
    <mergeCell ref="M3:T3"/>
    <mergeCell ref="AS23:AW23"/>
    <mergeCell ref="AF25:AI25"/>
    <mergeCell ref="M17:T17"/>
    <mergeCell ref="AJ26:AN26"/>
    <mergeCell ref="AS13:AW13"/>
    <mergeCell ref="AB20:AD20"/>
    <mergeCell ref="AX8:BB8"/>
    <mergeCell ref="X3:AA3"/>
    <mergeCell ref="AB14:AD14"/>
    <mergeCell ref="AO14:AR14"/>
    <mergeCell ref="AB5:AD5"/>
    <mergeCell ref="AF9:AI9"/>
    <mergeCell ref="AJ16:AN16"/>
    <mergeCell ref="AJ25:AN25"/>
    <mergeCell ref="AB4:AD4"/>
    <mergeCell ref="M19:T19"/>
    <mergeCell ref="E22:L22"/>
    <mergeCell ref="AS15:AW15"/>
    <mergeCell ref="AF20:AI20"/>
    <mergeCell ref="X5:AA5"/>
    <mergeCell ref="AF2:AI2"/>
    <mergeCell ref="AF14:AI14"/>
    <mergeCell ref="U26:Y26"/>
    <mergeCell ref="X20:AA20"/>
    <mergeCell ref="AJ9:AN9"/>
    <mergeCell ref="U2:W2"/>
    <mergeCell ref="AF11:AI11"/>
    <mergeCell ref="E12:L12"/>
    <mergeCell ref="X14:AA14"/>
    <mergeCell ref="U16:W16"/>
    <mergeCell ref="A8:D8"/>
    <mergeCell ref="E21:L21"/>
    <mergeCell ref="U25:W25"/>
    <mergeCell ref="AO26:AR26"/>
    <mergeCell ref="X4:AA4"/>
    <mergeCell ref="AJ11:AN11"/>
    <mergeCell ref="E14:L14"/>
    <mergeCell ref="AO25:AR25"/>
    <mergeCell ref="A10:D10"/>
    <mergeCell ref="E23:L23"/>
    <mergeCell ref="AX22:BB22"/>
    <mergeCell ref="E4:L4"/>
    <mergeCell ref="AF13:AI13"/>
    <mergeCell ref="X21:AA21"/>
    <mergeCell ref="AX21:BB21"/>
    <mergeCell ref="AS25:AW25"/>
    <mergeCell ref="AO8:AR8"/>
    <mergeCell ref="AB8:AD8"/>
    <mergeCell ref="AO2:AR2"/>
    <mergeCell ref="M10:T10"/>
    <mergeCell ref="AO17:AR17"/>
    <mergeCell ref="AO11:AR11"/>
    <mergeCell ref="AJ13:AN13"/>
    <mergeCell ref="M13:T13"/>
    <mergeCell ref="U20:W20"/>
    <mergeCell ref="X23:AA23"/>
    <mergeCell ref="M7:T7"/>
    <mergeCell ref="U14:W14"/>
    <mergeCell ref="M16:T16"/>
    <mergeCell ref="U23:W23"/>
    <mergeCell ref="X13:AA13"/>
    <mergeCell ref="AX13:BB13"/>
    <mergeCell ref="AS17:AW17"/>
    <mergeCell ref="AX7:BB7"/>
    <mergeCell ref="AJ6:AN6"/>
    <mergeCell ref="AS11:AW11"/>
    <mergeCell ref="AB18:AD18"/>
    <mergeCell ref="X16:AA16"/>
    <mergeCell ref="U4:W4"/>
    <mergeCell ref="AJ15:AN15"/>
    <mergeCell ref="AB10:AD10"/>
    <mergeCell ref="AO3:AR3"/>
    <mergeCell ref="U22:W22"/>
    <mergeCell ref="AJ24:AN24"/>
    <mergeCell ref="AF10:AI10"/>
    <mergeCell ref="M18:T18"/>
    <mergeCell ref="AS19:AW19"/>
    <mergeCell ref="U6:W6"/>
    <mergeCell ref="M8:T8"/>
    <mergeCell ref="AF6:AI6"/>
    <mergeCell ref="U15:W15"/>
    <mergeCell ref="X18:AA18"/>
    <mergeCell ref="AS3:AW3"/>
    <mergeCell ref="A12:D12"/>
    <mergeCell ref="E25:L25"/>
    <mergeCell ref="AX24:BB24"/>
    <mergeCell ref="A21:D21"/>
    <mergeCell ref="Z26:AE26"/>
    <mergeCell ref="AO20:AR20"/>
    <mergeCell ref="AB2:AE2"/>
    <mergeCell ref="AS5:AW5"/>
    <mergeCell ref="A14:D14"/>
    <mergeCell ref="AF5:AI5"/>
    <mergeCell ref="AX26:BB26"/>
    <mergeCell ref="AS14:AW14"/>
    <mergeCell ref="A23:D23"/>
    <mergeCell ref="E3:L3"/>
    <mergeCell ref="AO22:AR22"/>
    <mergeCell ref="AF8:AI8"/>
    <mergeCell ref="A4:D4"/>
    <mergeCell ref="AB22:AD22"/>
    <mergeCell ref="AF17:AI17"/>
    <mergeCell ref="A1:BB1"/>
    <mergeCell ref="AX19:BB19"/>
    <mergeCell ref="AJ2:AN2"/>
    <mergeCell ref="M5:T5"/>
    <mergeCell ref="AB12:AD12"/>
    <mergeCell ref="E5:L5"/>
    <mergeCell ref="AO21:AR21"/>
    <mergeCell ref="AB21:AD21"/>
    <mergeCell ref="AX9:BB9"/>
    <mergeCell ref="AJ17:AN17"/>
    <mergeCell ref="AF19:AI19"/>
    <mergeCell ref="X22:AA22"/>
    <mergeCell ref="E20:L20"/>
    <mergeCell ref="U24:W24"/>
    <mergeCell ref="AX2:BB2"/>
    <mergeCell ref="AF3:AI3"/>
    <mergeCell ref="X12:AA12"/>
    <mergeCell ref="AS21:AW21"/>
    <mergeCell ref="AX11:BB11"/>
    <mergeCell ref="AB23:AD23"/>
    <mergeCell ref="E13:L13"/>
    <mergeCell ref="AJ19:AN19"/>
    <mergeCell ref="AB13:AD13"/>
    <mergeCell ref="AO7:AR7"/>
    <mergeCell ref="AB7:AD7"/>
    <mergeCell ref="AO16:AR16"/>
    <mergeCell ref="AJ3:AN3"/>
    <mergeCell ref="U5:W5"/>
    <mergeCell ref="A6:D6"/>
    <mergeCell ref="M12:T12"/>
    <mergeCell ref="E15:L15"/>
    <mergeCell ref="U19:W19"/>
    <mergeCell ref="AS8:AW8"/>
    <mergeCell ref="M21:T21"/>
    <mergeCell ref="AS2:AW2"/>
    <mergeCell ref="AX12:BB12"/>
    <mergeCell ref="AF4:AI4"/>
    <mergeCell ref="X7:AA7"/>
    <mergeCell ref="AS16:AW16"/>
    <mergeCell ref="AJ5:AN5"/>
    <mergeCell ref="U9:W9"/>
    <mergeCell ref="A25:D25"/>
    <mergeCell ref="AO19:AR19"/>
    <mergeCell ref="A18:D18"/>
    <mergeCell ref="AJ4:AN4"/>
    <mergeCell ref="E7:L7"/>
    <mergeCell ref="M24:T24"/>
    <mergeCell ref="A3:D3"/>
    <mergeCell ref="E16:L16"/>
    <mergeCell ref="AX15:BB15"/>
    <mergeCell ref="AF21:AI21"/>
    <mergeCell ref="X24:AA24"/>
    <mergeCell ref="AX23:BB23"/>
    <mergeCell ref="AO5:AR5"/>
    <mergeCell ref="AB16:AD16"/>
  </mergeCells>
  <dataValidations count="2">
    <dataValidation sqref="U3:W25" showDropDown="0" showInputMessage="1" showErrorMessage="1" allowBlank="1" type="list">
      <formula1>$D$28</formula1>
    </dataValidation>
    <dataValidation sqref="X3:AA25" showDropDown="0" showInputMessage="1" showErrorMessage="1" allowBlank="1" type="list">
      <formula1>$H$28:$H$42</formula1>
    </dataValidation>
  </dataValidations>
  <pageMargins left="0.43" right="0.23" top="0.39" bottom="0.32" header="0.3149606299212598" footer="0.3149606299212598"/>
  <pageSetup orientation="landscape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2010-06-23T08:12:00Z</dcterms:created>
  <dcterms:modified xmlns:dcterms="http://purl.org/dc/terms/" xmlns:xsi="http://www.w3.org/2001/XMLSchema-instance" xsi:type="dcterms:W3CDTF">2026-10-08T05:02:23Z</dcterms:modified>
  <cp:lastModifiedBy/>
  <cp:category/>
  <cp:keywords/>
  <cp:lastPrinted>2026-03-24T05:23:37Z</cp:lastPrinted>
</cp:coreProperties>
</file>